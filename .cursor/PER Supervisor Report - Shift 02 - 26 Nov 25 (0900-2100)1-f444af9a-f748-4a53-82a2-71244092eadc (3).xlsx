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://infospace.emirates.com/teamsites/SkyCargo/skycargoworld/PER supervisor shift Report/"/>
    </mc:Choice>
  </mc:AlternateContent>
  <xr:revisionPtr revIDLastSave="0" documentId="8_{A6D858B8-E46F-415D-A030-86F949526C45}" xr6:coauthVersionLast="36" xr6:coauthVersionMax="36" xr10:uidLastSave="{00000000-0000-0000-0000-000000000000}"/>
  <bookViews>
    <workbookView xWindow="-120" yWindow="-120" windowWidth="21840" windowHeight="13140" xr2:uid="{00000000-000D-0000-FFFF-FFFF00000000}"/>
  </bookViews>
  <sheets>
    <sheet name="EKP" sheetId="1" r:id="rId1"/>
  </sheets>
  <calcPr calcId="191028"/>
</workbook>
</file>

<file path=xl/calcChain.xml><?xml version="1.0" encoding="utf-8"?>
<calcChain xmlns="http://schemas.openxmlformats.org/spreadsheetml/2006/main">
  <c r="M38" i="1" l="1"/>
  <c r="M37" i="1"/>
  <c r="H69" i="1"/>
  <c r="I69" i="1"/>
  <c r="M49" i="1"/>
  <c r="N49" i="1"/>
  <c r="C70" i="1"/>
  <c r="N38" i="1"/>
  <c r="N37" i="1"/>
  <c r="M36" i="1"/>
  <c r="N36" i="1"/>
  <c r="M35" i="1"/>
  <c r="N35" i="1"/>
  <c r="M34" i="1"/>
  <c r="N34" i="1"/>
  <c r="M33" i="1"/>
  <c r="N33" i="1"/>
  <c r="M22" i="1"/>
  <c r="N22" i="1"/>
  <c r="M21" i="1"/>
  <c r="N21" i="1"/>
  <c r="M20" i="1"/>
  <c r="N20" i="1"/>
  <c r="M19" i="1"/>
  <c r="N19" i="1"/>
  <c r="M18" i="1"/>
  <c r="N18" i="1"/>
  <c r="M23" i="1"/>
  <c r="L86" i="1"/>
  <c r="M86" i="1"/>
  <c r="K55" i="1"/>
  <c r="M55" i="1"/>
  <c r="M45" i="1"/>
  <c r="N45" i="1"/>
  <c r="M44" i="1"/>
  <c r="N44" i="1"/>
  <c r="J55" i="1"/>
  <c r="L55" i="1"/>
  <c r="C57" i="1"/>
  <c r="D57" i="1"/>
  <c r="E57" i="1"/>
  <c r="F57" i="1"/>
  <c r="D70" i="1"/>
  <c r="M16" i="1"/>
  <c r="N16" i="1"/>
  <c r="M15" i="1"/>
  <c r="N15" i="1"/>
  <c r="M14" i="1"/>
  <c r="N14" i="1"/>
  <c r="M13" i="1"/>
  <c r="N13" i="1"/>
  <c r="M25" i="1"/>
  <c r="N25" i="1"/>
  <c r="M24" i="1"/>
  <c r="N24" i="1"/>
  <c r="L101" i="1"/>
  <c r="K101" i="1"/>
  <c r="H101" i="1"/>
  <c r="G101" i="1"/>
  <c r="C101" i="1"/>
  <c r="D101" i="1"/>
  <c r="M43" i="1"/>
  <c r="N43" i="1"/>
  <c r="M47" i="1"/>
  <c r="N47" i="1"/>
  <c r="M48" i="1"/>
  <c r="N48" i="1"/>
  <c r="M12" i="1"/>
  <c r="N12" i="1"/>
  <c r="M17" i="1"/>
  <c r="N17" i="1"/>
  <c r="N23" i="1"/>
  <c r="M32" i="1"/>
  <c r="N32" i="1"/>
</calcChain>
</file>

<file path=xl/sharedStrings.xml><?xml version="1.0" encoding="utf-8"?>
<sst xmlns="http://schemas.openxmlformats.org/spreadsheetml/2006/main" count="218" uniqueCount="145">
  <si>
    <t xml:space="preserve"> Supervisor Shift Report-Perishable</t>
  </si>
  <si>
    <t>Staff Performance</t>
  </si>
  <si>
    <t>Staff no:-</t>
  </si>
  <si>
    <t>Staff Name</t>
  </si>
  <si>
    <t>EK/Outsource</t>
  </si>
  <si>
    <t>Total(HRS)</t>
  </si>
  <si>
    <t>Actual THRU Unit</t>
  </si>
  <si>
    <r>
      <t>Actual Top up unit(</t>
    </r>
    <r>
      <rPr>
        <b/>
        <sz val="8"/>
        <color rgb="FFFF0000"/>
        <rFont val="Tahoma"/>
        <family val="2"/>
      </rPr>
      <t>KER</t>
    </r>
    <r>
      <rPr>
        <b/>
        <sz val="8"/>
        <color theme="1"/>
        <rFont val="Tahoma"/>
        <family val="2"/>
      </rPr>
      <t>)</t>
    </r>
  </si>
  <si>
    <r>
      <t xml:space="preserve">
Bulk
(</t>
    </r>
    <r>
      <rPr>
        <b/>
        <sz val="7"/>
        <color theme="1"/>
        <rFont val="Tahoma"/>
        <family val="2"/>
      </rPr>
      <t>KG)</t>
    </r>
  </si>
  <si>
    <t>Total Actual  B/up Units</t>
  </si>
  <si>
    <t xml:space="preserve">Efficiency
Actual Build up units /HR </t>
  </si>
  <si>
    <t>AKE / DPE
(B/UP)</t>
  </si>
  <si>
    <t>ALF / DQF
(B/UP)</t>
  </si>
  <si>
    <t>LD-PMC/AMF
(B/UP)</t>
  </si>
  <si>
    <t>MD-Q6/Q7
(B/UP)</t>
  </si>
  <si>
    <t>RYAN</t>
  </si>
  <si>
    <t>EK</t>
  </si>
  <si>
    <t>CTO SCREENING</t>
  </si>
  <si>
    <t>ROCHELLE</t>
  </si>
  <si>
    <t>EKP IMPORT COORDINATOR</t>
  </si>
  <si>
    <t>ERWIN</t>
  </si>
  <si>
    <t>EKP  EXP COORDINATOR</t>
  </si>
  <si>
    <t>ANEESH</t>
  </si>
  <si>
    <t>EKP  EXP SUPPORT</t>
  </si>
  <si>
    <t>TOMMY</t>
  </si>
  <si>
    <t>GDP EXP/IMP COORDINATOR</t>
  </si>
  <si>
    <t>GEORGE</t>
  </si>
  <si>
    <t>AVI / HUM/4-Eye</t>
  </si>
  <si>
    <t>JASON</t>
  </si>
  <si>
    <t>US SCREENING/4-EYE</t>
  </si>
  <si>
    <t>ANGELITO</t>
  </si>
  <si>
    <t>GDP FRIEGHTER - 4eye</t>
  </si>
  <si>
    <t>SC03800</t>
  </si>
  <si>
    <t>BILAL</t>
  </si>
  <si>
    <t>TG</t>
  </si>
  <si>
    <t>TOP UP</t>
  </si>
  <si>
    <t>SAMED</t>
  </si>
  <si>
    <t>EKP BUILD UP</t>
  </si>
  <si>
    <t>SC03401</t>
  </si>
  <si>
    <t>ASWIN</t>
  </si>
  <si>
    <t>MUHAMADI</t>
  </si>
  <si>
    <t>WO</t>
  </si>
  <si>
    <t>ROMEO</t>
  </si>
  <si>
    <t>ASANATE</t>
  </si>
  <si>
    <t>DO</t>
  </si>
  <si>
    <t>CTO DLVY</t>
  </si>
  <si>
    <t>SC0923</t>
  </si>
  <si>
    <t>SAI</t>
  </si>
  <si>
    <t>SC53154</t>
  </si>
  <si>
    <t>ASAF</t>
  </si>
  <si>
    <t>FAROUK</t>
  </si>
  <si>
    <t>GDP BUILD UP</t>
  </si>
  <si>
    <t>PRASANATH</t>
  </si>
  <si>
    <t>INAMM</t>
  </si>
  <si>
    <t>7 + 12 BULK</t>
  </si>
  <si>
    <t>GDP BULK LOADING</t>
  </si>
  <si>
    <t>ARTHUR</t>
  </si>
  <si>
    <t>SC14876</t>
  </si>
  <si>
    <t>NAJIR</t>
  </si>
  <si>
    <t>Staff Name:-</t>
  </si>
  <si>
    <t>Breakdown</t>
  </si>
  <si>
    <t xml:space="preserve">
Total Units(B/D)
</t>
  </si>
  <si>
    <t xml:space="preserve">Efficiency
Units /HR </t>
  </si>
  <si>
    <t>AKE / DPE
(B/D)</t>
  </si>
  <si>
    <t>ALF / DQF
(B/D)</t>
  </si>
  <si>
    <t>LD-PMC/AMF_x000D_
(BD)</t>
  </si>
  <si>
    <t>MD-Q6/Q7
(B/D)</t>
  </si>
  <si>
    <r>
      <t xml:space="preserve">
Bulk
(</t>
    </r>
    <r>
      <rPr>
        <sz val="10"/>
        <color theme="1"/>
        <rFont val="Calibri"/>
      </rPr>
      <t>Number of Trolleys)</t>
    </r>
  </si>
  <si>
    <t>SC00437</t>
  </si>
  <si>
    <t>MANISH</t>
  </si>
  <si>
    <t>INVENTORY/RKN / RAP</t>
  </si>
  <si>
    <t>HASIM</t>
  </si>
  <si>
    <t>CS/BDN</t>
  </si>
  <si>
    <t>SURESH</t>
  </si>
  <si>
    <t>EKP BDN/CS</t>
  </si>
  <si>
    <t>ADEEL</t>
  </si>
  <si>
    <t>GDP ACCP/DLY</t>
  </si>
  <si>
    <t>SC03399</t>
  </si>
  <si>
    <t>MALVIN</t>
  </si>
  <si>
    <t>GDP BDN</t>
  </si>
  <si>
    <t>Build-UP</t>
  </si>
  <si>
    <t xml:space="preserve">Break -Down </t>
  </si>
  <si>
    <t>EKP</t>
  </si>
  <si>
    <t>AKE / DPE_x000D_
(B/UP)</t>
  </si>
  <si>
    <t>ALF / DQF_x000D_
(B/UP)</t>
  </si>
  <si>
    <t>LD-PMC/AMF_x000D_
(B/UP)</t>
  </si>
  <si>
    <t>MD-Q6/Q7_x000D_
(B/UP)</t>
  </si>
  <si>
    <t>Units Built  in shift</t>
  </si>
  <si>
    <t>Units Broken Down in shift</t>
  </si>
  <si>
    <t xml:space="preserve">THRU units in shift </t>
  </si>
  <si>
    <r>
      <t>THRU</t>
    </r>
    <r>
      <rPr>
        <sz val="10"/>
        <color rgb="FF000000"/>
        <rFont val="Calibri"/>
      </rPr>
      <t xml:space="preserve"> units actioned in shift</t>
    </r>
  </si>
  <si>
    <t xml:space="preserve">Advance units built for next shift </t>
  </si>
  <si>
    <t>Total units(incl THRU)</t>
  </si>
  <si>
    <t>Advance THRU units for the next shift</t>
  </si>
  <si>
    <t>Total Built units</t>
  </si>
  <si>
    <t>Bulk Details(B/up)</t>
  </si>
  <si>
    <t>Deconsolidation</t>
  </si>
  <si>
    <t>Bulk Details(Breakdown)</t>
  </si>
  <si>
    <t>Number of Trollies</t>
  </si>
  <si>
    <t>Weight(KG)</t>
  </si>
  <si>
    <t xml:space="preserve">Delivery </t>
  </si>
  <si>
    <t>Acceptance</t>
  </si>
  <si>
    <t>Transit Screening Details</t>
  </si>
  <si>
    <t>Area</t>
  </si>
  <si>
    <t>DS(Count)</t>
  </si>
  <si>
    <t>Total Weight</t>
  </si>
  <si>
    <t>Total shipments</t>
  </si>
  <si>
    <t>Pcs</t>
  </si>
  <si>
    <t>Weight</t>
  </si>
  <si>
    <t>CMT</t>
  </si>
  <si>
    <t>CTO</t>
  </si>
  <si>
    <t>I Module</t>
  </si>
  <si>
    <t>Total</t>
  </si>
  <si>
    <t>176-1647-1700</t>
  </si>
  <si>
    <t>176-1739-5545</t>
  </si>
  <si>
    <t>176-1717-4533</t>
  </si>
  <si>
    <t xml:space="preserve">Special Cargo Details </t>
  </si>
  <si>
    <t>MLE/SEZ Joining Shipments Tonnage Details</t>
  </si>
  <si>
    <t>AXD</t>
  </si>
  <si>
    <t>AXC</t>
  </si>
  <si>
    <t>AVI</t>
  </si>
  <si>
    <t>HUM</t>
  </si>
  <si>
    <t>Resources Information</t>
  </si>
  <si>
    <t>Staff(Count)</t>
  </si>
  <si>
    <t>Hrs</t>
  </si>
  <si>
    <t>I module</t>
  </si>
  <si>
    <t>Shift Strength</t>
  </si>
  <si>
    <t>Mobile Shift</t>
  </si>
  <si>
    <t>Dulsco</t>
  </si>
  <si>
    <t>Transguard</t>
  </si>
  <si>
    <t>Overtime</t>
  </si>
  <si>
    <t>Operators</t>
  </si>
  <si>
    <t>Drivers</t>
  </si>
  <si>
    <t xml:space="preserve">Loaders </t>
  </si>
  <si>
    <t>Other Informations</t>
  </si>
  <si>
    <t>SHIFT CHALLENGES
(If Any)</t>
  </si>
  <si>
    <t>NIL</t>
  </si>
  <si>
    <t>CAPA(Corrective and Preventive Actions) Reported</t>
  </si>
  <si>
    <t>INCIDENT/ACCIDENT
(If Any)</t>
  </si>
  <si>
    <t>SYSTEM ISSUES
(If Any)</t>
  </si>
  <si>
    <t>TRC Cases
(If Any)</t>
  </si>
  <si>
    <t>Pending to action
(If Any)</t>
  </si>
  <si>
    <t xml:space="preserve">OTHER REMARKS
House Keeping/Addl Info/etc.)
</t>
  </si>
  <si>
    <t>HOUSE KEEPING WELL MAINTAINED</t>
  </si>
  <si>
    <t>Attachments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</si>
</sst>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0"/>
      <color theme="1"/>
      <name val="Tahoma"/>
      <family val="2"/>
    </font>
    <font>
      <b/>
      <sz val="9"/>
      <color theme="1"/>
      <name val="Tahoma"/>
      <family val="2"/>
    </font>
    <font>
      <b/>
      <sz val="11"/>
      <color theme="1"/>
      <name val="Tahoma"/>
      <family val="2"/>
    </font>
    <font>
      <b/>
      <sz val="8"/>
      <color rgb="FF000000"/>
      <name val="Tahoma"/>
      <family val="2"/>
    </font>
    <font>
      <b/>
      <sz val="8"/>
      <color rgb="FFFF0000"/>
      <name val="Tahoma"/>
      <family val="2"/>
    </font>
    <font>
      <b/>
      <sz val="7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b/>
      <sz val="9"/>
      <color rgb="FF000000"/>
      <name val="Calibri"/>
      <family val="2"/>
    </font>
    <font>
      <b/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2" borderId="0" xfId="0" applyFill="1"/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7" xfId="0" applyBorder="1"/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>
      <alignment horizontal="center" vertical="center" wrapText="1"/>
    </xf>
    <xf numFmtId="0" fontId="7" fillId="5" borderId="6" xfId="0" applyFont="1" applyFill="1" applyBorder="1" applyAlignment="1">
      <alignment horizontal="left" vertical="center"/>
    </xf>
    <xf numFmtId="0" fontId="3" fillId="0" borderId="12" xfId="0" applyFont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164" fontId="5" fillId="2" borderId="1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/>
    </xf>
    <xf numFmtId="0" fontId="15" fillId="7" borderId="16" xfId="0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2" borderId="5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 applyProtection="1">
      <alignment horizontal="center" vertical="center"/>
      <protection locked="0"/>
    </xf>
    <xf numFmtId="164" fontId="13" fillId="4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3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4" fillId="2" borderId="7" xfId="0" applyFont="1" applyFill="1" applyBorder="1"/>
    <xf numFmtId="0" fontId="14" fillId="2" borderId="11" xfId="0" applyFont="1" applyFill="1" applyBorder="1"/>
    <xf numFmtId="164" fontId="13" fillId="2" borderId="8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164" fontId="13" fillId="2" borderId="14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4" fillId="2" borderId="0" xfId="0" applyFont="1" applyFill="1"/>
    <xf numFmtId="0" fontId="16" fillId="2" borderId="12" xfId="0" applyFont="1" applyFill="1" applyBorder="1" applyAlignment="1">
      <alignment vertical="center" wrapText="1"/>
    </xf>
    <xf numFmtId="0" fontId="14" fillId="2" borderId="0" xfId="0" applyFont="1" applyFill="1" applyAlignment="1" applyProtection="1">
      <alignment horizontal="center" vertical="center"/>
      <protection locked="0"/>
    </xf>
    <xf numFmtId="0" fontId="15" fillId="2" borderId="9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0" fontId="16" fillId="4" borderId="2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vertical="center" wrapText="1"/>
    </xf>
    <xf numFmtId="0" fontId="15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vertical="center" wrapText="1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16" fillId="4" borderId="5" xfId="0" applyFont="1" applyFill="1" applyBorder="1" applyAlignment="1">
      <alignment vertical="center" wrapText="1"/>
    </xf>
    <xf numFmtId="0" fontId="16" fillId="7" borderId="16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center" vertical="center"/>
    </xf>
    <xf numFmtId="0" fontId="14" fillId="0" borderId="9" xfId="0" applyFont="1" applyBorder="1"/>
    <xf numFmtId="0" fontId="14" fillId="2" borderId="0" xfId="0" applyFont="1" applyFill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7" xfId="0" applyFont="1" applyBorder="1"/>
    <xf numFmtId="0" fontId="14" fillId="0" borderId="12" xfId="0" applyFont="1" applyBorder="1"/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wrapText="1"/>
    </xf>
    <xf numFmtId="164" fontId="13" fillId="2" borderId="10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>
      <alignment horizontal="center"/>
    </xf>
    <xf numFmtId="0" fontId="13" fillId="4" borderId="7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3" fillId="2" borderId="8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4" borderId="5" xfId="0" applyFont="1" applyFill="1" applyBorder="1" applyAlignment="1" applyProtection="1">
      <alignment horizontal="center" vertical="center"/>
      <protection locked="0"/>
    </xf>
    <xf numFmtId="164" fontId="13" fillId="4" borderId="5" xfId="0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 applyProtection="1">
      <alignment horizontal="center" vertical="center"/>
      <protection locked="0"/>
    </xf>
    <xf numFmtId="0" fontId="14" fillId="2" borderId="12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4" fillId="2" borderId="5" xfId="0" applyFont="1" applyFill="1" applyBorder="1" applyAlignment="1">
      <alignment vertical="center" wrapText="1"/>
    </xf>
    <xf numFmtId="0" fontId="14" fillId="0" borderId="9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6" fillId="4" borderId="2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16" fillId="4" borderId="2" xfId="0" applyFont="1" applyFill="1" applyBorder="1" applyAlignment="1">
      <alignment horizontal="left" vertical="center"/>
    </xf>
    <xf numFmtId="0" fontId="16" fillId="4" borderId="4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 applyProtection="1">
      <alignment horizontal="center" vertical="center"/>
      <protection locked="0"/>
    </xf>
    <xf numFmtId="0" fontId="11" fillId="8" borderId="4" xfId="0" applyFont="1" applyFill="1" applyBorder="1" applyAlignment="1" applyProtection="1">
      <alignment horizontal="center" vertical="center"/>
      <protection locked="0"/>
    </xf>
    <xf numFmtId="0" fontId="11" fillId="8" borderId="3" xfId="0" applyFont="1" applyFill="1" applyBorder="1" applyAlignment="1" applyProtection="1">
      <alignment horizontal="center" vertical="center"/>
      <protection locked="0"/>
    </xf>
    <xf numFmtId="0" fontId="14" fillId="5" borderId="1" xfId="0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3" fillId="8" borderId="1" xfId="0" applyFont="1" applyFill="1" applyBorder="1" applyAlignment="1" applyProtection="1">
      <alignment horizontal="center" vertical="center"/>
      <protection locked="0"/>
    </xf>
    <xf numFmtId="0" fontId="13" fillId="8" borderId="6" xfId="0" applyFont="1" applyFill="1" applyBorder="1" applyAlignment="1" applyProtection="1">
      <alignment horizontal="center" vertical="center"/>
      <protection locked="0"/>
    </xf>
    <xf numFmtId="0" fontId="13" fillId="4" borderId="8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8986</xdr:colOff>
      <xdr:row>2</xdr:row>
      <xdr:rowOff>35944</xdr:rowOff>
    </xdr:from>
    <xdr:to>
      <xdr:col>2</xdr:col>
      <xdr:colOff>98846</xdr:colOff>
      <xdr:row>5</xdr:row>
      <xdr:rowOff>79875</xdr:rowOff>
    </xdr:to>
    <xdr:pic>
      <xdr:nvPicPr>
        <xdr:cNvPr id="3" name="Picture 1" descr="EKSC_RB-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29" y="476251"/>
          <a:ext cx="1293964" cy="798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142315</xdr:colOff>
      <xdr:row>109</xdr:row>
      <xdr:rowOff>237564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58903" y="205650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twoCellAnchor editAs="oneCell">
    <xdr:from>
      <xdr:col>4</xdr:col>
      <xdr:colOff>0</xdr:colOff>
      <xdr:row>111</xdr:row>
      <xdr:rowOff>0</xdr:rowOff>
    </xdr:from>
    <xdr:to>
      <xdr:col>9</xdr:col>
      <xdr:colOff>180975</xdr:colOff>
      <xdr:row>111</xdr:row>
      <xdr:rowOff>514350</xdr:rowOff>
    </xdr:to>
    <xdr:sp macro="" textlink="">
      <xdr:nvSpPr>
        <xdr:cNvPr id="1031" name="Object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111</xdr:row>
      <xdr:rowOff>552450</xdr:rowOff>
    </xdr:from>
    <xdr:to>
      <xdr:col>9</xdr:col>
      <xdr:colOff>168088</xdr:colOff>
      <xdr:row>113</xdr:row>
      <xdr:rowOff>19050</xdr:rowOff>
    </xdr:to>
    <xdr:sp macro="" textlink="">
      <xdr:nvSpPr>
        <xdr:cNvPr id="1032" name="Object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190500</xdr:colOff>
      <xdr:row>111</xdr:row>
      <xdr:rowOff>0</xdr:rowOff>
    </xdr:from>
    <xdr:to>
      <xdr:col>13</xdr:col>
      <xdr:colOff>238125</xdr:colOff>
      <xdr:row>111</xdr:row>
      <xdr:rowOff>514350</xdr:rowOff>
    </xdr:to>
    <xdr:sp macro="" textlink="">
      <xdr:nvSpPr>
        <xdr:cNvPr id="1033" name="Object 9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200025</xdr:colOff>
      <xdr:row>111</xdr:row>
      <xdr:rowOff>544606</xdr:rowOff>
    </xdr:from>
    <xdr:to>
      <xdr:col>13</xdr:col>
      <xdr:colOff>247650</xdr:colOff>
      <xdr:row>113</xdr:row>
      <xdr:rowOff>11206</xdr:rowOff>
    </xdr:to>
    <xdr:sp macro="" textlink="">
      <xdr:nvSpPr>
        <xdr:cNvPr id="1034" name="Object 10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0</xdr:colOff>
      <xdr:row>111</xdr:row>
      <xdr:rowOff>1085850</xdr:rowOff>
    </xdr:from>
    <xdr:to>
      <xdr:col>9</xdr:col>
      <xdr:colOff>171450</xdr:colOff>
      <xdr:row>114</xdr:row>
      <xdr:rowOff>133350</xdr:rowOff>
    </xdr:to>
    <xdr:sp macro="" textlink="">
      <xdr:nvSpPr>
        <xdr:cNvPr id="1035" name="Object 11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9</xdr:col>
      <xdr:colOff>190500</xdr:colOff>
      <xdr:row>111</xdr:row>
      <xdr:rowOff>1086971</xdr:rowOff>
    </xdr:from>
    <xdr:to>
      <xdr:col>13</xdr:col>
      <xdr:colOff>252132</xdr:colOff>
      <xdr:row>114</xdr:row>
      <xdr:rowOff>134471</xdr:rowOff>
    </xdr:to>
    <xdr:sp macro="" textlink="">
      <xdr:nvSpPr>
        <xdr:cNvPr id="1036" name="Object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6C8C0B23-DF81-65E2-344F-DC3EDC32D3BE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403412</xdr:colOff>
      <xdr:row>111</xdr:row>
      <xdr:rowOff>134471</xdr:rowOff>
    </xdr:from>
    <xdr:to>
      <xdr:col>9</xdr:col>
      <xdr:colOff>736787</xdr:colOff>
      <xdr:row>111</xdr:row>
      <xdr:rowOff>648821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E1284A55-D249-6552-E4B3-90D2A33C663A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showGridLines="0" tabSelected="1" topLeftCell="A9" zoomScale="85" zoomScaleNormal="85" workbookViewId="0" xr3:uid="{AEA406A1-0E4B-5B11-9CD5-51D6E497D94C}">
      <selection activeCell="H13" sqref="H13"/>
    </sheetView>
  </sheetViews>
  <sheetFormatPr defaultRowHeight="15"/>
  <cols>
    <col min="1" max="1" width="0.5703125" customWidth="1"/>
    <col min="2" max="2" width="18" customWidth="1"/>
    <col min="3" max="3" width="13.85546875" customWidth="1"/>
    <col min="4" max="4" width="15.28515625" customWidth="1"/>
    <col min="5" max="5" width="12" bestFit="1" customWidth="1"/>
    <col min="6" max="6" width="13.85546875" bestFit="1" customWidth="1"/>
    <col min="7" max="7" width="13.42578125" customWidth="1"/>
    <col min="8" max="8" width="11.7109375" customWidth="1"/>
    <col min="9" max="9" width="15" bestFit="1" customWidth="1"/>
    <col min="10" max="10" width="12.85546875" customWidth="1"/>
    <col min="11" max="11" width="26" customWidth="1"/>
    <col min="12" max="12" width="11.85546875" customWidth="1"/>
    <col min="13" max="13" width="20.28515625" bestFit="1" customWidth="1"/>
    <col min="14" max="14" width="8.28515625" bestFit="1" customWidth="1"/>
  </cols>
  <sheetData>
    <row r="1" spans="2:14"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2:14" ht="19.5">
      <c r="B2" s="113" t="s">
        <v>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2:14" ht="19.5" customHeight="1"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6"/>
    </row>
    <row r="4" spans="2:14" ht="19.5" customHeight="1">
      <c r="B4" s="117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9"/>
    </row>
    <row r="5" spans="2:14" ht="19.5" customHeight="1">
      <c r="B5" s="117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9"/>
    </row>
    <row r="6" spans="2:14">
      <c r="B6" s="120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2"/>
    </row>
    <row r="7" spans="2:14">
      <c r="B7" s="112" t="s">
        <v>1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</row>
    <row r="8" spans="2:14" ht="15" customHeight="1">
      <c r="B8" s="127" t="s">
        <v>2</v>
      </c>
      <c r="C8" s="127" t="s">
        <v>3</v>
      </c>
      <c r="D8" s="123" t="s">
        <v>4</v>
      </c>
      <c r="E8" s="127" t="s">
        <v>5</v>
      </c>
      <c r="F8" s="132"/>
      <c r="G8" s="133"/>
      <c r="H8" s="133"/>
      <c r="I8" s="134"/>
      <c r="J8" s="123" t="s">
        <v>6</v>
      </c>
      <c r="K8" s="123" t="s">
        <v>7</v>
      </c>
      <c r="L8" s="126" t="s">
        <v>8</v>
      </c>
      <c r="M8" s="123" t="s">
        <v>9</v>
      </c>
      <c r="N8" s="123" t="s">
        <v>10</v>
      </c>
    </row>
    <row r="9" spans="2:14" ht="28.5" customHeight="1">
      <c r="B9" s="128"/>
      <c r="C9" s="128"/>
      <c r="D9" s="124"/>
      <c r="E9" s="128"/>
      <c r="F9" s="135"/>
      <c r="G9" s="136"/>
      <c r="H9" s="136"/>
      <c r="I9" s="137"/>
      <c r="J9" s="124"/>
      <c r="K9" s="124"/>
      <c r="L9" s="126"/>
      <c r="M9" s="124"/>
      <c r="N9" s="124"/>
    </row>
    <row r="10" spans="2:14" ht="15" customHeight="1">
      <c r="B10" s="128"/>
      <c r="C10" s="128"/>
      <c r="D10" s="124"/>
      <c r="E10" s="128"/>
      <c r="F10" s="127" t="s">
        <v>11</v>
      </c>
      <c r="G10" s="126" t="s">
        <v>12</v>
      </c>
      <c r="H10" s="130" t="s">
        <v>13</v>
      </c>
      <c r="I10" s="127" t="s">
        <v>14</v>
      </c>
      <c r="J10" s="124"/>
      <c r="K10" s="124"/>
      <c r="L10" s="126"/>
      <c r="M10" s="124"/>
      <c r="N10" s="124"/>
    </row>
    <row r="11" spans="2:14" ht="19.5" customHeight="1">
      <c r="B11" s="129"/>
      <c r="C11" s="128"/>
      <c r="D11" s="125"/>
      <c r="E11" s="129"/>
      <c r="F11" s="129"/>
      <c r="G11" s="126"/>
      <c r="H11" s="131"/>
      <c r="I11" s="129"/>
      <c r="J11" s="125"/>
      <c r="K11" s="125"/>
      <c r="L11" s="126"/>
      <c r="M11" s="125"/>
      <c r="N11" s="125"/>
    </row>
    <row r="12" spans="2:14">
      <c r="B12" s="91"/>
      <c r="C12" s="23"/>
      <c r="D12" s="33"/>
      <c r="E12" s="22"/>
      <c r="F12" s="24"/>
      <c r="G12" s="24"/>
      <c r="H12" s="31"/>
      <c r="I12" s="26"/>
      <c r="J12" s="26"/>
      <c r="K12" s="27"/>
      <c r="L12" s="24"/>
      <c r="M12" s="28">
        <f t="shared" ref="M12:M39" si="0">SUM(F12:I12)</f>
        <v>0</v>
      </c>
      <c r="N12" s="29" t="e">
        <f t="shared" ref="N12:N39" si="1">(M12/E12)</f>
        <v>#DIV/0!</v>
      </c>
    </row>
    <row r="13" spans="2:14" ht="14.25">
      <c r="B13" s="22"/>
      <c r="C13" s="94" t="s">
        <v>15</v>
      </c>
      <c r="D13" s="22" t="s">
        <v>16</v>
      </c>
      <c r="E13" s="24">
        <v>12</v>
      </c>
      <c r="F13" s="25">
        <v>29</v>
      </c>
      <c r="G13" s="25">
        <v>3</v>
      </c>
      <c r="H13" s="25"/>
      <c r="I13" s="30"/>
      <c r="J13" s="30"/>
      <c r="K13" s="27" t="s">
        <v>17</v>
      </c>
      <c r="L13" s="24"/>
      <c r="M13" s="28">
        <f t="shared" si="0"/>
        <v>32</v>
      </c>
      <c r="N13" s="29">
        <f t="shared" si="1"/>
        <v>2.6666666666666665</v>
      </c>
    </row>
    <row r="14" spans="2:14" ht="14.25">
      <c r="B14" s="24">
        <v>385926</v>
      </c>
      <c r="C14" s="23" t="s">
        <v>18</v>
      </c>
      <c r="D14" s="22" t="s">
        <v>16</v>
      </c>
      <c r="E14" s="24">
        <v>12</v>
      </c>
      <c r="F14" s="24"/>
      <c r="G14" s="24"/>
      <c r="H14" s="24"/>
      <c r="I14" s="30"/>
      <c r="J14" s="30"/>
      <c r="K14" s="27" t="s">
        <v>19</v>
      </c>
      <c r="L14" s="24"/>
      <c r="M14" s="28">
        <f t="shared" si="0"/>
        <v>0</v>
      </c>
      <c r="N14" s="29">
        <f t="shared" si="1"/>
        <v>0</v>
      </c>
    </row>
    <row r="15" spans="2:14" ht="14.25">
      <c r="B15" s="22"/>
      <c r="C15" s="23" t="s">
        <v>20</v>
      </c>
      <c r="D15" s="22" t="s">
        <v>16</v>
      </c>
      <c r="E15" s="24">
        <v>12</v>
      </c>
      <c r="F15" s="24"/>
      <c r="G15" s="24"/>
      <c r="H15" s="24"/>
      <c r="I15" s="30"/>
      <c r="J15" s="30"/>
      <c r="K15" s="27" t="s">
        <v>21</v>
      </c>
      <c r="L15" s="24"/>
      <c r="M15" s="28">
        <f t="shared" si="0"/>
        <v>0</v>
      </c>
      <c r="N15" s="29">
        <f t="shared" si="1"/>
        <v>0</v>
      </c>
    </row>
    <row r="16" spans="2:14">
      <c r="B16" s="22"/>
      <c r="C16" s="23" t="s">
        <v>22</v>
      </c>
      <c r="D16" s="22" t="s">
        <v>16</v>
      </c>
      <c r="E16" s="24"/>
      <c r="F16" s="24"/>
      <c r="G16" s="24"/>
      <c r="H16" s="24"/>
      <c r="I16" s="30"/>
      <c r="J16" s="30"/>
      <c r="K16" s="27" t="s">
        <v>23</v>
      </c>
      <c r="L16" s="24"/>
      <c r="M16" s="28">
        <f t="shared" si="0"/>
        <v>0</v>
      </c>
      <c r="N16" s="29" t="e">
        <f t="shared" si="1"/>
        <v>#DIV/0!</v>
      </c>
    </row>
    <row r="17" spans="1:14" ht="14.25">
      <c r="A17">
        <v>984585</v>
      </c>
      <c r="B17" s="24">
        <v>487019</v>
      </c>
      <c r="C17" s="23" t="s">
        <v>24</v>
      </c>
      <c r="D17" s="22" t="s">
        <v>16</v>
      </c>
      <c r="E17" s="22">
        <v>12</v>
      </c>
      <c r="F17" s="24"/>
      <c r="G17" s="30"/>
      <c r="H17" s="24"/>
      <c r="I17" s="30"/>
      <c r="J17" s="30"/>
      <c r="K17" s="27" t="s">
        <v>25</v>
      </c>
      <c r="L17" s="24"/>
      <c r="M17" s="28">
        <f t="shared" si="0"/>
        <v>0</v>
      </c>
      <c r="N17" s="29">
        <f t="shared" si="1"/>
        <v>0</v>
      </c>
    </row>
    <row r="18" spans="1:14" ht="14.25">
      <c r="B18" s="22">
        <v>399920</v>
      </c>
      <c r="C18" s="23" t="s">
        <v>26</v>
      </c>
      <c r="D18" s="22" t="s">
        <v>16</v>
      </c>
      <c r="E18" s="24">
        <v>12</v>
      </c>
      <c r="F18" s="24"/>
      <c r="G18" s="24"/>
      <c r="H18" s="24"/>
      <c r="I18" s="30"/>
      <c r="J18" s="30"/>
      <c r="K18" s="27" t="s">
        <v>27</v>
      </c>
      <c r="L18" s="24"/>
      <c r="M18" s="28">
        <f t="shared" ref="M18:M22" si="2">SUM(F18:I18)</f>
        <v>0</v>
      </c>
      <c r="N18" s="29">
        <f t="shared" ref="N18:N22" si="3">(M18/E18)</f>
        <v>0</v>
      </c>
    </row>
    <row r="19" spans="1:14" ht="14.25">
      <c r="B19" s="24">
        <v>242605</v>
      </c>
      <c r="C19" s="23" t="s">
        <v>28</v>
      </c>
      <c r="D19" s="96" t="s">
        <v>16</v>
      </c>
      <c r="E19" s="24">
        <v>12</v>
      </c>
      <c r="F19" s="24"/>
      <c r="G19" s="24"/>
      <c r="H19" s="24">
        <v>1</v>
      </c>
      <c r="I19" s="30"/>
      <c r="J19" s="30">
        <v>3</v>
      </c>
      <c r="K19" s="27" t="s">
        <v>29</v>
      </c>
      <c r="L19" s="24"/>
      <c r="M19" s="28">
        <f t="shared" si="2"/>
        <v>1</v>
      </c>
      <c r="N19" s="29">
        <f t="shared" si="3"/>
        <v>8.3333333333333329E-2</v>
      </c>
    </row>
    <row r="20" spans="1:14">
      <c r="B20" s="24"/>
      <c r="C20" s="23" t="s">
        <v>30</v>
      </c>
      <c r="D20" s="22" t="s">
        <v>16</v>
      </c>
      <c r="E20" s="22">
        <v>12</v>
      </c>
      <c r="F20" s="24"/>
      <c r="G20" s="30"/>
      <c r="H20" s="24"/>
      <c r="I20" s="30"/>
      <c r="J20" s="30"/>
      <c r="K20" s="27" t="s">
        <v>31</v>
      </c>
      <c r="L20" s="24"/>
      <c r="M20" s="28">
        <f t="shared" si="2"/>
        <v>0</v>
      </c>
      <c r="N20" s="29">
        <f t="shared" si="3"/>
        <v>0</v>
      </c>
    </row>
    <row r="21" spans="1:14">
      <c r="B21" s="24"/>
      <c r="C21" s="23"/>
      <c r="D21" s="22"/>
      <c r="E21" s="22"/>
      <c r="F21" s="24"/>
      <c r="G21" s="30"/>
      <c r="H21" s="24"/>
      <c r="I21" s="30"/>
      <c r="J21" s="30"/>
      <c r="K21" s="27"/>
      <c r="L21" s="24"/>
      <c r="M21" s="28">
        <f t="shared" si="2"/>
        <v>0</v>
      </c>
      <c r="N21" s="29" t="e">
        <f t="shared" si="3"/>
        <v>#DIV/0!</v>
      </c>
    </row>
    <row r="22" spans="1:14" ht="14.25">
      <c r="B22" s="23" t="s">
        <v>32</v>
      </c>
      <c r="C22" s="23" t="s">
        <v>33</v>
      </c>
      <c r="D22" s="22" t="s">
        <v>34</v>
      </c>
      <c r="E22" s="24">
        <v>12</v>
      </c>
      <c r="F22" s="24"/>
      <c r="G22" s="30"/>
      <c r="H22" s="24"/>
      <c r="I22" s="30"/>
      <c r="J22" s="30"/>
      <c r="K22" s="27" t="s">
        <v>35</v>
      </c>
      <c r="L22" s="24"/>
      <c r="M22" s="28">
        <f t="shared" si="2"/>
        <v>0</v>
      </c>
      <c r="N22" s="29">
        <f t="shared" si="3"/>
        <v>0</v>
      </c>
    </row>
    <row r="23" spans="1:14" ht="14.25">
      <c r="A23">
        <v>775980</v>
      </c>
      <c r="B23" s="22">
        <v>963286</v>
      </c>
      <c r="C23" s="23" t="s">
        <v>36</v>
      </c>
      <c r="D23" s="22" t="s">
        <v>34</v>
      </c>
      <c r="E23" s="24">
        <v>12</v>
      </c>
      <c r="F23" s="24"/>
      <c r="G23" s="24"/>
      <c r="H23" s="24"/>
      <c r="I23" s="30"/>
      <c r="J23" s="30"/>
      <c r="K23" s="27" t="s">
        <v>37</v>
      </c>
      <c r="L23" s="24"/>
      <c r="M23" s="28">
        <f>SUM(F23:I23)</f>
        <v>0</v>
      </c>
      <c r="N23" s="29">
        <f t="shared" si="1"/>
        <v>0</v>
      </c>
    </row>
    <row r="24" spans="1:14">
      <c r="B24" s="23" t="s">
        <v>38</v>
      </c>
      <c r="C24" s="22" t="s">
        <v>39</v>
      </c>
      <c r="D24" s="22" t="s">
        <v>34</v>
      </c>
      <c r="E24" s="22">
        <v>12</v>
      </c>
      <c r="F24" s="24"/>
      <c r="G24" s="24"/>
      <c r="H24" s="31"/>
      <c r="I24" s="30"/>
      <c r="J24" s="30"/>
      <c r="K24" s="27" t="s">
        <v>37</v>
      </c>
      <c r="L24" s="24"/>
      <c r="M24" s="28">
        <f t="shared" si="0"/>
        <v>0</v>
      </c>
      <c r="N24" s="29">
        <f t="shared" si="1"/>
        <v>0</v>
      </c>
    </row>
    <row r="25" spans="1:14">
      <c r="A25">
        <v>980405</v>
      </c>
      <c r="B25" s="22"/>
      <c r="C25" s="22" t="s">
        <v>40</v>
      </c>
      <c r="D25" s="22" t="s">
        <v>41</v>
      </c>
      <c r="E25" s="22">
        <v>12</v>
      </c>
      <c r="F25" s="24"/>
      <c r="G25" s="24"/>
      <c r="H25" s="31"/>
      <c r="I25" s="30"/>
      <c r="J25" s="30"/>
      <c r="K25" s="27" t="s">
        <v>37</v>
      </c>
      <c r="L25" s="24"/>
      <c r="M25" s="28">
        <f t="shared" si="0"/>
        <v>0</v>
      </c>
      <c r="N25" s="29">
        <f t="shared" si="1"/>
        <v>0</v>
      </c>
    </row>
    <row r="26" spans="1:14">
      <c r="B26" s="81"/>
      <c r="C26" s="81" t="s">
        <v>42</v>
      </c>
      <c r="D26" s="81" t="s">
        <v>34</v>
      </c>
      <c r="E26" s="81">
        <v>11</v>
      </c>
      <c r="F26" s="24"/>
      <c r="G26" s="24"/>
      <c r="H26" s="31"/>
      <c r="I26" s="30"/>
      <c r="J26" s="30"/>
      <c r="K26" s="27" t="s">
        <v>37</v>
      </c>
      <c r="L26" s="24"/>
      <c r="M26" s="28"/>
      <c r="N26" s="29"/>
    </row>
    <row r="27" spans="1:14">
      <c r="B27" s="81">
        <v>959073</v>
      </c>
      <c r="C27" s="81" t="s">
        <v>43</v>
      </c>
      <c r="D27" s="81" t="s">
        <v>44</v>
      </c>
      <c r="E27" s="81">
        <v>12</v>
      </c>
      <c r="F27" s="24"/>
      <c r="G27" s="24"/>
      <c r="H27" s="31"/>
      <c r="I27" s="30"/>
      <c r="J27" s="30"/>
      <c r="K27" s="27" t="s">
        <v>45</v>
      </c>
      <c r="L27" s="24"/>
      <c r="M27" s="28"/>
      <c r="N27" s="29"/>
    </row>
    <row r="28" spans="1:14">
      <c r="B28" s="81" t="s">
        <v>46</v>
      </c>
      <c r="C28" s="81" t="s">
        <v>47</v>
      </c>
      <c r="D28" s="81" t="s">
        <v>41</v>
      </c>
      <c r="E28" s="81">
        <v>12</v>
      </c>
      <c r="F28" s="24"/>
      <c r="G28" s="24"/>
      <c r="H28" s="31"/>
      <c r="I28" s="30"/>
      <c r="J28" s="30"/>
      <c r="K28" s="27" t="s">
        <v>45</v>
      </c>
      <c r="L28" s="24"/>
      <c r="M28" s="28"/>
      <c r="N28" s="29"/>
    </row>
    <row r="29" spans="1:14">
      <c r="B29" s="81" t="s">
        <v>48</v>
      </c>
      <c r="C29" s="81" t="s">
        <v>49</v>
      </c>
      <c r="D29" s="81" t="s">
        <v>44</v>
      </c>
      <c r="E29" s="81">
        <v>12</v>
      </c>
      <c r="F29" s="24"/>
      <c r="G29" s="24"/>
      <c r="H29" s="31"/>
      <c r="I29" s="30"/>
      <c r="J29" s="30"/>
      <c r="K29" s="27" t="s">
        <v>45</v>
      </c>
      <c r="L29" s="24"/>
      <c r="M29" s="28"/>
      <c r="N29" s="29"/>
    </row>
    <row r="30" spans="1:14">
      <c r="B30" s="81"/>
      <c r="C30" s="81"/>
      <c r="D30" s="81"/>
      <c r="E30" s="81"/>
      <c r="F30" s="24"/>
      <c r="G30" s="24"/>
      <c r="H30" s="31"/>
      <c r="I30" s="30"/>
      <c r="J30" s="30"/>
      <c r="K30" s="27"/>
      <c r="L30" s="24"/>
      <c r="M30" s="28"/>
      <c r="N30" s="29"/>
    </row>
    <row r="31" spans="1:14">
      <c r="B31" s="81"/>
      <c r="C31" s="81"/>
      <c r="D31" s="81"/>
      <c r="E31" s="81"/>
      <c r="F31" s="24"/>
      <c r="G31" s="24"/>
      <c r="H31" s="31"/>
      <c r="I31" s="30"/>
      <c r="J31" s="30"/>
      <c r="K31" s="27"/>
      <c r="L31" s="24"/>
      <c r="M31" s="28"/>
      <c r="N31" s="29"/>
    </row>
    <row r="32" spans="1:14" ht="14.25">
      <c r="A32">
        <v>951249</v>
      </c>
      <c r="B32" s="100">
        <v>969586</v>
      </c>
      <c r="C32" s="100" t="s">
        <v>50</v>
      </c>
      <c r="D32" s="81" t="s">
        <v>34</v>
      </c>
      <c r="E32" s="81">
        <v>12</v>
      </c>
      <c r="F32" s="24">
        <v>1</v>
      </c>
      <c r="G32" s="24">
        <v>4</v>
      </c>
      <c r="H32" s="31">
        <v>8</v>
      </c>
      <c r="I32" s="30"/>
      <c r="J32" s="30">
        <v>3</v>
      </c>
      <c r="K32" s="27" t="s">
        <v>51</v>
      </c>
      <c r="L32" s="24"/>
      <c r="M32" s="28">
        <f t="shared" si="0"/>
        <v>13</v>
      </c>
      <c r="N32" s="29">
        <f t="shared" si="1"/>
        <v>1.0833333333333333</v>
      </c>
    </row>
    <row r="33" spans="1:14">
      <c r="A33" s="97"/>
      <c r="B33" s="22">
        <v>974542</v>
      </c>
      <c r="C33" s="22" t="s">
        <v>52</v>
      </c>
      <c r="D33" s="22" t="s">
        <v>34</v>
      </c>
      <c r="E33" s="22">
        <v>12</v>
      </c>
      <c r="F33" s="24">
        <v>5</v>
      </c>
      <c r="G33" s="98">
        <v>2</v>
      </c>
      <c r="H33" s="85">
        <v>1</v>
      </c>
      <c r="I33" s="24"/>
      <c r="J33" s="24"/>
      <c r="K33" s="27" t="s">
        <v>51</v>
      </c>
      <c r="L33" s="24">
        <v>20</v>
      </c>
      <c r="M33" s="92">
        <f>SUM(F33:I33)</f>
        <v>8</v>
      </c>
      <c r="N33" s="93">
        <f t="shared" ref="N33:N35" si="4">(M33/E33)</f>
        <v>0.66666666666666663</v>
      </c>
    </row>
    <row r="34" spans="1:14" ht="16.5" customHeight="1">
      <c r="A34" s="91"/>
      <c r="B34" s="22">
        <v>979472</v>
      </c>
      <c r="C34" s="23" t="s">
        <v>53</v>
      </c>
      <c r="D34" s="22" t="s">
        <v>34</v>
      </c>
      <c r="E34" s="22">
        <v>12</v>
      </c>
      <c r="F34" s="24" t="s">
        <v>54</v>
      </c>
      <c r="G34" s="24"/>
      <c r="H34" s="31">
        <v>2</v>
      </c>
      <c r="I34" s="30"/>
      <c r="J34" s="30"/>
      <c r="K34" s="27" t="s">
        <v>55</v>
      </c>
      <c r="L34" s="30">
        <v>120</v>
      </c>
      <c r="M34" s="28">
        <f t="shared" ref="M34:M37" si="5">SUM(F34:I34)</f>
        <v>2</v>
      </c>
      <c r="N34" s="29">
        <f t="shared" si="4"/>
        <v>0.16666666666666666</v>
      </c>
    </row>
    <row r="35" spans="1:14">
      <c r="A35" s="89"/>
      <c r="B35" s="95">
        <v>955441</v>
      </c>
      <c r="C35" s="95" t="s">
        <v>56</v>
      </c>
      <c r="D35" s="95" t="s">
        <v>34</v>
      </c>
      <c r="E35" s="105">
        <v>12</v>
      </c>
      <c r="F35" s="30">
        <v>6</v>
      </c>
      <c r="G35" s="99">
        <v>2</v>
      </c>
      <c r="H35" s="30">
        <v>4</v>
      </c>
      <c r="I35" s="30"/>
      <c r="J35" s="30"/>
      <c r="K35" s="27" t="s">
        <v>51</v>
      </c>
      <c r="L35" s="30"/>
      <c r="M35" s="28">
        <f t="shared" si="5"/>
        <v>12</v>
      </c>
      <c r="N35" s="29">
        <f t="shared" si="4"/>
        <v>1</v>
      </c>
    </row>
    <row r="36" spans="1:14">
      <c r="A36" s="22"/>
      <c r="B36" s="23" t="s">
        <v>57</v>
      </c>
      <c r="C36" s="23" t="s">
        <v>58</v>
      </c>
      <c r="D36" s="22" t="s">
        <v>41</v>
      </c>
      <c r="E36" s="91">
        <v>12</v>
      </c>
      <c r="F36" s="24">
        <v>3</v>
      </c>
      <c r="G36" s="31">
        <v>2</v>
      </c>
      <c r="H36" s="30">
        <v>1</v>
      </c>
      <c r="I36" s="30"/>
      <c r="J36" s="27">
        <v>3</v>
      </c>
      <c r="K36" s="27"/>
      <c r="L36" s="88"/>
      <c r="M36" s="92">
        <f>SUM(F36:I36)</f>
        <v>6</v>
      </c>
      <c r="N36" s="93">
        <f t="shared" ref="N36:N37" si="6">(M36/E36)</f>
        <v>0.5</v>
      </c>
    </row>
    <row r="37" spans="1:14">
      <c r="A37" s="22"/>
      <c r="B37" s="23"/>
      <c r="C37" s="22"/>
      <c r="D37" s="22"/>
      <c r="E37" s="22"/>
      <c r="F37" s="24"/>
      <c r="G37" s="24"/>
      <c r="H37" s="30"/>
      <c r="I37" s="30"/>
      <c r="J37" s="27"/>
      <c r="K37" s="27"/>
      <c r="L37" s="24"/>
      <c r="M37" s="28">
        <f t="shared" si="5"/>
        <v>0</v>
      </c>
      <c r="N37" s="29" t="e">
        <f t="shared" si="6"/>
        <v>#DIV/0!</v>
      </c>
    </row>
    <row r="38" spans="1:14">
      <c r="A38" s="22"/>
      <c r="B38" s="23"/>
      <c r="C38" s="22"/>
      <c r="D38" s="22"/>
      <c r="E38" s="22"/>
      <c r="F38" s="24"/>
      <c r="G38" s="24"/>
      <c r="H38" s="30"/>
      <c r="I38" s="30"/>
      <c r="J38" s="27"/>
      <c r="K38" s="27"/>
      <c r="L38" s="24"/>
      <c r="M38" s="92">
        <f>SUM(F38:I38)</f>
        <v>0</v>
      </c>
      <c r="N38" s="93" t="e">
        <f t="shared" ref="N38" si="7">(M38/E38)</f>
        <v>#DIV/0!</v>
      </c>
    </row>
    <row r="39" spans="1:14">
      <c r="B39" s="22"/>
      <c r="C39" s="23"/>
      <c r="D39" s="22"/>
      <c r="E39" s="22"/>
      <c r="F39" s="24"/>
      <c r="G39" s="24"/>
      <c r="H39" s="31"/>
      <c r="I39" s="30"/>
      <c r="J39" s="30"/>
      <c r="K39" s="27"/>
      <c r="L39" s="24"/>
      <c r="M39" s="28"/>
      <c r="N39" s="29"/>
    </row>
    <row r="40" spans="1:14">
      <c r="B40" s="138" t="s">
        <v>1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9"/>
      <c r="N40" s="29"/>
    </row>
    <row r="41" spans="1:14" ht="22.5" customHeight="1">
      <c r="B41" s="149"/>
      <c r="C41" s="149" t="s">
        <v>59</v>
      </c>
      <c r="D41" s="149"/>
      <c r="E41" s="177" t="s">
        <v>5</v>
      </c>
      <c r="F41" s="172" t="s">
        <v>60</v>
      </c>
      <c r="G41" s="173"/>
      <c r="H41" s="173"/>
      <c r="I41" s="173"/>
      <c r="J41" s="174"/>
      <c r="K41" s="175"/>
      <c r="L41" s="149"/>
      <c r="M41" s="149" t="s">
        <v>61</v>
      </c>
      <c r="N41" s="182" t="s">
        <v>62</v>
      </c>
    </row>
    <row r="42" spans="1:14" ht="51" customHeight="1">
      <c r="B42" s="149"/>
      <c r="C42" s="149"/>
      <c r="D42" s="149"/>
      <c r="E42" s="178"/>
      <c r="F42" s="32" t="s">
        <v>63</v>
      </c>
      <c r="G42" s="139" t="s">
        <v>64</v>
      </c>
      <c r="H42" s="176"/>
      <c r="I42" s="83" t="s">
        <v>65</v>
      </c>
      <c r="J42" s="32" t="s">
        <v>66</v>
      </c>
      <c r="K42" s="84" t="s">
        <v>67</v>
      </c>
      <c r="L42" s="150"/>
      <c r="M42" s="150"/>
      <c r="N42" s="183"/>
    </row>
    <row r="43" spans="1:14">
      <c r="B43" s="23" t="s">
        <v>68</v>
      </c>
      <c r="C43" s="23" t="s">
        <v>69</v>
      </c>
      <c r="D43" s="22" t="s">
        <v>44</v>
      </c>
      <c r="E43" s="24">
        <v>12</v>
      </c>
      <c r="F43" s="23"/>
      <c r="G43" s="151"/>
      <c r="H43" s="152"/>
      <c r="I43" s="86"/>
      <c r="J43" s="104"/>
      <c r="K43" s="87" t="s">
        <v>70</v>
      </c>
      <c r="L43" s="31"/>
      <c r="M43" s="28">
        <f t="shared" ref="M43:M48" si="8">SUM(F43:J43)</f>
        <v>0</v>
      </c>
      <c r="N43" s="29">
        <f t="shared" ref="N43:N48" si="9">(M43/E43)</f>
        <v>0</v>
      </c>
    </row>
    <row r="44" spans="1:14">
      <c r="A44">
        <v>1</v>
      </c>
      <c r="B44" s="22">
        <v>980790</v>
      </c>
      <c r="C44" s="22" t="s">
        <v>71</v>
      </c>
      <c r="D44" s="22" t="s">
        <v>34</v>
      </c>
      <c r="E44" s="22">
        <v>12</v>
      </c>
      <c r="F44" s="85">
        <v>3</v>
      </c>
      <c r="G44" s="157">
        <v>3</v>
      </c>
      <c r="H44" s="157"/>
      <c r="I44" s="102">
        <v>10</v>
      </c>
      <c r="J44" s="30"/>
      <c r="K44" s="103" t="s">
        <v>72</v>
      </c>
      <c r="L44" s="101"/>
      <c r="M44" s="28">
        <f t="shared" si="8"/>
        <v>16</v>
      </c>
      <c r="N44" s="29">
        <f t="shared" si="9"/>
        <v>1.3333333333333333</v>
      </c>
    </row>
    <row r="45" spans="1:14">
      <c r="B45" s="23">
        <v>998790</v>
      </c>
      <c r="C45" s="23" t="s">
        <v>73</v>
      </c>
      <c r="D45" s="22" t="s">
        <v>44</v>
      </c>
      <c r="E45" s="22">
        <v>12</v>
      </c>
      <c r="F45" s="23">
        <v>2</v>
      </c>
      <c r="G45" s="151">
        <v>4</v>
      </c>
      <c r="H45" s="152"/>
      <c r="I45" s="86">
        <v>10</v>
      </c>
      <c r="J45" s="30"/>
      <c r="K45" s="103" t="s">
        <v>74</v>
      </c>
      <c r="L45" s="85"/>
      <c r="M45" s="28">
        <f t="shared" si="8"/>
        <v>16</v>
      </c>
      <c r="N45" s="29">
        <f t="shared" si="9"/>
        <v>1.3333333333333333</v>
      </c>
    </row>
    <row r="46" spans="1:14">
      <c r="B46" s="22"/>
      <c r="C46" s="22"/>
      <c r="D46" s="22"/>
      <c r="E46" s="22"/>
      <c r="F46" s="85"/>
      <c r="G46" s="157"/>
      <c r="H46" s="157"/>
      <c r="I46" s="82"/>
      <c r="J46" s="24"/>
      <c r="K46" s="103"/>
      <c r="L46" s="85"/>
      <c r="M46" s="28"/>
      <c r="N46" s="29"/>
    </row>
    <row r="47" spans="1:14">
      <c r="B47" s="23">
        <v>712988</v>
      </c>
      <c r="C47" s="23" t="s">
        <v>75</v>
      </c>
      <c r="D47" s="22" t="s">
        <v>44</v>
      </c>
      <c r="E47" s="30">
        <v>12</v>
      </c>
      <c r="F47" s="89"/>
      <c r="G47" s="153"/>
      <c r="H47" s="154"/>
      <c r="I47" s="33">
        <v>5</v>
      </c>
      <c r="J47" s="22"/>
      <c r="K47" s="34" t="s">
        <v>76</v>
      </c>
      <c r="L47" s="85"/>
      <c r="M47" s="28">
        <f t="shared" si="8"/>
        <v>5</v>
      </c>
      <c r="N47" s="29">
        <f t="shared" si="9"/>
        <v>0.41666666666666669</v>
      </c>
    </row>
    <row r="48" spans="1:14" ht="18" customHeight="1">
      <c r="B48" s="23" t="s">
        <v>77</v>
      </c>
      <c r="C48" s="23" t="s">
        <v>78</v>
      </c>
      <c r="D48" s="22" t="s">
        <v>34</v>
      </c>
      <c r="E48" s="81">
        <v>12</v>
      </c>
      <c r="F48" s="89">
        <v>2</v>
      </c>
      <c r="G48" s="155">
        <v>2</v>
      </c>
      <c r="H48" s="156"/>
      <c r="I48" s="90">
        <v>13</v>
      </c>
      <c r="J48" s="23"/>
      <c r="K48" s="34" t="s">
        <v>79</v>
      </c>
      <c r="L48" s="85"/>
      <c r="M48" s="28">
        <f t="shared" si="8"/>
        <v>17</v>
      </c>
      <c r="N48" s="29">
        <f t="shared" si="9"/>
        <v>1.4166666666666667</v>
      </c>
    </row>
    <row r="49" spans="2:14">
      <c r="B49" s="23"/>
      <c r="C49" s="23"/>
      <c r="D49" s="22"/>
      <c r="E49" s="91"/>
      <c r="F49" s="23"/>
      <c r="G49" s="151"/>
      <c r="H49" s="152"/>
      <c r="I49" s="86"/>
      <c r="J49" s="30"/>
      <c r="K49" s="34"/>
      <c r="L49" s="85"/>
      <c r="M49" s="28">
        <f t="shared" ref="M49" si="10">SUM(F49:J49)</f>
        <v>0</v>
      </c>
      <c r="N49" s="29" t="e">
        <f t="shared" ref="N49" si="11">(M49/E49)</f>
        <v>#DIV/0!</v>
      </c>
    </row>
    <row r="50" spans="2:14" ht="25.5" customHeight="1">
      <c r="B50" s="180"/>
      <c r="C50" s="180"/>
      <c r="D50" s="180"/>
      <c r="E50" s="180"/>
      <c r="F50" s="180"/>
      <c r="G50" s="181"/>
      <c r="H50" s="181"/>
      <c r="I50" s="181"/>
      <c r="J50" s="180"/>
      <c r="K50" s="180"/>
      <c r="L50" s="180"/>
      <c r="M50" s="181"/>
      <c r="N50" s="181"/>
    </row>
    <row r="51" spans="2:14">
      <c r="B51" s="167" t="s">
        <v>80</v>
      </c>
      <c r="C51" s="167"/>
      <c r="D51" s="167"/>
      <c r="E51" s="167"/>
      <c r="F51" s="167"/>
      <c r="G51" s="35"/>
      <c r="H51" s="36"/>
      <c r="I51" s="167" t="s">
        <v>81</v>
      </c>
      <c r="J51" s="167"/>
      <c r="K51" s="167"/>
      <c r="L51" s="167"/>
      <c r="M51" s="167"/>
      <c r="N51" s="37"/>
    </row>
    <row r="52" spans="2:14" ht="25.5">
      <c r="B52" s="38" t="s">
        <v>82</v>
      </c>
      <c r="C52" s="39" t="s">
        <v>83</v>
      </c>
      <c r="D52" s="39" t="s">
        <v>84</v>
      </c>
      <c r="E52" s="39" t="s">
        <v>85</v>
      </c>
      <c r="F52" s="39" t="s">
        <v>86</v>
      </c>
      <c r="G52" s="40"/>
      <c r="H52" s="41"/>
      <c r="I52" s="38" t="s">
        <v>82</v>
      </c>
      <c r="J52" s="80" t="s">
        <v>83</v>
      </c>
      <c r="K52" s="80" t="s">
        <v>84</v>
      </c>
      <c r="L52" s="80" t="s">
        <v>85</v>
      </c>
      <c r="M52" s="80" t="s">
        <v>86</v>
      </c>
      <c r="N52" s="42"/>
    </row>
    <row r="53" spans="2:14" ht="27" customHeight="1">
      <c r="B53" s="39" t="s">
        <v>87</v>
      </c>
      <c r="C53" s="25">
        <v>8</v>
      </c>
      <c r="D53" s="25">
        <v>2</v>
      </c>
      <c r="E53" s="25">
        <v>10</v>
      </c>
      <c r="F53" s="25"/>
      <c r="G53" s="43"/>
      <c r="H53" s="179"/>
      <c r="I53" s="39" t="s">
        <v>88</v>
      </c>
      <c r="J53" s="25">
        <v>7</v>
      </c>
      <c r="K53" s="25">
        <v>9</v>
      </c>
      <c r="L53" s="25">
        <v>38</v>
      </c>
      <c r="M53" s="25"/>
      <c r="N53" s="42"/>
    </row>
    <row r="54" spans="2:14" ht="27.75" customHeight="1">
      <c r="B54" s="39" t="s">
        <v>89</v>
      </c>
      <c r="C54" s="44">
        <v>1</v>
      </c>
      <c r="D54" s="44"/>
      <c r="E54" s="44"/>
      <c r="F54" s="44"/>
      <c r="G54" s="43"/>
      <c r="H54" s="179"/>
      <c r="I54" s="39" t="s">
        <v>90</v>
      </c>
      <c r="J54" s="25">
        <v>42</v>
      </c>
      <c r="K54" s="25">
        <v>8</v>
      </c>
      <c r="L54" s="25">
        <v>32</v>
      </c>
      <c r="M54" s="25"/>
      <c r="N54" s="42"/>
    </row>
    <row r="55" spans="2:14" ht="27.75" customHeight="1">
      <c r="B55" s="39" t="s">
        <v>91</v>
      </c>
      <c r="C55" s="44">
        <v>10</v>
      </c>
      <c r="D55" s="44">
        <v>11</v>
      </c>
      <c r="E55" s="44">
        <v>20</v>
      </c>
      <c r="F55" s="44"/>
      <c r="G55" s="43"/>
      <c r="H55" s="179"/>
      <c r="I55" s="39" t="s">
        <v>92</v>
      </c>
      <c r="J55" s="45">
        <f>SUM(J53:J54)</f>
        <v>49</v>
      </c>
      <c r="K55" s="45">
        <f>SUM(K53:K54)</f>
        <v>17</v>
      </c>
      <c r="L55" s="45">
        <f>SUM(L53:L54)</f>
        <v>70</v>
      </c>
      <c r="M55" s="45">
        <f>SUM(M53:M54)</f>
        <v>0</v>
      </c>
      <c r="N55" s="42"/>
    </row>
    <row r="56" spans="2:14" ht="34.5" customHeight="1">
      <c r="B56" s="39" t="s">
        <v>93</v>
      </c>
      <c r="C56" s="44">
        <v>8</v>
      </c>
      <c r="D56" s="44">
        <v>2</v>
      </c>
      <c r="E56" s="44">
        <v>3</v>
      </c>
      <c r="F56" s="44"/>
      <c r="G56" s="43"/>
      <c r="H56" s="179"/>
      <c r="I56" s="46"/>
      <c r="J56" s="46"/>
      <c r="K56" s="46"/>
      <c r="L56" s="46"/>
      <c r="M56" s="46"/>
      <c r="N56" s="42"/>
    </row>
    <row r="57" spans="2:14" ht="30.75" customHeight="1">
      <c r="B57" s="39" t="s">
        <v>94</v>
      </c>
      <c r="C57" s="45">
        <f>SUM(C53:C56)</f>
        <v>27</v>
      </c>
      <c r="D57" s="45">
        <f>SUM(D53:D56)</f>
        <v>15</v>
      </c>
      <c r="E57" s="45">
        <f>SUM(E53:E56)</f>
        <v>33</v>
      </c>
      <c r="F57" s="45">
        <f>SUM(F53:F56)</f>
        <v>0</v>
      </c>
      <c r="G57" s="43"/>
      <c r="H57" s="41"/>
      <c r="I57" s="171"/>
      <c r="J57" s="171"/>
      <c r="K57" s="171"/>
      <c r="L57" s="171"/>
      <c r="M57" s="47"/>
      <c r="N57" s="42"/>
    </row>
    <row r="58" spans="2:14" ht="22.5" customHeight="1">
      <c r="B58" s="48"/>
      <c r="C58" s="40"/>
      <c r="D58" s="40"/>
      <c r="E58" s="40"/>
      <c r="F58" s="40"/>
      <c r="G58" s="43"/>
      <c r="H58" s="41"/>
      <c r="I58" s="43"/>
      <c r="J58" s="41"/>
      <c r="K58" s="41"/>
      <c r="L58" s="49"/>
      <c r="M58" s="47"/>
      <c r="N58" s="42"/>
    </row>
    <row r="59" spans="2:14" ht="24" customHeight="1">
      <c r="B59" s="50"/>
      <c r="C59" s="41"/>
      <c r="D59" s="41"/>
      <c r="E59" s="41"/>
      <c r="F59" s="51"/>
      <c r="G59" s="52"/>
      <c r="H59" s="41"/>
      <c r="I59" s="41"/>
      <c r="J59" s="49"/>
      <c r="K59" s="49"/>
      <c r="L59" s="49"/>
      <c r="M59" s="47"/>
      <c r="N59" s="42"/>
    </row>
    <row r="60" spans="2:14" ht="15" customHeight="1">
      <c r="B60" s="163" t="s">
        <v>95</v>
      </c>
      <c r="C60" s="163"/>
      <c r="D60" s="52"/>
      <c r="E60" s="52"/>
      <c r="F60" s="51"/>
      <c r="G60" s="160" t="s">
        <v>96</v>
      </c>
      <c r="H60" s="161"/>
      <c r="I60" s="162"/>
      <c r="J60" s="46"/>
      <c r="K60" s="163" t="s">
        <v>97</v>
      </c>
      <c r="L60" s="163"/>
      <c r="M60" s="47"/>
      <c r="N60" s="42"/>
    </row>
    <row r="61" spans="2:14" ht="15.75" customHeight="1">
      <c r="B61" s="53" t="s">
        <v>98</v>
      </c>
      <c r="C61" s="18"/>
      <c r="D61" s="41"/>
      <c r="E61" s="41"/>
      <c r="F61" s="51"/>
      <c r="G61" s="158"/>
      <c r="H61" s="159"/>
      <c r="I61" s="18">
        <v>2</v>
      </c>
      <c r="J61" s="46"/>
      <c r="K61" s="53" t="s">
        <v>98</v>
      </c>
      <c r="L61" s="18">
        <v>17</v>
      </c>
      <c r="M61" s="47"/>
      <c r="N61" s="42"/>
    </row>
    <row r="62" spans="2:14">
      <c r="B62" s="53" t="s">
        <v>99</v>
      </c>
      <c r="C62" s="18"/>
      <c r="D62" s="41"/>
      <c r="E62" s="41"/>
      <c r="F62" s="51"/>
      <c r="G62" s="158"/>
      <c r="H62" s="159"/>
      <c r="I62" s="18">
        <v>17</v>
      </c>
      <c r="J62" s="46"/>
      <c r="K62" s="53" t="s">
        <v>99</v>
      </c>
      <c r="L62" s="18">
        <v>785</v>
      </c>
      <c r="M62" s="47"/>
      <c r="N62" s="42"/>
    </row>
    <row r="63" spans="2:14">
      <c r="B63" s="54"/>
      <c r="C63" s="55"/>
      <c r="D63" s="55"/>
      <c r="E63" s="55"/>
      <c r="F63" s="51"/>
      <c r="G63" s="56"/>
      <c r="H63" s="55"/>
      <c r="I63" s="55"/>
      <c r="J63" s="57"/>
      <c r="K63" s="49"/>
      <c r="L63" s="49"/>
      <c r="M63" s="47"/>
      <c r="N63" s="42"/>
    </row>
    <row r="64" spans="2:14">
      <c r="B64" s="58"/>
      <c r="C64" s="59"/>
      <c r="D64" s="57"/>
      <c r="E64" s="51"/>
      <c r="F64" s="51"/>
      <c r="G64" s="57"/>
      <c r="H64" s="57"/>
      <c r="I64" s="57"/>
      <c r="J64" s="57"/>
      <c r="K64" s="49"/>
      <c r="L64" s="49"/>
      <c r="M64" s="47"/>
      <c r="N64" s="42"/>
    </row>
    <row r="65" spans="2:14">
      <c r="B65" s="167" t="s">
        <v>100</v>
      </c>
      <c r="C65" s="167"/>
      <c r="D65" s="167"/>
      <c r="E65" s="51"/>
      <c r="F65" s="51"/>
      <c r="G65" s="167" t="s">
        <v>101</v>
      </c>
      <c r="H65" s="167"/>
      <c r="I65" s="167"/>
      <c r="J65" s="46"/>
      <c r="K65" s="168" t="s">
        <v>102</v>
      </c>
      <c r="L65" s="169"/>
      <c r="M65" s="170"/>
      <c r="N65" s="42"/>
    </row>
    <row r="66" spans="2:14">
      <c r="B66" s="39" t="s">
        <v>103</v>
      </c>
      <c r="C66" s="39" t="s">
        <v>104</v>
      </c>
      <c r="D66" s="39" t="s">
        <v>105</v>
      </c>
      <c r="E66" s="51"/>
      <c r="F66" s="51"/>
      <c r="G66" s="39" t="s">
        <v>103</v>
      </c>
      <c r="H66" s="60"/>
      <c r="I66" s="60"/>
      <c r="J66" s="46"/>
      <c r="K66" s="39" t="s">
        <v>106</v>
      </c>
      <c r="L66" s="39" t="s">
        <v>107</v>
      </c>
      <c r="M66" s="39" t="s">
        <v>108</v>
      </c>
      <c r="N66" s="42"/>
    </row>
    <row r="67" spans="2:14">
      <c r="B67" s="53" t="s">
        <v>109</v>
      </c>
      <c r="C67" s="19">
        <v>68</v>
      </c>
      <c r="D67" s="20">
        <v>100712</v>
      </c>
      <c r="E67" s="51"/>
      <c r="F67" s="51"/>
      <c r="G67" s="53" t="s">
        <v>109</v>
      </c>
      <c r="H67" s="19">
        <v>23</v>
      </c>
      <c r="I67" s="20">
        <v>14832</v>
      </c>
      <c r="J67" s="46"/>
      <c r="K67" s="61"/>
      <c r="L67" s="62"/>
      <c r="M67" s="62"/>
      <c r="N67" s="42"/>
    </row>
    <row r="68" spans="2:14">
      <c r="B68" s="53" t="s">
        <v>110</v>
      </c>
      <c r="C68" s="19"/>
      <c r="D68" s="20"/>
      <c r="E68" s="51"/>
      <c r="F68" s="51"/>
      <c r="G68" s="53" t="s">
        <v>111</v>
      </c>
      <c r="H68" s="18">
        <v>6</v>
      </c>
      <c r="I68" s="18">
        <v>2135</v>
      </c>
      <c r="J68" s="46"/>
      <c r="K68" s="61"/>
      <c r="L68" s="62"/>
      <c r="M68" s="62"/>
      <c r="N68" s="42"/>
    </row>
    <row r="69" spans="2:14">
      <c r="B69" s="53" t="s">
        <v>111</v>
      </c>
      <c r="C69" s="19">
        <v>52</v>
      </c>
      <c r="D69" s="20">
        <v>9508</v>
      </c>
      <c r="E69" s="51"/>
      <c r="F69" s="51"/>
      <c r="G69" s="39" t="s">
        <v>112</v>
      </c>
      <c r="H69" s="45">
        <f>SUM(H66:H68)</f>
        <v>29</v>
      </c>
      <c r="I69" s="45">
        <f>SUM(I66:I68)</f>
        <v>16967</v>
      </c>
      <c r="J69" s="46"/>
      <c r="K69" s="63" t="s">
        <v>113</v>
      </c>
      <c r="L69" s="64">
        <v>7</v>
      </c>
      <c r="M69" s="64">
        <v>1676</v>
      </c>
      <c r="N69" s="42"/>
    </row>
    <row r="70" spans="2:14">
      <c r="B70" s="39" t="s">
        <v>112</v>
      </c>
      <c r="C70" s="45">
        <f>SUM(C67:C69)</f>
        <v>120</v>
      </c>
      <c r="D70" s="45">
        <f>SUM(D67:D69)</f>
        <v>110220</v>
      </c>
      <c r="E70" s="51"/>
      <c r="F70" s="46"/>
      <c r="G70" s="46"/>
      <c r="H70" s="46"/>
      <c r="I70" s="46"/>
      <c r="J70" s="46"/>
      <c r="K70" s="61" t="s">
        <v>114</v>
      </c>
      <c r="L70" s="64">
        <v>1</v>
      </c>
      <c r="M70" s="64">
        <v>10</v>
      </c>
      <c r="N70" s="42"/>
    </row>
    <row r="71" spans="2:14">
      <c r="B71" s="65"/>
      <c r="C71" s="46"/>
      <c r="D71" s="46"/>
      <c r="E71" s="51"/>
      <c r="F71" s="46"/>
      <c r="G71" s="46"/>
      <c r="H71" s="46"/>
      <c r="I71" s="46"/>
      <c r="J71" s="46"/>
      <c r="K71" s="63" t="s">
        <v>115</v>
      </c>
      <c r="L71" s="64">
        <v>14</v>
      </c>
      <c r="M71" s="64">
        <v>143</v>
      </c>
      <c r="N71" s="42"/>
    </row>
    <row r="72" spans="2:14">
      <c r="B72" s="167" t="s">
        <v>116</v>
      </c>
      <c r="C72" s="167"/>
      <c r="D72" s="167"/>
      <c r="E72" s="51"/>
      <c r="F72" s="167" t="s">
        <v>117</v>
      </c>
      <c r="G72" s="167"/>
      <c r="H72" s="167"/>
      <c r="I72" s="66"/>
      <c r="J72" s="46"/>
      <c r="K72" s="63"/>
      <c r="L72" s="64"/>
      <c r="M72" s="64"/>
      <c r="N72" s="42"/>
    </row>
    <row r="73" spans="2:14">
      <c r="B73" s="21"/>
      <c r="C73" s="21"/>
      <c r="D73" s="21"/>
      <c r="E73" s="51"/>
      <c r="F73" s="21"/>
      <c r="G73" s="21"/>
      <c r="H73" s="21"/>
      <c r="I73" s="66"/>
      <c r="J73" s="46"/>
      <c r="K73" s="63"/>
      <c r="L73" s="64"/>
      <c r="M73" s="64"/>
      <c r="N73" s="42"/>
    </row>
    <row r="74" spans="2:14">
      <c r="B74" s="39" t="s">
        <v>118</v>
      </c>
      <c r="C74" s="18"/>
      <c r="D74" s="18"/>
      <c r="E74" s="51"/>
      <c r="F74" s="67"/>
      <c r="G74" s="67"/>
      <c r="H74" s="67"/>
      <c r="I74" s="68"/>
      <c r="J74" s="46"/>
      <c r="K74" s="63"/>
      <c r="L74" s="64"/>
      <c r="M74" s="64"/>
      <c r="N74" s="42"/>
    </row>
    <row r="75" spans="2:14" ht="16.5" customHeight="1" thickBot="1">
      <c r="B75" s="39" t="s">
        <v>119</v>
      </c>
      <c r="C75" s="18">
        <v>2</v>
      </c>
      <c r="D75" s="18">
        <v>740</v>
      </c>
      <c r="E75" s="51"/>
      <c r="F75" s="67"/>
      <c r="G75" s="67"/>
      <c r="H75" s="67"/>
      <c r="I75" s="68"/>
      <c r="J75" s="46"/>
      <c r="K75" s="63"/>
      <c r="L75" s="64"/>
      <c r="M75" s="64"/>
      <c r="N75" s="42"/>
    </row>
    <row r="76" spans="2:14">
      <c r="B76" s="39" t="s">
        <v>120</v>
      </c>
      <c r="C76" s="18">
        <v>10</v>
      </c>
      <c r="D76" s="18">
        <v>32</v>
      </c>
      <c r="E76" s="51"/>
      <c r="F76" s="69"/>
      <c r="G76" s="70"/>
      <c r="H76" s="70"/>
      <c r="I76" s="47"/>
      <c r="J76" s="46"/>
      <c r="K76" s="63"/>
      <c r="L76" s="64"/>
      <c r="M76" s="64"/>
      <c r="N76" s="42"/>
    </row>
    <row r="77" spans="2:14">
      <c r="B77" s="39" t="s">
        <v>121</v>
      </c>
      <c r="C77" s="18">
        <v>1</v>
      </c>
      <c r="D77" s="18">
        <v>150</v>
      </c>
      <c r="E77" s="51"/>
      <c r="F77" s="69"/>
      <c r="G77" s="70"/>
      <c r="H77" s="70"/>
      <c r="I77" s="47"/>
      <c r="J77" s="46"/>
      <c r="K77" s="63"/>
      <c r="L77" s="64"/>
      <c r="M77" s="64"/>
      <c r="N77" s="42"/>
    </row>
    <row r="78" spans="2:14">
      <c r="B78" s="71"/>
      <c r="C78" s="46"/>
      <c r="D78" s="46"/>
      <c r="E78" s="51"/>
      <c r="F78" s="69"/>
      <c r="G78" s="70"/>
      <c r="H78" s="70"/>
      <c r="I78" s="47"/>
      <c r="J78" s="46"/>
      <c r="K78" s="63"/>
      <c r="L78" s="64"/>
      <c r="M78" s="64"/>
      <c r="N78" s="42"/>
    </row>
    <row r="79" spans="2:14">
      <c r="B79" s="72"/>
      <c r="C79" s="46"/>
      <c r="D79" s="46"/>
      <c r="E79" s="51"/>
      <c r="F79" s="69"/>
      <c r="G79" s="70"/>
      <c r="H79" s="70"/>
      <c r="I79" s="47"/>
      <c r="J79" s="57"/>
      <c r="K79" s="63"/>
      <c r="L79" s="64"/>
      <c r="M79" s="64"/>
      <c r="N79" s="42"/>
    </row>
    <row r="80" spans="2:14">
      <c r="B80" s="58"/>
      <c r="C80" s="59"/>
      <c r="D80" s="57"/>
      <c r="E80" s="51"/>
      <c r="F80" s="69"/>
      <c r="G80" s="70"/>
      <c r="H80" s="70"/>
      <c r="I80" s="47"/>
      <c r="J80" s="57"/>
      <c r="K80" s="63"/>
      <c r="L80" s="64"/>
      <c r="M80" s="64"/>
      <c r="N80" s="42"/>
    </row>
    <row r="81" spans="2:14">
      <c r="B81" s="58"/>
      <c r="C81" s="59"/>
      <c r="D81" s="57"/>
      <c r="E81" s="51"/>
      <c r="F81" s="69"/>
      <c r="G81" s="22"/>
      <c r="H81" s="22"/>
      <c r="I81" s="49"/>
      <c r="J81" s="57"/>
      <c r="K81" s="63"/>
      <c r="L81" s="61"/>
      <c r="M81" s="64"/>
      <c r="N81" s="42"/>
    </row>
    <row r="82" spans="2:14">
      <c r="B82" s="58"/>
      <c r="C82" s="59"/>
      <c r="D82" s="57"/>
      <c r="E82" s="51"/>
      <c r="F82" s="51"/>
      <c r="G82" s="57"/>
      <c r="H82" s="57"/>
      <c r="I82" s="49"/>
      <c r="J82" s="57"/>
      <c r="K82" s="63"/>
      <c r="L82" s="64"/>
      <c r="M82" s="64"/>
      <c r="N82" s="42"/>
    </row>
    <row r="83" spans="2:14">
      <c r="B83" s="58"/>
      <c r="C83" s="59"/>
      <c r="D83" s="57"/>
      <c r="E83" s="51"/>
      <c r="F83" s="51"/>
      <c r="G83" s="57"/>
      <c r="H83" s="57"/>
      <c r="I83" s="49"/>
      <c r="J83" s="57"/>
      <c r="K83" s="63"/>
      <c r="L83" s="64"/>
      <c r="M83" s="64"/>
      <c r="N83" s="42"/>
    </row>
    <row r="84" spans="2:14">
      <c r="B84" s="58"/>
      <c r="C84" s="59"/>
      <c r="D84" s="57"/>
      <c r="E84" s="51"/>
      <c r="F84" s="51"/>
      <c r="G84" s="57"/>
      <c r="H84" s="57"/>
      <c r="I84" s="49"/>
      <c r="J84" s="57"/>
      <c r="K84" s="63"/>
      <c r="L84" s="64"/>
      <c r="M84" s="64"/>
      <c r="N84" s="42"/>
    </row>
    <row r="85" spans="2:14">
      <c r="B85" s="58"/>
      <c r="C85" s="59"/>
      <c r="D85" s="57"/>
      <c r="E85" s="51"/>
      <c r="F85" s="51"/>
      <c r="G85" s="57"/>
      <c r="H85" s="57"/>
      <c r="I85" s="49"/>
      <c r="J85" s="57"/>
      <c r="K85" s="63"/>
      <c r="L85" s="64"/>
      <c r="M85" s="64"/>
      <c r="N85" s="42"/>
    </row>
    <row r="86" spans="2:14">
      <c r="B86" s="58"/>
      <c r="C86" s="59"/>
      <c r="D86" s="57"/>
      <c r="E86" s="51"/>
      <c r="F86" s="51"/>
      <c r="G86" s="57"/>
      <c r="H86" s="57"/>
      <c r="I86" s="49"/>
      <c r="J86" s="57"/>
      <c r="K86" s="63" t="s">
        <v>106</v>
      </c>
      <c r="L86" s="64">
        <f>SUM(L67:L85)</f>
        <v>22</v>
      </c>
      <c r="M86" s="64">
        <f>SUM(M67:M85)</f>
        <v>1829</v>
      </c>
      <c r="N86" s="42"/>
    </row>
    <row r="87" spans="2:14">
      <c r="B87" s="58"/>
      <c r="C87" s="59"/>
      <c r="D87" s="57"/>
      <c r="E87" s="51"/>
      <c r="F87" s="51"/>
      <c r="G87" s="57"/>
      <c r="H87" s="57"/>
      <c r="I87" s="57"/>
      <c r="J87" s="57"/>
      <c r="K87" s="63"/>
      <c r="L87" s="64"/>
      <c r="M87" s="64"/>
      <c r="N87" s="42"/>
    </row>
    <row r="88" spans="2:14">
      <c r="B88" s="58"/>
      <c r="C88" s="59"/>
      <c r="D88" s="57"/>
      <c r="E88" s="51"/>
      <c r="F88" s="51"/>
      <c r="G88" s="57"/>
      <c r="H88" s="57"/>
      <c r="I88" s="57"/>
      <c r="J88" s="57"/>
      <c r="K88" s="73"/>
      <c r="L88" s="74"/>
      <c r="M88" s="75"/>
      <c r="N88" s="42"/>
    </row>
    <row r="89" spans="2:14">
      <c r="B89" s="58"/>
      <c r="C89" s="59"/>
      <c r="D89" s="57"/>
      <c r="E89" s="51"/>
      <c r="F89" s="51"/>
      <c r="G89" s="57"/>
      <c r="H89" s="57"/>
      <c r="I89" s="57"/>
      <c r="J89" s="57"/>
      <c r="K89" s="76"/>
      <c r="L89" s="77"/>
      <c r="M89" s="78"/>
      <c r="N89" s="79"/>
    </row>
    <row r="90" spans="2:14" ht="27.75" customHeight="1">
      <c r="B90" s="164" t="s">
        <v>122</v>
      </c>
      <c r="C90" s="165"/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6"/>
    </row>
    <row r="91" spans="2:14">
      <c r="B91" s="12"/>
      <c r="C91" s="8"/>
      <c r="D91" s="9"/>
      <c r="E91" s="10"/>
      <c r="F91" s="10"/>
      <c r="G91" s="9"/>
      <c r="H91" s="9"/>
      <c r="I91" s="9"/>
      <c r="J91" s="9"/>
      <c r="K91" s="13"/>
      <c r="L91" s="13"/>
      <c r="M91" s="1"/>
      <c r="N91" s="14"/>
    </row>
    <row r="92" spans="2:14" ht="21.75" customHeight="1">
      <c r="B92" s="17" t="s">
        <v>109</v>
      </c>
      <c r="C92" s="16" t="s">
        <v>123</v>
      </c>
      <c r="D92" s="16" t="s">
        <v>124</v>
      </c>
      <c r="F92" s="17" t="s">
        <v>110</v>
      </c>
      <c r="G92" s="16" t="s">
        <v>123</v>
      </c>
      <c r="H92" s="16" t="s">
        <v>124</v>
      </c>
      <c r="J92" s="17" t="s">
        <v>125</v>
      </c>
      <c r="K92" s="16" t="s">
        <v>123</v>
      </c>
      <c r="L92" s="16" t="s">
        <v>124</v>
      </c>
      <c r="M92" s="1"/>
      <c r="N92" s="14"/>
    </row>
    <row r="93" spans="2:14">
      <c r="B93" s="11" t="s">
        <v>126</v>
      </c>
      <c r="C93" s="5">
        <v>6</v>
      </c>
      <c r="D93" s="5">
        <v>12</v>
      </c>
      <c r="F93" s="11" t="s">
        <v>126</v>
      </c>
      <c r="G93" s="5"/>
      <c r="H93" s="5"/>
      <c r="J93" s="11" t="s">
        <v>126</v>
      </c>
      <c r="K93" s="5">
        <v>2</v>
      </c>
      <c r="L93" s="5">
        <v>12</v>
      </c>
      <c r="M93" s="1"/>
      <c r="N93" s="14"/>
    </row>
    <row r="94" spans="2:14">
      <c r="B94" s="2" t="s">
        <v>127</v>
      </c>
      <c r="C94" s="5">
        <v>1</v>
      </c>
      <c r="D94" s="5">
        <v>12</v>
      </c>
      <c r="F94" s="2" t="s">
        <v>127</v>
      </c>
      <c r="G94" s="5"/>
      <c r="H94" s="5"/>
      <c r="J94" s="2" t="s">
        <v>127</v>
      </c>
      <c r="K94" s="5">
        <v>0</v>
      </c>
      <c r="L94" s="5">
        <v>0</v>
      </c>
      <c r="M94" s="1"/>
      <c r="N94" s="14"/>
    </row>
    <row r="95" spans="2:14">
      <c r="B95" s="3" t="s">
        <v>128</v>
      </c>
      <c r="C95" s="5">
        <v>2</v>
      </c>
      <c r="D95" s="5">
        <v>12</v>
      </c>
      <c r="F95" s="3" t="s">
        <v>128</v>
      </c>
      <c r="G95" s="5"/>
      <c r="H95" s="5"/>
      <c r="J95" s="3" t="s">
        <v>128</v>
      </c>
      <c r="K95" s="5">
        <v>0</v>
      </c>
      <c r="L95" s="5">
        <v>0</v>
      </c>
      <c r="M95" s="1"/>
      <c r="N95" s="14"/>
    </row>
    <row r="96" spans="2:14">
      <c r="B96" s="2" t="s">
        <v>129</v>
      </c>
      <c r="C96" s="5">
        <v>7</v>
      </c>
      <c r="D96" s="5">
        <v>12</v>
      </c>
      <c r="F96" s="2" t="s">
        <v>129</v>
      </c>
      <c r="G96" s="5"/>
      <c r="H96" s="5"/>
      <c r="J96" s="2" t="s">
        <v>129</v>
      </c>
      <c r="K96" s="5">
        <v>6</v>
      </c>
      <c r="L96" s="5">
        <v>12</v>
      </c>
      <c r="M96" s="1"/>
      <c r="N96" s="14"/>
    </row>
    <row r="97" spans="2:14">
      <c r="B97" s="3" t="s">
        <v>130</v>
      </c>
      <c r="C97" s="5">
        <v>1</v>
      </c>
      <c r="D97" s="5">
        <v>11</v>
      </c>
      <c r="F97" s="3" t="s">
        <v>130</v>
      </c>
      <c r="G97" s="5"/>
      <c r="H97" s="5"/>
      <c r="J97" s="3" t="s">
        <v>130</v>
      </c>
      <c r="K97" s="5">
        <v>2</v>
      </c>
      <c r="L97" s="5">
        <v>10</v>
      </c>
      <c r="M97" s="1"/>
      <c r="N97" s="14"/>
    </row>
    <row r="98" spans="2:14">
      <c r="B98" s="3" t="s">
        <v>131</v>
      </c>
      <c r="C98" s="5">
        <v>10</v>
      </c>
      <c r="D98" s="5">
        <v>12</v>
      </c>
      <c r="F98" s="3" t="s">
        <v>131</v>
      </c>
      <c r="G98" s="5"/>
      <c r="H98" s="5"/>
      <c r="J98" s="3" t="s">
        <v>131</v>
      </c>
      <c r="K98" s="5">
        <v>7</v>
      </c>
      <c r="L98" s="5">
        <v>12</v>
      </c>
      <c r="M98" s="1"/>
      <c r="N98" s="14"/>
    </row>
    <row r="99" spans="2:14">
      <c r="B99" s="3" t="s">
        <v>132</v>
      </c>
      <c r="C99" s="5">
        <v>37</v>
      </c>
      <c r="D99" s="5">
        <v>12</v>
      </c>
      <c r="F99" s="3" t="s">
        <v>132</v>
      </c>
      <c r="G99" s="5"/>
      <c r="H99" s="5"/>
      <c r="J99" s="3" t="s">
        <v>132</v>
      </c>
      <c r="K99" s="5">
        <v>3</v>
      </c>
      <c r="L99" s="5">
        <v>12</v>
      </c>
      <c r="M99" s="1"/>
      <c r="N99" s="14"/>
    </row>
    <row r="100" spans="2:14">
      <c r="B100" s="3" t="s">
        <v>133</v>
      </c>
      <c r="C100" s="5">
        <v>33</v>
      </c>
      <c r="D100" s="5">
        <v>12</v>
      </c>
      <c r="F100" s="3" t="s">
        <v>133</v>
      </c>
      <c r="G100" s="5"/>
      <c r="H100" s="5"/>
      <c r="J100" s="3" t="s">
        <v>133</v>
      </c>
      <c r="K100" s="5">
        <v>14</v>
      </c>
      <c r="L100" s="5">
        <v>12</v>
      </c>
      <c r="M100" s="1"/>
      <c r="N100" s="14"/>
    </row>
    <row r="101" spans="2:14">
      <c r="B101" s="4" t="s">
        <v>112</v>
      </c>
      <c r="C101" s="7">
        <f>SUM(C93:C100)</f>
        <v>97</v>
      </c>
      <c r="D101" s="7">
        <f>SUM(D93:D100)</f>
        <v>95</v>
      </c>
      <c r="F101" s="4" t="s">
        <v>112</v>
      </c>
      <c r="G101" s="7">
        <f>SUM(G93:G100)</f>
        <v>0</v>
      </c>
      <c r="H101" s="7">
        <f>SUM(H93:H100)</f>
        <v>0</v>
      </c>
      <c r="J101" s="4" t="s">
        <v>112</v>
      </c>
      <c r="K101" s="15">
        <f>SUM(K93:K100)</f>
        <v>34</v>
      </c>
      <c r="L101" s="15">
        <f>SUM(L93:L100)</f>
        <v>70</v>
      </c>
      <c r="M101" s="1"/>
      <c r="N101" s="14"/>
    </row>
    <row r="102" spans="2:14">
      <c r="B102" s="6"/>
      <c r="M102" s="1"/>
      <c r="N102" s="14"/>
    </row>
    <row r="103" spans="2:14">
      <c r="B103" s="12"/>
      <c r="C103" s="8"/>
      <c r="D103" s="9"/>
      <c r="E103" s="10"/>
      <c r="F103" s="10"/>
      <c r="G103" s="9"/>
      <c r="H103" s="9"/>
      <c r="I103" s="9"/>
      <c r="J103" s="9"/>
      <c r="K103" s="13"/>
      <c r="L103" s="13"/>
      <c r="M103" s="1"/>
      <c r="N103" s="14"/>
    </row>
    <row r="104" spans="2:14" ht="15" customHeight="1">
      <c r="B104" s="143" t="s">
        <v>134</v>
      </c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5"/>
    </row>
    <row r="105" spans="2:14" ht="27" customHeight="1">
      <c r="B105" s="106" t="s">
        <v>135</v>
      </c>
      <c r="C105" s="106"/>
      <c r="D105" s="107"/>
      <c r="E105" s="140" t="s">
        <v>136</v>
      </c>
      <c r="F105" s="141"/>
      <c r="G105" s="141"/>
      <c r="H105" s="141"/>
      <c r="I105" s="141"/>
      <c r="J105" s="141"/>
      <c r="K105" s="141"/>
      <c r="L105" s="141"/>
      <c r="M105" s="141"/>
      <c r="N105" s="142"/>
    </row>
    <row r="106" spans="2:14" ht="31.5" customHeight="1">
      <c r="B106" s="106" t="s">
        <v>137</v>
      </c>
      <c r="C106" s="106"/>
      <c r="D106" s="107"/>
      <c r="E106" s="140" t="s">
        <v>136</v>
      </c>
      <c r="F106" s="141"/>
      <c r="G106" s="141"/>
      <c r="H106" s="141"/>
      <c r="I106" s="141"/>
      <c r="J106" s="141"/>
      <c r="K106" s="141"/>
      <c r="L106" s="141"/>
      <c r="M106" s="141"/>
      <c r="N106" s="142"/>
    </row>
    <row r="107" spans="2:14" ht="33.75" customHeight="1">
      <c r="B107" s="106" t="s">
        <v>138</v>
      </c>
      <c r="C107" s="106"/>
      <c r="D107" s="107"/>
      <c r="E107" s="140" t="s">
        <v>136</v>
      </c>
      <c r="F107" s="141"/>
      <c r="G107" s="141"/>
      <c r="H107" s="141"/>
      <c r="I107" s="141"/>
      <c r="J107" s="141"/>
      <c r="K107" s="141"/>
      <c r="L107" s="141"/>
      <c r="M107" s="141"/>
      <c r="N107" s="142"/>
    </row>
    <row r="108" spans="2:14" ht="20.25" customHeight="1">
      <c r="B108" s="146" t="s">
        <v>139</v>
      </c>
      <c r="C108" s="147"/>
      <c r="D108" s="148"/>
      <c r="E108" s="140" t="s">
        <v>136</v>
      </c>
      <c r="F108" s="141"/>
      <c r="G108" s="141"/>
      <c r="H108" s="141"/>
      <c r="I108" s="141"/>
      <c r="J108" s="141"/>
      <c r="K108" s="141"/>
      <c r="L108" s="141"/>
      <c r="M108" s="141"/>
      <c r="N108" s="142"/>
    </row>
    <row r="109" spans="2:14" ht="21.75" customHeight="1">
      <c r="B109" s="146" t="s">
        <v>140</v>
      </c>
      <c r="C109" s="147"/>
      <c r="D109" s="148"/>
      <c r="E109" s="140" t="s">
        <v>136</v>
      </c>
      <c r="F109" s="141"/>
      <c r="G109" s="141"/>
      <c r="H109" s="141"/>
      <c r="I109" s="141"/>
      <c r="J109" s="141"/>
      <c r="K109" s="141"/>
      <c r="L109" s="141"/>
      <c r="M109" s="141"/>
      <c r="N109" s="142"/>
    </row>
    <row r="110" spans="2:14" ht="23.25" customHeight="1">
      <c r="B110" s="106" t="s">
        <v>141</v>
      </c>
      <c r="C110" s="106"/>
      <c r="D110" s="107"/>
      <c r="E110" s="140" t="s">
        <v>136</v>
      </c>
      <c r="F110" s="141"/>
      <c r="G110" s="141"/>
      <c r="H110" s="141"/>
      <c r="I110" s="141"/>
      <c r="J110" s="141"/>
      <c r="K110" s="141"/>
      <c r="L110" s="141"/>
      <c r="M110" s="141"/>
      <c r="N110" s="142"/>
    </row>
    <row r="111" spans="2:14" ht="24" customHeight="1">
      <c r="B111" s="106" t="s">
        <v>142</v>
      </c>
      <c r="C111" s="106"/>
      <c r="D111" s="107"/>
      <c r="E111" s="140" t="s">
        <v>143</v>
      </c>
      <c r="F111" s="141"/>
      <c r="G111" s="141"/>
      <c r="H111" s="141"/>
      <c r="I111" s="141"/>
      <c r="J111" s="141"/>
      <c r="K111" s="141"/>
      <c r="L111" s="141"/>
      <c r="M111" s="141"/>
      <c r="N111" s="142"/>
    </row>
    <row r="112" spans="2:14" ht="67.5" customHeight="1">
      <c r="B112" s="106" t="s">
        <v>144</v>
      </c>
      <c r="C112" s="106"/>
      <c r="D112" s="107"/>
      <c r="E112" s="108"/>
      <c r="F112" s="109"/>
      <c r="G112" s="109"/>
      <c r="H112" s="109"/>
      <c r="I112" s="109"/>
      <c r="J112" s="109"/>
      <c r="K112" s="109"/>
      <c r="L112" s="109"/>
      <c r="M112" s="109"/>
      <c r="N112" s="110"/>
    </row>
  </sheetData>
  <mergeCells count="69">
    <mergeCell ref="I57:L57"/>
    <mergeCell ref="F41:K41"/>
    <mergeCell ref="G43:H43"/>
    <mergeCell ref="K60:L60"/>
    <mergeCell ref="B51:F51"/>
    <mergeCell ref="I51:M51"/>
    <mergeCell ref="G42:H42"/>
    <mergeCell ref="B41:B42"/>
    <mergeCell ref="C41:C42"/>
    <mergeCell ref="D41:D42"/>
    <mergeCell ref="E41:E42"/>
    <mergeCell ref="H55:H56"/>
    <mergeCell ref="H53:H54"/>
    <mergeCell ref="B50:N50"/>
    <mergeCell ref="N41:N42"/>
    <mergeCell ref="G49:H49"/>
    <mergeCell ref="G62:H62"/>
    <mergeCell ref="G60:I60"/>
    <mergeCell ref="G61:H61"/>
    <mergeCell ref="B60:C60"/>
    <mergeCell ref="B90:N90"/>
    <mergeCell ref="G65:I65"/>
    <mergeCell ref="B65:D65"/>
    <mergeCell ref="K65:M65"/>
    <mergeCell ref="B72:D72"/>
    <mergeCell ref="F72:H72"/>
    <mergeCell ref="L41:L42"/>
    <mergeCell ref="M41:M42"/>
    <mergeCell ref="G45:H45"/>
    <mergeCell ref="G47:H47"/>
    <mergeCell ref="G48:H48"/>
    <mergeCell ref="G44:H44"/>
    <mergeCell ref="G46:H46"/>
    <mergeCell ref="E111:N111"/>
    <mergeCell ref="B111:D111"/>
    <mergeCell ref="B104:N104"/>
    <mergeCell ref="B107:D107"/>
    <mergeCell ref="B110:D110"/>
    <mergeCell ref="E107:N107"/>
    <mergeCell ref="E110:N110"/>
    <mergeCell ref="B105:D105"/>
    <mergeCell ref="B108:D108"/>
    <mergeCell ref="E108:N108"/>
    <mergeCell ref="E109:N109"/>
    <mergeCell ref="B109:D109"/>
    <mergeCell ref="E105:N105"/>
    <mergeCell ref="B106:D106"/>
    <mergeCell ref="E106:N106"/>
    <mergeCell ref="C8:C11"/>
    <mergeCell ref="I10:I11"/>
    <mergeCell ref="J8:J11"/>
    <mergeCell ref="F8:I9"/>
    <mergeCell ref="B40:M40"/>
    <mergeCell ref="B112:D112"/>
    <mergeCell ref="E112:N112"/>
    <mergeCell ref="B1:N1"/>
    <mergeCell ref="B7:N7"/>
    <mergeCell ref="B2:N2"/>
    <mergeCell ref="B3:N6"/>
    <mergeCell ref="N8:N11"/>
    <mergeCell ref="M8:M11"/>
    <mergeCell ref="L8:L11"/>
    <mergeCell ref="G10:G11"/>
    <mergeCell ref="B8:B11"/>
    <mergeCell ref="K8:K11"/>
    <mergeCell ref="H10:H11"/>
    <mergeCell ref="F10:F11"/>
    <mergeCell ref="E8:E11"/>
    <mergeCell ref="D8:D11"/>
  </mergeCells>
  <pageMargins left="0.7" right="0.7" top="0.75" bottom="0.75" header="0.3" footer="0.3"/>
  <pageSetup paperSize="9" scale="58" orientation="portrait" r:id="rId1"/>
  <headerFooter>
    <oddFooter>&amp;L&amp;1#&amp;"Calibri"&amp;6&amp;K737373BUSINESS DOCUMENT  This document is intended for business use and should be distributed to intended recipients only.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pervisor_x003a__x002d_ xmlns="8cdc7258-42b8-42f1-8473-07f955f061d7">Rhod/Sajid/Jinu/Jikku</Supervisor_x003a__x002d_>
    <SA_x003a__x002d_ xmlns="8cdc7258-42b8-42f1-8473-07f955f061d7">NIL</SA_x003a__x002d_>
    <COC_x003a__x002d_ xmlns="8cdc7258-42b8-42f1-8473-07f955f061d7">Ali/Sidiqque</COC_x003a__x002d_>
    <Time_x003a__x002d_ xmlns="8cdc7258-42b8-42f1-8473-07f955f061d7">09:00-21:00</Time_x003a__x002d_>
    <Date_x003a__x002d_ xmlns="8cdc7258-42b8-42f1-8473-07f955f061d7">2025-11-25T20:00:00+00:00</Date_x003a__x002d_>
    <SharedWithUsers xmlns="94ce166d-f08e-40b0-b31e-d57aa9826923">
      <UserInfo>
        <DisplayName>Dhruv Khatri</DisplayName>
        <AccountId>45676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7529400A3134FA29A21807A9CA521" ma:contentTypeVersion="15" ma:contentTypeDescription="Create a new document." ma:contentTypeScope="" ma:versionID="826e02b4add748a6cf077f5ea2bc5380">
  <xsd:schema xmlns:xsd="http://www.w3.org/2001/XMLSchema" xmlns:xs="http://www.w3.org/2001/XMLSchema" xmlns:p="http://schemas.microsoft.com/office/2006/metadata/properties" xmlns:ns2="8cdc7258-42b8-42f1-8473-07f955f061d7" xmlns:ns3="94ce166d-f08e-40b0-b31e-d57aa9826923" targetNamespace="http://schemas.microsoft.com/office/2006/metadata/properties" ma:root="true" ma:fieldsID="6ee5ac5b20821c11bbff4e1f8dac43c7" ns2:_="" ns3:_="">
    <xsd:import namespace="8cdc7258-42b8-42f1-8473-07f955f061d7"/>
    <xsd:import namespace="94ce166d-f08e-40b0-b31e-d57aa9826923"/>
    <xsd:element name="properties">
      <xsd:complexType>
        <xsd:sequence>
          <xsd:element name="documentManagement">
            <xsd:complexType>
              <xsd:all>
                <xsd:element ref="ns2:Date_x003a__x002d_"/>
                <xsd:element ref="ns2:Supervisor_x003a__x002d_"/>
                <xsd:element ref="ns2:SA_x003a__x002d_"/>
                <xsd:element ref="ns2:COC_x003a__x002d_" minOccurs="0"/>
                <xsd:element ref="ns2:Time_x003a__x002d_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dc7258-42b8-42f1-8473-07f955f061d7" elementFormDefault="qualified">
    <xsd:import namespace="http://schemas.microsoft.com/office/2006/documentManagement/types"/>
    <xsd:import namespace="http://schemas.microsoft.com/office/infopath/2007/PartnerControls"/>
    <xsd:element name="Date_x003a__x002d_" ma:index="4" ma:displayName="Date:-" ma:format="DateOnly" ma:internalName="Date_x003a__x002d_">
      <xsd:simpleType>
        <xsd:restriction base="dms:DateTime"/>
      </xsd:simpleType>
    </xsd:element>
    <xsd:element name="Supervisor_x003a__x002d_" ma:index="5" ma:displayName="Supervisor:-" ma:internalName="Supervisor_x003a__x002d_">
      <xsd:simpleType>
        <xsd:restriction base="dms:Text">
          <xsd:maxLength value="255"/>
        </xsd:restriction>
      </xsd:simpleType>
    </xsd:element>
    <xsd:element name="SA_x003a__x002d_" ma:index="6" ma:displayName="SA:-" ma:internalName="SA_x003a__x002d_">
      <xsd:simpleType>
        <xsd:restriction base="dms:Text">
          <xsd:maxLength value="255"/>
        </xsd:restriction>
      </xsd:simpleType>
    </xsd:element>
    <xsd:element name="COC_x003a__x002d_" ma:index="7" nillable="true" ma:displayName="COC:-" ma:internalName="COC_x003a__x002d_">
      <xsd:simpleType>
        <xsd:restriction base="dms:Text">
          <xsd:maxLength value="255"/>
        </xsd:restriction>
      </xsd:simpleType>
    </xsd:element>
    <xsd:element name="Time_x003a__x002d_" ma:index="8" ma:displayName="Time:-" ma:format="Dropdown" ma:internalName="Time_x003a__x002d_">
      <xsd:simpleType>
        <xsd:union memberTypes="dms:Text">
          <xsd:simpleType>
            <xsd:restriction base="dms:Choice">
              <xsd:enumeration value="09:00-21:00"/>
              <xsd:enumeration value="21:00-09:00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e166d-f08e-40b0-b31e-d57aa982692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B5DE4A-4DEE-4BA9-9022-95C9CBFE65CC}"/>
</file>

<file path=customXml/itemProps2.xml><?xml version="1.0" encoding="utf-8"?>
<ds:datastoreItem xmlns:ds="http://schemas.openxmlformats.org/officeDocument/2006/customXml" ds:itemID="{3D4479DF-373E-41E8-8C82-8DE1FB37EF01}"/>
</file>

<file path=customXml/itemProps3.xml><?xml version="1.0" encoding="utf-8"?>
<ds:datastoreItem xmlns:ds="http://schemas.openxmlformats.org/officeDocument/2006/customXml" ds:itemID="{17FC5695-71A3-4B08-BA16-9359E04ED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Emirates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Shift Report-Perishable Supervisor</dc:title>
  <dc:subject/>
  <dc:creator>Sajid Batte</dc:creator>
  <cp:keywords/>
  <dc:description/>
  <cp:lastModifiedBy>Rudilyn Bingua</cp:lastModifiedBy>
  <cp:revision/>
  <dcterms:created xsi:type="dcterms:W3CDTF">2015-01-05T08:58:46Z</dcterms:created>
  <dcterms:modified xsi:type="dcterms:W3CDTF">2025-11-27T11:37:04Z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0x0101004457529400A3134FA29A21807A9CA521</vt:lpwstr>
  </property>
  <property fmtid="{D5CDD505-2E9C-101B-9397-08002B2CF9AE}" pid="3" name="MSIP_Label_c7962db2-8021-4672-ab50-833f15a1c47a_Enabled">
    <vt:lpwstr>true</vt:lpwstr>
  </property>
  <property fmtid="{D5CDD505-2E9C-101B-9397-08002B2CF9AE}" pid="4" name="MSIP_Label_c7962db2-8021-4672-ab50-833f15a1c47a_SetDate">
    <vt:lpwstr>2023-08-06T04:51:40Z</vt:lpwstr>
  </property>
  <property fmtid="{D5CDD505-2E9C-101B-9397-08002B2CF9AE}" pid="5" name="MSIP_Label_c7962db2-8021-4672-ab50-833f15a1c47a_Method">
    <vt:lpwstr>Standard</vt:lpwstr>
  </property>
  <property fmtid="{D5CDD505-2E9C-101B-9397-08002B2CF9AE}" pid="6" name="MSIP_Label_c7962db2-8021-4672-ab50-833f15a1c47a_Name">
    <vt:lpwstr>c7962db2-8021-4672-ab50-833f15a1c47a</vt:lpwstr>
  </property>
  <property fmtid="{D5CDD505-2E9C-101B-9397-08002B2CF9AE}" pid="7" name="MSIP_Label_c7962db2-8021-4672-ab50-833f15a1c47a_SiteId">
    <vt:lpwstr>e0b26355-1889-40d8-8ef1-e559616befda</vt:lpwstr>
  </property>
  <property fmtid="{D5CDD505-2E9C-101B-9397-08002B2CF9AE}" pid="8" name="MSIP_Label_c7962db2-8021-4672-ab50-833f15a1c47a_ActionId">
    <vt:lpwstr>58980780-c605-48c2-a3d1-0188890e6a65</vt:lpwstr>
  </property>
  <property fmtid="{D5CDD505-2E9C-101B-9397-08002B2CF9AE}" pid="9" name="MSIP_Label_c7962db2-8021-4672-ab50-833f15a1c47a_ContentBits">
    <vt:lpwstr>2</vt:lpwstr>
  </property>
</Properties>
</file>