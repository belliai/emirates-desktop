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S612848\Desktop\"/>
    </mc:Choice>
  </mc:AlternateContent>
  <xr:revisionPtr revIDLastSave="0" documentId="13_ncr:1_{7E5B7687-07EA-463E-96AF-9EDE9B7F0782}" xr6:coauthVersionLast="47" xr6:coauthVersionMax="47" xr10:uidLastSave="{00000000-0000-0000-0000-000000000000}"/>
  <bookViews>
    <workbookView xWindow="-120" yWindow="-120" windowWidth="29040" windowHeight="15840" firstSheet="1" activeTab="5" xr2:uid="{00000000-000D-0000-FFFF-FFFF00000000}"/>
  </bookViews>
  <sheets>
    <sheet name="BUP Shift Details Day" sheetId="9" state="hidden" r:id="rId1"/>
    <sheet name="BUP Shift Details Night" sheetId="5" r:id="rId2"/>
    <sheet name="Sheet1" sheetId="21" state="hidden" r:id="rId3"/>
    <sheet name="Early Morning Report" sheetId="8" state="hidden" r:id="rId4"/>
    <sheet name="Adv Report" sheetId="3" r:id="rId5"/>
    <sheet name="Plan vs Advance" sheetId="13" r:id="rId6"/>
    <sheet name="Plan vs Advance Old" sheetId="20" state="hidden" r:id="rId7"/>
    <sheet name=" Day Averages" sheetId="17" state="hidden" r:id="rId8"/>
    <sheet name="Night Averages" sheetId="18" state="hidden" r:id="rId9"/>
    <sheet name="BUP Data " sheetId="19" state="hidden" r:id="rId10"/>
    <sheet name="Average efficiency" sheetId="15" state="hidden" r:id="rId11"/>
    <sheet name="FLO - DR &amp; Loaders" sheetId="14" state="hidden" r:id="rId12"/>
  </sheets>
  <definedNames>
    <definedName name="_xlnm._FilterDatabase" localSheetId="9" hidden="1">'BUP Data '!$A$1:$BA$1</definedName>
    <definedName name="_xlnm._FilterDatabase" localSheetId="11" hidden="1">'FLO - DR &amp; Loaders'!$A$23:$N$36</definedName>
  </definedNames>
  <calcPr calcId="191028"/>
  <pivotCaches>
    <pivotCache cacheId="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84" i="5" l="1"/>
  <c r="Q21" i="20" s="1"/>
  <c r="O28" i="20" s="1"/>
  <c r="P142" i="5"/>
  <c r="P126" i="5"/>
  <c r="P99" i="5"/>
  <c r="P66" i="5"/>
  <c r="P75" i="5"/>
  <c r="P70" i="5"/>
  <c r="P29" i="9"/>
  <c r="P26" i="5"/>
  <c r="T9" i="13"/>
  <c r="T10" i="13"/>
  <c r="T11" i="13"/>
  <c r="J15" i="13"/>
  <c r="J14" i="13"/>
  <c r="L19" i="13"/>
  <c r="J19" i="13"/>
  <c r="J12" i="13"/>
  <c r="J11" i="13"/>
  <c r="J10" i="13"/>
  <c r="J9" i="13"/>
  <c r="J8" i="13"/>
  <c r="T8" i="13"/>
  <c r="V85" i="9"/>
  <c r="T85" i="9"/>
  <c r="V76" i="9"/>
  <c r="T76" i="9"/>
  <c r="V50" i="9"/>
  <c r="T50" i="9"/>
  <c r="V24" i="9"/>
  <c r="T24" i="9"/>
  <c r="P42" i="9"/>
  <c r="V97" i="9"/>
  <c r="T97" i="9"/>
  <c r="V96" i="9"/>
  <c r="T96" i="9"/>
  <c r="T88" i="9"/>
  <c r="U88" i="9"/>
  <c r="T89" i="9"/>
  <c r="U89" i="9"/>
  <c r="T90" i="9"/>
  <c r="U90" i="9"/>
  <c r="T91" i="9"/>
  <c r="U91" i="9"/>
  <c r="T92" i="9"/>
  <c r="U92" i="9"/>
  <c r="T93" i="9"/>
  <c r="U93" i="9"/>
  <c r="T94" i="9"/>
  <c r="U94" i="9"/>
  <c r="T95" i="9"/>
  <c r="U95" i="9"/>
  <c r="T87" i="9"/>
  <c r="U87" i="9"/>
  <c r="P74" i="9"/>
  <c r="P70" i="9"/>
  <c r="P66" i="9"/>
  <c r="P62" i="9"/>
  <c r="P56" i="9"/>
  <c r="P55" i="9"/>
  <c r="P53" i="9"/>
  <c r="P59" i="9"/>
  <c r="P87" i="9"/>
  <c r="P31" i="9"/>
  <c r="P62" i="5"/>
  <c r="P42" i="5"/>
  <c r="T19" i="13" s="1"/>
  <c r="P53" i="5"/>
  <c r="T12" i="13" s="1"/>
  <c r="P55" i="5"/>
  <c r="P59" i="5" s="1"/>
  <c r="V96" i="5"/>
  <c r="U88" i="5"/>
  <c r="U89" i="5"/>
  <c r="U90" i="5"/>
  <c r="U91" i="5"/>
  <c r="U92" i="5"/>
  <c r="U93" i="5"/>
  <c r="U94" i="5"/>
  <c r="U95" i="5"/>
  <c r="T88" i="5"/>
  <c r="T89" i="5"/>
  <c r="T90" i="5"/>
  <c r="T91" i="5"/>
  <c r="T92" i="5"/>
  <c r="T93" i="5"/>
  <c r="T94" i="5"/>
  <c r="T95" i="5"/>
  <c r="T87" i="5"/>
  <c r="P87" i="5"/>
  <c r="V85" i="5"/>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K285" i="9"/>
  <c r="N285" i="9" s="1"/>
  <c r="K286" i="9"/>
  <c r="N286" i="9" s="1"/>
  <c r="K287" i="9"/>
  <c r="K288" i="9"/>
  <c r="N288" i="9" s="1"/>
  <c r="K289" i="9"/>
  <c r="N289" i="9" s="1"/>
  <c r="K290" i="9"/>
  <c r="N290" i="9" s="1"/>
  <c r="K291" i="9"/>
  <c r="N291" i="9" s="1"/>
  <c r="K292" i="9"/>
  <c r="N292" i="9" s="1"/>
  <c r="K293" i="9"/>
  <c r="N293" i="9" s="1"/>
  <c r="K294" i="9"/>
  <c r="N294" i="9" s="1"/>
  <c r="K295" i="9"/>
  <c r="N295" i="9" s="1"/>
  <c r="K296" i="9"/>
  <c r="N296" i="9" s="1"/>
  <c r="K297" i="9"/>
  <c r="N297" i="9" s="1"/>
  <c r="K298" i="9"/>
  <c r="N298" i="9" s="1"/>
  <c r="K299" i="9"/>
  <c r="N299" i="9" s="1"/>
  <c r="K300" i="9"/>
  <c r="N300" i="9" s="1"/>
  <c r="K301" i="9"/>
  <c r="N301" i="9" s="1"/>
  <c r="K302" i="9"/>
  <c r="N302" i="9" s="1"/>
  <c r="K303" i="9"/>
  <c r="N303" i="9" s="1"/>
  <c r="K304" i="9"/>
  <c r="N304" i="9" s="1"/>
  <c r="K305" i="9"/>
  <c r="N305" i="9" s="1"/>
  <c r="K306" i="9"/>
  <c r="N306" i="9" s="1"/>
  <c r="K307" i="9"/>
  <c r="N307" i="9" s="1"/>
  <c r="K308" i="9"/>
  <c r="N308" i="9" s="1"/>
  <c r="K309" i="9"/>
  <c r="N309" i="9" s="1"/>
  <c r="K310" i="9"/>
  <c r="N310" i="9" s="1"/>
  <c r="K311" i="9"/>
  <c r="N311" i="9" s="1"/>
  <c r="K312" i="9"/>
  <c r="N312" i="9" s="1"/>
  <c r="K313" i="9"/>
  <c r="N313" i="9" s="1"/>
  <c r="K314" i="9"/>
  <c r="N314" i="9" s="1"/>
  <c r="K315" i="9"/>
  <c r="N315" i="9" s="1"/>
  <c r="K316" i="9"/>
  <c r="N316" i="9" s="1"/>
  <c r="K317" i="9"/>
  <c r="N317" i="9" s="1"/>
  <c r="K318" i="9"/>
  <c r="N318" i="9" s="1"/>
  <c r="K319" i="9"/>
  <c r="N319" i="9" s="1"/>
  <c r="K320" i="9"/>
  <c r="N320" i="9" s="1"/>
  <c r="K321" i="9"/>
  <c r="N321" i="9" s="1"/>
  <c r="K322" i="9"/>
  <c r="N322" i="9" s="1"/>
  <c r="K323" i="9"/>
  <c r="N323" i="9" s="1"/>
  <c r="K324" i="9"/>
  <c r="N324" i="9" s="1"/>
  <c r="K325" i="9"/>
  <c r="N325" i="9" s="1"/>
  <c r="K326" i="9"/>
  <c r="N326" i="9" s="1"/>
  <c r="K327" i="9"/>
  <c r="N327" i="9" s="1"/>
  <c r="K328" i="9"/>
  <c r="N328" i="9" s="1"/>
  <c r="K329" i="9"/>
  <c r="N329" i="9" s="1"/>
  <c r="K330" i="9"/>
  <c r="N330" i="9" s="1"/>
  <c r="K331" i="9"/>
  <c r="N331" i="9" s="1"/>
  <c r="K332" i="9"/>
  <c r="N332" i="9" s="1"/>
  <c r="K333" i="9"/>
  <c r="N333" i="9" s="1"/>
  <c r="K334" i="9"/>
  <c r="N334" i="9" s="1"/>
  <c r="K335" i="9"/>
  <c r="N335" i="9" s="1"/>
  <c r="K336" i="9"/>
  <c r="N336" i="9" s="1"/>
  <c r="K337" i="9"/>
  <c r="N337" i="9" s="1"/>
  <c r="K338" i="9"/>
  <c r="N338" i="9" s="1"/>
  <c r="K339" i="9"/>
  <c r="N339" i="9" s="1"/>
  <c r="K340" i="9"/>
  <c r="N340" i="9" s="1"/>
  <c r="K341" i="9"/>
  <c r="N341" i="9" s="1"/>
  <c r="K342" i="9"/>
  <c r="N342" i="9" s="1"/>
  <c r="K343" i="9"/>
  <c r="N343" i="9" s="1"/>
  <c r="K344" i="9"/>
  <c r="N344" i="9" s="1"/>
  <c r="K345" i="9"/>
  <c r="N345" i="9" s="1"/>
  <c r="K346" i="9"/>
  <c r="N346" i="9" s="1"/>
  <c r="K347" i="9"/>
  <c r="N347" i="9" s="1"/>
  <c r="K348" i="9"/>
  <c r="N348" i="9" s="1"/>
  <c r="K349" i="9"/>
  <c r="N349" i="9" s="1"/>
  <c r="K350" i="9"/>
  <c r="N350" i="9" s="1"/>
  <c r="K351" i="9"/>
  <c r="N351" i="9" s="1"/>
  <c r="K352" i="9"/>
  <c r="N352" i="9" s="1"/>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G285" i="9"/>
  <c r="G286" i="9"/>
  <c r="G287" i="9"/>
  <c r="G288" i="9"/>
  <c r="G289" i="9"/>
  <c r="G290" i="9"/>
  <c r="J290" i="9" s="1"/>
  <c r="F290" i="9" s="1"/>
  <c r="G291" i="9"/>
  <c r="J291" i="9" s="1"/>
  <c r="F291" i="9" s="1"/>
  <c r="G292" i="9"/>
  <c r="J292" i="9" s="1"/>
  <c r="F292" i="9" s="1"/>
  <c r="G293" i="9"/>
  <c r="J293" i="9" s="1"/>
  <c r="F293" i="9" s="1"/>
  <c r="G294" i="9"/>
  <c r="G295" i="9"/>
  <c r="G296" i="9"/>
  <c r="G297" i="9"/>
  <c r="G298" i="9"/>
  <c r="G299" i="9"/>
  <c r="J299" i="9" s="1"/>
  <c r="F299" i="9" s="1"/>
  <c r="G300" i="9"/>
  <c r="J300" i="9" s="1"/>
  <c r="F300" i="9" s="1"/>
  <c r="G301" i="9"/>
  <c r="G302" i="9"/>
  <c r="G303" i="9"/>
  <c r="J303" i="9" s="1"/>
  <c r="F303" i="9" s="1"/>
  <c r="G304" i="9"/>
  <c r="G305" i="9"/>
  <c r="J305" i="9" s="1"/>
  <c r="F305" i="9" s="1"/>
  <c r="G306" i="9"/>
  <c r="G307" i="9"/>
  <c r="G308" i="9"/>
  <c r="G309" i="9"/>
  <c r="G310" i="9"/>
  <c r="G311" i="9"/>
  <c r="J311" i="9" s="1"/>
  <c r="F311" i="9" s="1"/>
  <c r="G312" i="9"/>
  <c r="G313" i="9"/>
  <c r="J313" i="9" s="1"/>
  <c r="F313" i="9" s="1"/>
  <c r="G314" i="9"/>
  <c r="J314" i="9" s="1"/>
  <c r="F314" i="9" s="1"/>
  <c r="G315" i="9"/>
  <c r="J315" i="9" s="1"/>
  <c r="F315" i="9" s="1"/>
  <c r="G316" i="9"/>
  <c r="J316" i="9" s="1"/>
  <c r="F316" i="9" s="1"/>
  <c r="G317" i="9"/>
  <c r="J317" i="9" s="1"/>
  <c r="F317" i="9" s="1"/>
  <c r="G318" i="9"/>
  <c r="J318" i="9" s="1"/>
  <c r="F318" i="9" s="1"/>
  <c r="G319" i="9"/>
  <c r="J319" i="9" s="1"/>
  <c r="F319" i="9" s="1"/>
  <c r="G320" i="9"/>
  <c r="J320" i="9" s="1"/>
  <c r="F320" i="9" s="1"/>
  <c r="G321" i="9"/>
  <c r="J321" i="9" s="1"/>
  <c r="F321" i="9" s="1"/>
  <c r="G322" i="9"/>
  <c r="J322" i="9" s="1"/>
  <c r="F322" i="9" s="1"/>
  <c r="G323" i="9"/>
  <c r="J323" i="9" s="1"/>
  <c r="F323" i="9" s="1"/>
  <c r="G324" i="9"/>
  <c r="J324" i="9" s="1"/>
  <c r="F324" i="9" s="1"/>
  <c r="G325" i="9"/>
  <c r="J325" i="9" s="1"/>
  <c r="F325" i="9" s="1"/>
  <c r="G326" i="9"/>
  <c r="J326" i="9" s="1"/>
  <c r="F326" i="9" s="1"/>
  <c r="G327" i="9"/>
  <c r="J327" i="9" s="1"/>
  <c r="F327" i="9" s="1"/>
  <c r="G328" i="9"/>
  <c r="J328" i="9" s="1"/>
  <c r="F328" i="9" s="1"/>
  <c r="G329" i="9"/>
  <c r="J329" i="9" s="1"/>
  <c r="F329" i="9" s="1"/>
  <c r="G330" i="9"/>
  <c r="J330" i="9" s="1"/>
  <c r="F330" i="9" s="1"/>
  <c r="G331" i="9"/>
  <c r="J331" i="9" s="1"/>
  <c r="F331" i="9" s="1"/>
  <c r="G332" i="9"/>
  <c r="J332" i="9" s="1"/>
  <c r="F332" i="9" s="1"/>
  <c r="G333" i="9"/>
  <c r="J333" i="9" s="1"/>
  <c r="F333" i="9" s="1"/>
  <c r="G334" i="9"/>
  <c r="J334" i="9" s="1"/>
  <c r="F334" i="9" s="1"/>
  <c r="G335" i="9"/>
  <c r="J335" i="9" s="1"/>
  <c r="F335" i="9" s="1"/>
  <c r="G336" i="9"/>
  <c r="J336" i="9" s="1"/>
  <c r="F336" i="9" s="1"/>
  <c r="G337" i="9"/>
  <c r="J337" i="9" s="1"/>
  <c r="F337" i="9" s="1"/>
  <c r="G338" i="9"/>
  <c r="J338" i="9" s="1"/>
  <c r="F338" i="9" s="1"/>
  <c r="G339" i="9"/>
  <c r="J339" i="9" s="1"/>
  <c r="F339" i="9" s="1"/>
  <c r="G340" i="9"/>
  <c r="J340" i="9" s="1"/>
  <c r="F340" i="9" s="1"/>
  <c r="G341" i="9"/>
  <c r="J341" i="9" s="1"/>
  <c r="F341" i="9" s="1"/>
  <c r="G342" i="9"/>
  <c r="J342" i="9" s="1"/>
  <c r="F342" i="9" s="1"/>
  <c r="G343" i="9"/>
  <c r="J343" i="9" s="1"/>
  <c r="F343" i="9" s="1"/>
  <c r="G344" i="9"/>
  <c r="J344" i="9" s="1"/>
  <c r="F344" i="9" s="1"/>
  <c r="G345" i="9"/>
  <c r="J345" i="9" s="1"/>
  <c r="F345" i="9" s="1"/>
  <c r="G346" i="9"/>
  <c r="J346" i="9" s="1"/>
  <c r="F346" i="9" s="1"/>
  <c r="G347" i="9"/>
  <c r="J347" i="9" s="1"/>
  <c r="F347" i="9" s="1"/>
  <c r="G348" i="9"/>
  <c r="J348" i="9" s="1"/>
  <c r="F348" i="9" s="1"/>
  <c r="G349" i="9"/>
  <c r="J349" i="9" s="1"/>
  <c r="F349" i="9" s="1"/>
  <c r="G350" i="9"/>
  <c r="J350" i="9" s="1"/>
  <c r="F350" i="9" s="1"/>
  <c r="G351" i="9"/>
  <c r="J351" i="9" s="1"/>
  <c r="F351" i="9" s="1"/>
  <c r="G352" i="9"/>
  <c r="J352" i="9" s="1"/>
  <c r="F352" i="9" s="1"/>
  <c r="B352" i="9"/>
  <c r="B351" i="9"/>
  <c r="B350" i="9"/>
  <c r="B348" i="9"/>
  <c r="B349" i="9"/>
  <c r="B343" i="9"/>
  <c r="B344" i="9"/>
  <c r="B345" i="9"/>
  <c r="B346" i="9"/>
  <c r="B347" i="9"/>
  <c r="B341" i="9"/>
  <c r="B342"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V76" i="5"/>
  <c r="V50" i="5"/>
  <c r="V24" i="5"/>
  <c r="A35" i="20"/>
  <c r="A34" i="20"/>
  <c r="Q31" i="20"/>
  <c r="L31" i="20"/>
  <c r="A30" i="20"/>
  <c r="A29" i="20"/>
  <c r="Q24" i="20"/>
  <c r="L24" i="20"/>
  <c r="E23" i="20"/>
  <c r="E30" i="20" s="1"/>
  <c r="Q22" i="20"/>
  <c r="L21" i="20"/>
  <c r="Q19" i="20"/>
  <c r="L19" i="20"/>
  <c r="F18" i="20"/>
  <c r="Q17" i="20"/>
  <c r="L17" i="20"/>
  <c r="L18" i="20" s="1"/>
  <c r="E10" i="20"/>
  <c r="E29" i="20" s="1"/>
  <c r="O9" i="20"/>
  <c r="J9" i="20"/>
  <c r="O8" i="20"/>
  <c r="J8" i="20"/>
  <c r="O7" i="20"/>
  <c r="F5" i="20"/>
  <c r="J287" i="9" l="1"/>
  <c r="N287" i="9"/>
  <c r="F287" i="9"/>
  <c r="J306" i="9"/>
  <c r="F306" i="9" s="1"/>
  <c r="J294" i="9"/>
  <c r="F294" i="9" s="1"/>
  <c r="J289" i="9"/>
  <c r="F289" i="9" s="1"/>
  <c r="J286" i="9"/>
  <c r="F286" i="9" s="1"/>
  <c r="J301" i="9"/>
  <c r="F301" i="9" s="1"/>
  <c r="J298" i="9"/>
  <c r="F298" i="9" s="1"/>
  <c r="J302" i="9"/>
  <c r="F302" i="9" s="1"/>
  <c r="J307" i="9"/>
  <c r="F307" i="9" s="1"/>
  <c r="J308" i="9"/>
  <c r="F308" i="9" s="1"/>
  <c r="J285" i="9"/>
  <c r="F285" i="9" s="1"/>
  <c r="J310" i="9"/>
  <c r="F310" i="9" s="1"/>
  <c r="J288" i="9"/>
  <c r="F288" i="9" s="1"/>
  <c r="J296" i="9"/>
  <c r="F296" i="9" s="1"/>
  <c r="J312" i="9"/>
  <c r="F312" i="9" s="1"/>
  <c r="J297" i="9"/>
  <c r="F297" i="9" s="1"/>
  <c r="J295" i="9"/>
  <c r="F295" i="9" s="1"/>
  <c r="J309" i="9"/>
  <c r="F309" i="9" s="1"/>
  <c r="J304" i="9"/>
  <c r="F304" i="9" s="1"/>
  <c r="P73" i="9"/>
  <c r="P75" i="9" s="1"/>
  <c r="U96" i="9"/>
  <c r="Q18" i="20"/>
  <c r="T96" i="5"/>
  <c r="V97" i="5"/>
  <c r="P31" i="5" s="1"/>
  <c r="E31" i="20"/>
  <c r="E26" i="20"/>
  <c r="E35" i="20" s="1"/>
  <c r="E13" i="20"/>
  <c r="E34" i="20" s="1"/>
  <c r="AA34" i="13"/>
  <c r="V34" i="13"/>
  <c r="L34" i="13"/>
  <c r="Q34" i="13"/>
  <c r="O33" i="13"/>
  <c r="T34" i="13"/>
  <c r="Y35" i="13"/>
  <c r="Y33" i="13"/>
  <c r="O35" i="13"/>
  <c r="T33" i="13"/>
  <c r="O34" i="13"/>
  <c r="Y34" i="13"/>
  <c r="T35" i="13"/>
  <c r="E36" i="20" l="1"/>
  <c r="Y36" i="13"/>
  <c r="AA35" i="13" s="1"/>
  <c r="O36" i="13"/>
  <c r="Q35" i="13" s="1"/>
  <c r="T36" i="13"/>
  <c r="V35" i="13" s="1"/>
  <c r="V30" i="13"/>
  <c r="V26" i="13"/>
  <c r="V27" i="13"/>
  <c r="V28" i="13"/>
  <c r="L30" i="13"/>
  <c r="L27" i="13"/>
  <c r="L28" i="13"/>
  <c r="M22" i="13"/>
  <c r="Q22" i="13"/>
  <c r="V15" i="13"/>
  <c r="L15" i="13"/>
  <c r="J34" i="13"/>
  <c r="J33" i="13"/>
  <c r="J35" i="13"/>
  <c r="J36" i="13" l="1"/>
  <c r="L35" i="13" s="1"/>
  <c r="O6" i="20" l="1"/>
  <c r="J7" i="20"/>
  <c r="J10" i="20" l="1"/>
  <c r="J6" i="20"/>
  <c r="L25" i="13"/>
  <c r="O10" i="20"/>
  <c r="V25" i="13"/>
  <c r="L26" i="13"/>
  <c r="T24" i="13"/>
  <c r="T22" i="13"/>
  <c r="AA23" i="13"/>
  <c r="AA25" i="13"/>
  <c r="AA22" i="13"/>
  <c r="V18" i="13" s="1"/>
  <c r="W22" i="13"/>
  <c r="L29" i="13" l="1"/>
  <c r="V29" i="13"/>
  <c r="J24" i="13"/>
  <c r="J22" i="13"/>
  <c r="Q25" i="13"/>
  <c r="N4" i="15" l="1"/>
  <c r="N5" i="15"/>
  <c r="N6" i="15"/>
  <c r="N7" i="15"/>
  <c r="N8" i="15"/>
  <c r="N9" i="15"/>
  <c r="N10" i="15"/>
  <c r="N11" i="15"/>
  <c r="N12" i="15"/>
  <c r="N13" i="15"/>
  <c r="N14" i="15"/>
  <c r="N15" i="15"/>
  <c r="N16" i="15"/>
  <c r="N17" i="15"/>
  <c r="F4" i="15"/>
  <c r="F5" i="15"/>
  <c r="F6" i="15"/>
  <c r="F7" i="15"/>
  <c r="F8" i="15"/>
  <c r="F9" i="15"/>
  <c r="F10" i="15"/>
  <c r="F11" i="15"/>
  <c r="F12" i="15"/>
  <c r="F13" i="15"/>
  <c r="F14" i="15"/>
  <c r="F15" i="15"/>
  <c r="F16" i="15"/>
  <c r="F17" i="15"/>
  <c r="I4" i="15"/>
  <c r="I5" i="15"/>
  <c r="I6" i="15"/>
  <c r="I7" i="15"/>
  <c r="I8" i="15"/>
  <c r="I9" i="15"/>
  <c r="I10" i="15"/>
  <c r="I11" i="15"/>
  <c r="I12" i="15"/>
  <c r="I13" i="15"/>
  <c r="I14" i="15"/>
  <c r="I15" i="15"/>
  <c r="I16" i="15"/>
  <c r="I17" i="15"/>
  <c r="I3" i="15"/>
  <c r="Q4" i="15"/>
  <c r="Q5" i="15"/>
  <c r="Q6" i="15"/>
  <c r="Q7" i="15"/>
  <c r="Q8" i="15"/>
  <c r="Q9" i="15"/>
  <c r="Q10" i="15"/>
  <c r="Q11" i="15"/>
  <c r="Q12" i="15"/>
  <c r="Q13" i="15"/>
  <c r="Q14" i="15"/>
  <c r="Q15" i="15"/>
  <c r="Q16" i="15"/>
  <c r="Q17" i="15"/>
  <c r="Q3" i="15"/>
  <c r="N3" i="15"/>
  <c r="F3" i="15"/>
  <c r="J17" i="15" l="1"/>
  <c r="J9" i="15"/>
  <c r="J5" i="15"/>
  <c r="R15" i="15"/>
  <c r="R11" i="15"/>
  <c r="R7" i="15"/>
  <c r="R14" i="15"/>
  <c r="R6" i="15"/>
  <c r="R10" i="15"/>
  <c r="J16" i="15"/>
  <c r="J12" i="15"/>
  <c r="R3" i="15"/>
  <c r="R16" i="15"/>
  <c r="R8" i="15"/>
  <c r="J14" i="15"/>
  <c r="J10" i="15"/>
  <c r="J6" i="15"/>
  <c r="J8" i="15"/>
  <c r="R12" i="15"/>
  <c r="R4" i="15"/>
  <c r="J4" i="15"/>
  <c r="J13" i="15"/>
  <c r="R17" i="15"/>
  <c r="R13" i="15"/>
  <c r="R9" i="15"/>
  <c r="R5" i="15"/>
  <c r="J15" i="15"/>
  <c r="J11" i="15"/>
  <c r="J7" i="15"/>
  <c r="J3" i="1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195" i="5"/>
  <c r="J198" i="5"/>
  <c r="J199" i="5"/>
  <c r="J200" i="5"/>
  <c r="F200" i="5" s="1"/>
  <c r="J201" i="5"/>
  <c r="F201" i="5" s="1"/>
  <c r="J202" i="5"/>
  <c r="J203" i="5"/>
  <c r="J204" i="5"/>
  <c r="F204" i="5" s="1"/>
  <c r="J205" i="5"/>
  <c r="F205" i="5" s="1"/>
  <c r="J206" i="5"/>
  <c r="F206" i="5" s="1"/>
  <c r="J207" i="5"/>
  <c r="J208" i="5"/>
  <c r="J209" i="5"/>
  <c r="F209" i="5" s="1"/>
  <c r="J210" i="5"/>
  <c r="F210" i="5" s="1"/>
  <c r="J211" i="5"/>
  <c r="F211" i="5" s="1"/>
  <c r="J212" i="5"/>
  <c r="F212" i="5" s="1"/>
  <c r="J213" i="5"/>
  <c r="F213" i="5" s="1"/>
  <c r="J214" i="5"/>
  <c r="J215" i="5"/>
  <c r="J216" i="5"/>
  <c r="J217" i="5"/>
  <c r="F217" i="5" s="1"/>
  <c r="J218" i="5"/>
  <c r="J219" i="5"/>
  <c r="J220" i="5"/>
  <c r="J221" i="5"/>
  <c r="F221" i="5" s="1"/>
  <c r="J222" i="5"/>
  <c r="J223" i="5"/>
  <c r="J224" i="5"/>
  <c r="F224" i="5" s="1"/>
  <c r="J225" i="5"/>
  <c r="F225" i="5" s="1"/>
  <c r="J226" i="5"/>
  <c r="J227" i="5"/>
  <c r="J228" i="5"/>
  <c r="F228" i="5" s="1"/>
  <c r="J229" i="5"/>
  <c r="F229" i="5" s="1"/>
  <c r="J230" i="5"/>
  <c r="J231" i="5"/>
  <c r="J232" i="5"/>
  <c r="F232" i="5" s="1"/>
  <c r="J233" i="5"/>
  <c r="F233" i="5" s="1"/>
  <c r="J234" i="5"/>
  <c r="J235" i="5"/>
  <c r="J236" i="5"/>
  <c r="J237" i="5"/>
  <c r="F237" i="5" s="1"/>
  <c r="J238" i="5"/>
  <c r="J239" i="5"/>
  <c r="J240" i="5"/>
  <c r="F240" i="5" s="1"/>
  <c r="J241" i="5"/>
  <c r="F241" i="5" s="1"/>
  <c r="J242" i="5"/>
  <c r="J243" i="5"/>
  <c r="J244" i="5"/>
  <c r="J195" i="5"/>
  <c r="F195" i="5" s="1"/>
  <c r="J196" i="5"/>
  <c r="F196" i="5" s="1"/>
  <c r="J197" i="5"/>
  <c r="F197" i="5" s="1"/>
  <c r="F208" i="5"/>
  <c r="F216" i="5"/>
  <c r="F220" i="5"/>
  <c r="F222" i="5"/>
  <c r="F226" i="5"/>
  <c r="F227" i="5"/>
  <c r="F236" i="5"/>
  <c r="F238" i="5"/>
  <c r="F242" i="5"/>
  <c r="F243" i="5"/>
  <c r="F244" i="5"/>
  <c r="F239" i="5" l="1"/>
  <c r="F235" i="5"/>
  <c r="F234" i="5"/>
  <c r="F231" i="5"/>
  <c r="F230" i="5"/>
  <c r="F223" i="5"/>
  <c r="F219" i="5"/>
  <c r="F218" i="5"/>
  <c r="F215" i="5"/>
  <c r="F214" i="5"/>
  <c r="F207" i="5"/>
  <c r="F203" i="5"/>
  <c r="F202" i="5"/>
  <c r="F199" i="5"/>
  <c r="F198" i="5"/>
  <c r="M310" i="5"/>
  <c r="M311" i="5"/>
  <c r="M312" i="5"/>
  <c r="M313" i="5"/>
  <c r="M314" i="5"/>
  <c r="M315" i="5"/>
  <c r="M316" i="5"/>
  <c r="M317" i="5"/>
  <c r="M318" i="5"/>
  <c r="M319" i="5"/>
  <c r="M320" i="5"/>
  <c r="M321" i="5"/>
  <c r="M322" i="5"/>
  <c r="M323" i="5"/>
  <c r="M324" i="5"/>
  <c r="M325" i="5"/>
  <c r="M326" i="5"/>
  <c r="M327" i="5"/>
  <c r="M328" i="5"/>
  <c r="M329" i="5"/>
  <c r="M330" i="5"/>
  <c r="L310" i="5"/>
  <c r="L311" i="5"/>
  <c r="L312" i="5"/>
  <c r="L313" i="5"/>
  <c r="L314" i="5"/>
  <c r="L315" i="5"/>
  <c r="L316" i="5"/>
  <c r="L317" i="5"/>
  <c r="L318" i="5"/>
  <c r="L319" i="5"/>
  <c r="L320" i="5"/>
  <c r="L321" i="5"/>
  <c r="L322" i="5"/>
  <c r="L323" i="5"/>
  <c r="L324" i="5"/>
  <c r="L325" i="5"/>
  <c r="L326" i="5"/>
  <c r="L327" i="5"/>
  <c r="L328" i="5"/>
  <c r="L329" i="5"/>
  <c r="L330" i="5"/>
  <c r="K313" i="5"/>
  <c r="K314" i="5"/>
  <c r="N314" i="5" s="1"/>
  <c r="K315" i="5"/>
  <c r="K316" i="5"/>
  <c r="K317" i="5"/>
  <c r="K318" i="5"/>
  <c r="N318" i="5" s="1"/>
  <c r="K319" i="5"/>
  <c r="K320" i="5"/>
  <c r="K321" i="5"/>
  <c r="K322" i="5"/>
  <c r="K323" i="5"/>
  <c r="K324" i="5"/>
  <c r="K325" i="5"/>
  <c r="K326" i="5"/>
  <c r="K327" i="5"/>
  <c r="K328" i="5"/>
  <c r="K329" i="5"/>
  <c r="K330" i="5"/>
  <c r="N330" i="5" s="1"/>
  <c r="K310" i="5"/>
  <c r="K311" i="5"/>
  <c r="K312" i="5"/>
  <c r="I310" i="5"/>
  <c r="I311" i="5"/>
  <c r="I312" i="5"/>
  <c r="I313" i="5"/>
  <c r="I314" i="5"/>
  <c r="I315" i="5"/>
  <c r="I316" i="5"/>
  <c r="I317" i="5"/>
  <c r="I318" i="5"/>
  <c r="I319" i="5"/>
  <c r="I320" i="5"/>
  <c r="I321" i="5"/>
  <c r="I322" i="5"/>
  <c r="I323" i="5"/>
  <c r="I324" i="5"/>
  <c r="I325" i="5"/>
  <c r="I326" i="5"/>
  <c r="I327" i="5"/>
  <c r="I328" i="5"/>
  <c r="I329" i="5"/>
  <c r="I330" i="5"/>
  <c r="H310" i="5"/>
  <c r="H311" i="5"/>
  <c r="H312" i="5"/>
  <c r="H313" i="5"/>
  <c r="H314" i="5"/>
  <c r="H315" i="5"/>
  <c r="H316" i="5"/>
  <c r="H317" i="5"/>
  <c r="H318" i="5"/>
  <c r="H319" i="5"/>
  <c r="H320" i="5"/>
  <c r="H321" i="5"/>
  <c r="H322" i="5"/>
  <c r="H323" i="5"/>
  <c r="H324" i="5"/>
  <c r="H325" i="5"/>
  <c r="H326" i="5"/>
  <c r="H327" i="5"/>
  <c r="H328" i="5"/>
  <c r="H329" i="5"/>
  <c r="H330" i="5"/>
  <c r="G310" i="5"/>
  <c r="G311" i="5"/>
  <c r="G312" i="5"/>
  <c r="G313" i="5"/>
  <c r="G314" i="5"/>
  <c r="G315" i="5"/>
  <c r="G316" i="5"/>
  <c r="G317" i="5"/>
  <c r="G318" i="5"/>
  <c r="G319" i="5"/>
  <c r="G320" i="5"/>
  <c r="G321" i="5"/>
  <c r="G322" i="5"/>
  <c r="G323" i="5"/>
  <c r="G324" i="5"/>
  <c r="G325" i="5"/>
  <c r="G326" i="5"/>
  <c r="G327" i="5"/>
  <c r="G328" i="5"/>
  <c r="G329" i="5"/>
  <c r="G330" i="5"/>
  <c r="B328" i="5"/>
  <c r="B329" i="5"/>
  <c r="B330" i="5"/>
  <c r="B324" i="5"/>
  <c r="B325" i="5"/>
  <c r="B326" i="5"/>
  <c r="B327" i="5"/>
  <c r="B310" i="5"/>
  <c r="B311" i="5"/>
  <c r="B312" i="5"/>
  <c r="B313" i="5"/>
  <c r="B314" i="5"/>
  <c r="B315" i="5"/>
  <c r="B316" i="5"/>
  <c r="B317" i="5"/>
  <c r="B318" i="5"/>
  <c r="B319" i="5"/>
  <c r="B320" i="5"/>
  <c r="B321" i="5"/>
  <c r="B322" i="5"/>
  <c r="B323" i="5"/>
  <c r="M262" i="9"/>
  <c r="M263" i="9"/>
  <c r="M264" i="9"/>
  <c r="M265" i="9"/>
  <c r="M266" i="9"/>
  <c r="M267" i="9"/>
  <c r="M268" i="9"/>
  <c r="M269" i="9"/>
  <c r="M270" i="9"/>
  <c r="M271" i="9"/>
  <c r="M272" i="9"/>
  <c r="M273" i="9"/>
  <c r="M274" i="9"/>
  <c r="M275" i="9"/>
  <c r="M276" i="9"/>
  <c r="M277" i="9"/>
  <c r="M278" i="9"/>
  <c r="M279" i="9"/>
  <c r="M280" i="9"/>
  <c r="M281" i="9"/>
  <c r="M282" i="9"/>
  <c r="L262" i="9"/>
  <c r="L263" i="9"/>
  <c r="L264" i="9"/>
  <c r="L265" i="9"/>
  <c r="L266" i="9"/>
  <c r="L267" i="9"/>
  <c r="L268" i="9"/>
  <c r="L269" i="9"/>
  <c r="L270" i="9"/>
  <c r="L271" i="9"/>
  <c r="L272" i="9"/>
  <c r="L273" i="9"/>
  <c r="L274" i="9"/>
  <c r="L275" i="9"/>
  <c r="L276" i="9"/>
  <c r="L277" i="9"/>
  <c r="L278" i="9"/>
  <c r="L279" i="9"/>
  <c r="L280" i="9"/>
  <c r="L281" i="9"/>
  <c r="L282" i="9"/>
  <c r="K262" i="9"/>
  <c r="K263" i="9"/>
  <c r="K264" i="9"/>
  <c r="K265" i="9"/>
  <c r="K266" i="9"/>
  <c r="K267" i="9"/>
  <c r="K268" i="9"/>
  <c r="K269" i="9"/>
  <c r="K270" i="9"/>
  <c r="K271" i="9"/>
  <c r="K272" i="9"/>
  <c r="K273" i="9"/>
  <c r="K274" i="9"/>
  <c r="K275" i="9"/>
  <c r="K276" i="9"/>
  <c r="K277" i="9"/>
  <c r="K278" i="9"/>
  <c r="K279" i="9"/>
  <c r="K280" i="9"/>
  <c r="K281" i="9"/>
  <c r="K282" i="9"/>
  <c r="I262" i="9"/>
  <c r="I263" i="9"/>
  <c r="I264" i="9"/>
  <c r="I265" i="9"/>
  <c r="I266" i="9"/>
  <c r="I267" i="9"/>
  <c r="I268" i="9"/>
  <c r="I269" i="9"/>
  <c r="I270" i="9"/>
  <c r="I271" i="9"/>
  <c r="I272" i="9"/>
  <c r="I273" i="9"/>
  <c r="I274" i="9"/>
  <c r="I275" i="9"/>
  <c r="I276" i="9"/>
  <c r="I277" i="9"/>
  <c r="I278" i="9"/>
  <c r="I279" i="9"/>
  <c r="I280" i="9"/>
  <c r="I281" i="9"/>
  <c r="I282" i="9"/>
  <c r="H262" i="9"/>
  <c r="H263" i="9"/>
  <c r="H264" i="9"/>
  <c r="H265" i="9"/>
  <c r="H266" i="9"/>
  <c r="H267" i="9"/>
  <c r="H268" i="9"/>
  <c r="H269" i="9"/>
  <c r="H270" i="9"/>
  <c r="H271" i="9"/>
  <c r="H272" i="9"/>
  <c r="H273" i="9"/>
  <c r="H274" i="9"/>
  <c r="H275" i="9"/>
  <c r="H276" i="9"/>
  <c r="H277" i="9"/>
  <c r="H278" i="9"/>
  <c r="H279" i="9"/>
  <c r="H280" i="9"/>
  <c r="H281" i="9"/>
  <c r="H282" i="9"/>
  <c r="G262" i="9"/>
  <c r="G263" i="9"/>
  <c r="G264" i="9"/>
  <c r="G265" i="9"/>
  <c r="G266" i="9"/>
  <c r="G267" i="9"/>
  <c r="G268" i="9"/>
  <c r="G269" i="9"/>
  <c r="G270" i="9"/>
  <c r="G271" i="9"/>
  <c r="G272" i="9"/>
  <c r="G273" i="9"/>
  <c r="G274" i="9"/>
  <c r="G275" i="9"/>
  <c r="G276" i="9"/>
  <c r="G277" i="9"/>
  <c r="G278" i="9"/>
  <c r="G279" i="9"/>
  <c r="G280" i="9"/>
  <c r="G281" i="9"/>
  <c r="G282" i="9"/>
  <c r="B280" i="9"/>
  <c r="B281" i="9"/>
  <c r="B282" i="9"/>
  <c r="B266" i="9"/>
  <c r="B267" i="9"/>
  <c r="B268" i="9"/>
  <c r="B269" i="9"/>
  <c r="B270" i="9"/>
  <c r="B271" i="9"/>
  <c r="B272" i="9"/>
  <c r="B273" i="9"/>
  <c r="B274" i="9"/>
  <c r="B275" i="9"/>
  <c r="B276" i="9"/>
  <c r="B277" i="9"/>
  <c r="B278" i="9"/>
  <c r="B279" i="9"/>
  <c r="B262" i="9"/>
  <c r="B263" i="9"/>
  <c r="B264" i="9"/>
  <c r="B265" i="9"/>
  <c r="AA52" i="3"/>
  <c r="AA53" i="3"/>
  <c r="AA54" i="3"/>
  <c r="AA55" i="3"/>
  <c r="AA56" i="3"/>
  <c r="AA57" i="3"/>
  <c r="AA58" i="3"/>
  <c r="AA59" i="3"/>
  <c r="AA60" i="3"/>
  <c r="AA61" i="3"/>
  <c r="AA62" i="3"/>
  <c r="AA63" i="3"/>
  <c r="AA64" i="3"/>
  <c r="AA65" i="3"/>
  <c r="AA66" i="3"/>
  <c r="AA67" i="3"/>
  <c r="AA68" i="3"/>
  <c r="AA69" i="3"/>
  <c r="AA70" i="3"/>
  <c r="AA71" i="3"/>
  <c r="AA72" i="3"/>
  <c r="W52" i="3"/>
  <c r="W53" i="3"/>
  <c r="W54" i="3"/>
  <c r="W55" i="3"/>
  <c r="W56" i="3"/>
  <c r="W57" i="3"/>
  <c r="W58" i="3"/>
  <c r="W59" i="3"/>
  <c r="W60" i="3"/>
  <c r="W61" i="3"/>
  <c r="W62" i="3"/>
  <c r="W63" i="3"/>
  <c r="W64" i="3"/>
  <c r="W65" i="3"/>
  <c r="W66" i="3"/>
  <c r="W67" i="3"/>
  <c r="W68" i="3"/>
  <c r="W69" i="3"/>
  <c r="W70" i="3"/>
  <c r="W71" i="3"/>
  <c r="W72" i="3"/>
  <c r="M52" i="3"/>
  <c r="M53" i="3"/>
  <c r="M54" i="3"/>
  <c r="M55" i="3"/>
  <c r="M56" i="3"/>
  <c r="M57" i="3"/>
  <c r="M58" i="3"/>
  <c r="M59" i="3"/>
  <c r="M60" i="3"/>
  <c r="M61" i="3"/>
  <c r="M62" i="3"/>
  <c r="M63" i="3"/>
  <c r="M64" i="3"/>
  <c r="M65" i="3"/>
  <c r="M66" i="3"/>
  <c r="M67" i="3"/>
  <c r="M68" i="3"/>
  <c r="M69" i="3"/>
  <c r="M70" i="3"/>
  <c r="M71" i="3"/>
  <c r="M72" i="3"/>
  <c r="I53" i="3"/>
  <c r="I54" i="3"/>
  <c r="I55" i="3"/>
  <c r="I56" i="3"/>
  <c r="I57" i="3"/>
  <c r="I58" i="3"/>
  <c r="I59" i="3"/>
  <c r="I60" i="3"/>
  <c r="I61" i="3"/>
  <c r="I62" i="3"/>
  <c r="I63" i="3"/>
  <c r="I64" i="3"/>
  <c r="I65" i="3"/>
  <c r="I66" i="3"/>
  <c r="I67" i="3"/>
  <c r="I68" i="3"/>
  <c r="I69" i="3"/>
  <c r="I70" i="3"/>
  <c r="I71" i="3"/>
  <c r="I72" i="3"/>
  <c r="I52" i="3"/>
  <c r="M160" i="9"/>
  <c r="M137" i="9"/>
  <c r="M138" i="9"/>
  <c r="M139" i="9"/>
  <c r="M140" i="9"/>
  <c r="M141" i="9"/>
  <c r="M142" i="9"/>
  <c r="M143" i="9"/>
  <c r="M144" i="9"/>
  <c r="M145" i="9"/>
  <c r="M146" i="9"/>
  <c r="M147" i="9"/>
  <c r="M148" i="9"/>
  <c r="M149" i="9"/>
  <c r="M150" i="9"/>
  <c r="M151" i="9"/>
  <c r="M152" i="9"/>
  <c r="M153" i="9"/>
  <c r="M154" i="9"/>
  <c r="M155" i="9"/>
  <c r="M156" i="9"/>
  <c r="M157" i="9"/>
  <c r="M158" i="9"/>
  <c r="M159"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L160" i="9"/>
  <c r="L137" i="9"/>
  <c r="L138" i="9"/>
  <c r="L139" i="9"/>
  <c r="L140" i="9"/>
  <c r="L141" i="9"/>
  <c r="L142" i="9"/>
  <c r="L143" i="9"/>
  <c r="L144" i="9"/>
  <c r="L145" i="9"/>
  <c r="L146" i="9"/>
  <c r="L147" i="9"/>
  <c r="L148" i="9"/>
  <c r="L149" i="9"/>
  <c r="L150" i="9"/>
  <c r="L151" i="9"/>
  <c r="L152" i="9"/>
  <c r="L153" i="9"/>
  <c r="L154" i="9"/>
  <c r="L155" i="9"/>
  <c r="L156" i="9"/>
  <c r="L157" i="9"/>
  <c r="L158" i="9"/>
  <c r="L159"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K160" i="9"/>
  <c r="K137" i="9"/>
  <c r="K138" i="9"/>
  <c r="K139" i="9"/>
  <c r="K140" i="9"/>
  <c r="K141" i="9"/>
  <c r="K142" i="9"/>
  <c r="K143" i="9"/>
  <c r="K144" i="9"/>
  <c r="K145" i="9"/>
  <c r="K146" i="9"/>
  <c r="K147" i="9"/>
  <c r="K148" i="9"/>
  <c r="K149" i="9"/>
  <c r="K150" i="9"/>
  <c r="K151" i="9"/>
  <c r="K152" i="9"/>
  <c r="K153" i="9"/>
  <c r="K154" i="9"/>
  <c r="K155" i="9"/>
  <c r="K156" i="9"/>
  <c r="K157" i="9"/>
  <c r="K158" i="9"/>
  <c r="K159"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I160" i="9"/>
  <c r="I137" i="9"/>
  <c r="I138" i="9"/>
  <c r="I139" i="9"/>
  <c r="I140" i="9"/>
  <c r="I141" i="9"/>
  <c r="I142" i="9"/>
  <c r="I143" i="9"/>
  <c r="I144" i="9"/>
  <c r="I145" i="9"/>
  <c r="I146" i="9"/>
  <c r="I147" i="9"/>
  <c r="I148" i="9"/>
  <c r="I149" i="9"/>
  <c r="I150" i="9"/>
  <c r="I151" i="9"/>
  <c r="I152" i="9"/>
  <c r="I153" i="9"/>
  <c r="I154" i="9"/>
  <c r="I155" i="9"/>
  <c r="I156" i="9"/>
  <c r="I157" i="9"/>
  <c r="I158" i="9"/>
  <c r="I159"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H160" i="9"/>
  <c r="H137" i="9"/>
  <c r="H138" i="9"/>
  <c r="H139" i="9"/>
  <c r="H140" i="9"/>
  <c r="H141" i="9"/>
  <c r="H142" i="9"/>
  <c r="H143" i="9"/>
  <c r="H144" i="9"/>
  <c r="H145" i="9"/>
  <c r="H146" i="9"/>
  <c r="H147" i="9"/>
  <c r="H148" i="9"/>
  <c r="H149" i="9"/>
  <c r="H150" i="9"/>
  <c r="H151" i="9"/>
  <c r="H152" i="9"/>
  <c r="H153" i="9"/>
  <c r="H154" i="9"/>
  <c r="H155" i="9"/>
  <c r="H156" i="9"/>
  <c r="H157" i="9"/>
  <c r="H158" i="9"/>
  <c r="H159"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G160" i="9"/>
  <c r="D160" i="9"/>
  <c r="C160" i="9"/>
  <c r="B160" i="9"/>
  <c r="G141" i="9"/>
  <c r="G142" i="9"/>
  <c r="G143" i="9"/>
  <c r="G144" i="9"/>
  <c r="G145" i="9"/>
  <c r="G146" i="9"/>
  <c r="G147" i="9"/>
  <c r="G148" i="9"/>
  <c r="G149" i="9"/>
  <c r="G150" i="9"/>
  <c r="G151" i="9"/>
  <c r="G152" i="9"/>
  <c r="G153" i="9"/>
  <c r="G154" i="9"/>
  <c r="G155" i="9"/>
  <c r="G156" i="9"/>
  <c r="G157" i="9"/>
  <c r="G158" i="9"/>
  <c r="G159" i="9"/>
  <c r="G137" i="9"/>
  <c r="G138" i="9"/>
  <c r="G139" i="9"/>
  <c r="G140"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D137" i="9"/>
  <c r="D138" i="9"/>
  <c r="D139" i="9"/>
  <c r="D140" i="9"/>
  <c r="D141" i="9"/>
  <c r="D142" i="9"/>
  <c r="D143" i="9"/>
  <c r="D144" i="9"/>
  <c r="D145" i="9"/>
  <c r="D146" i="9"/>
  <c r="D147" i="9"/>
  <c r="D148" i="9"/>
  <c r="D149" i="9"/>
  <c r="D150" i="9"/>
  <c r="D151" i="9"/>
  <c r="D152" i="9"/>
  <c r="D153" i="9"/>
  <c r="D154" i="9"/>
  <c r="D155" i="9"/>
  <c r="D156" i="9"/>
  <c r="D157" i="9"/>
  <c r="D158" i="9"/>
  <c r="D159"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C137" i="9"/>
  <c r="C138" i="9"/>
  <c r="C139" i="9"/>
  <c r="C140" i="9"/>
  <c r="C141" i="9"/>
  <c r="C142" i="9"/>
  <c r="C143" i="9"/>
  <c r="C144" i="9"/>
  <c r="C145" i="9"/>
  <c r="C146" i="9"/>
  <c r="C147" i="9"/>
  <c r="C148" i="9"/>
  <c r="C149" i="9"/>
  <c r="C150" i="9"/>
  <c r="C151" i="9"/>
  <c r="C152" i="9"/>
  <c r="C153" i="9"/>
  <c r="C154" i="9"/>
  <c r="C155" i="9"/>
  <c r="C156" i="9"/>
  <c r="C157" i="9"/>
  <c r="C158" i="9"/>
  <c r="C159"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B137" i="9"/>
  <c r="B138" i="9"/>
  <c r="B139" i="9"/>
  <c r="B140" i="9"/>
  <c r="B141" i="9"/>
  <c r="B142" i="9"/>
  <c r="B143" i="9"/>
  <c r="B144" i="9"/>
  <c r="B145" i="9"/>
  <c r="B146" i="9"/>
  <c r="B147" i="9"/>
  <c r="B148" i="9"/>
  <c r="B149" i="9"/>
  <c r="B150" i="9"/>
  <c r="B151" i="9"/>
  <c r="B152" i="9"/>
  <c r="B153" i="9"/>
  <c r="B154" i="9"/>
  <c r="B155" i="9"/>
  <c r="B156" i="9"/>
  <c r="B157" i="9"/>
  <c r="B158" i="9"/>
  <c r="B159"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M191" i="9"/>
  <c r="M192" i="9"/>
  <c r="M193" i="9"/>
  <c r="M194" i="9"/>
  <c r="M195" i="9"/>
  <c r="M196" i="9"/>
  <c r="M197" i="9"/>
  <c r="M198" i="9"/>
  <c r="M199" i="9"/>
  <c r="M200" i="9"/>
  <c r="M201" i="9"/>
  <c r="M202" i="9"/>
  <c r="M203" i="9"/>
  <c r="M204" i="9"/>
  <c r="M205" i="9"/>
  <c r="M206" i="9"/>
  <c r="M207" i="9"/>
  <c r="M208"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L191" i="9"/>
  <c r="L192" i="9"/>
  <c r="L193" i="9"/>
  <c r="L194" i="9"/>
  <c r="L195" i="9"/>
  <c r="L196" i="9"/>
  <c r="L197" i="9"/>
  <c r="L198" i="9"/>
  <c r="L199" i="9"/>
  <c r="L200" i="9"/>
  <c r="L201" i="9"/>
  <c r="L202" i="9"/>
  <c r="L203" i="9"/>
  <c r="L204" i="9"/>
  <c r="L205" i="9"/>
  <c r="L206" i="9"/>
  <c r="L207" i="9"/>
  <c r="L208"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K191" i="9"/>
  <c r="K192" i="9"/>
  <c r="K193" i="9"/>
  <c r="K194" i="9"/>
  <c r="K195" i="9"/>
  <c r="K196" i="9"/>
  <c r="K197" i="9"/>
  <c r="K198" i="9"/>
  <c r="K199" i="9"/>
  <c r="K200" i="9"/>
  <c r="K201" i="9"/>
  <c r="K202" i="9"/>
  <c r="K203" i="9"/>
  <c r="K204" i="9"/>
  <c r="K205" i="9"/>
  <c r="K206" i="9"/>
  <c r="K207" i="9"/>
  <c r="K208"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I191" i="9"/>
  <c r="I192" i="9"/>
  <c r="I193" i="9"/>
  <c r="I194" i="9"/>
  <c r="I195" i="9"/>
  <c r="I196" i="9"/>
  <c r="I197" i="9"/>
  <c r="I198" i="9"/>
  <c r="I199" i="9"/>
  <c r="I200" i="9"/>
  <c r="I201" i="9"/>
  <c r="I202" i="9"/>
  <c r="I203" i="9"/>
  <c r="I204" i="9"/>
  <c r="I205" i="9"/>
  <c r="I206" i="9"/>
  <c r="I207" i="9"/>
  <c r="I208"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H191" i="9"/>
  <c r="H192" i="9"/>
  <c r="H193" i="9"/>
  <c r="H194" i="9"/>
  <c r="H195" i="9"/>
  <c r="H196" i="9"/>
  <c r="H197" i="9"/>
  <c r="H198" i="9"/>
  <c r="H199" i="9"/>
  <c r="H200" i="9"/>
  <c r="H201" i="9"/>
  <c r="H202" i="9"/>
  <c r="H203" i="9"/>
  <c r="H204" i="9"/>
  <c r="H205" i="9"/>
  <c r="H206" i="9"/>
  <c r="H207" i="9"/>
  <c r="H208"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G191" i="9"/>
  <c r="G192" i="9"/>
  <c r="G193" i="9"/>
  <c r="G194" i="9"/>
  <c r="G195" i="9"/>
  <c r="G196" i="9"/>
  <c r="G197" i="9"/>
  <c r="G198" i="9"/>
  <c r="G199" i="9"/>
  <c r="G200" i="9"/>
  <c r="G201" i="9"/>
  <c r="G202" i="9"/>
  <c r="G203" i="9"/>
  <c r="G204" i="9"/>
  <c r="G205" i="9"/>
  <c r="G206" i="9"/>
  <c r="G207" i="9"/>
  <c r="G208"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D191" i="9"/>
  <c r="D192" i="9"/>
  <c r="D193" i="9"/>
  <c r="D194" i="9"/>
  <c r="D195" i="9"/>
  <c r="D196" i="9"/>
  <c r="D197" i="9"/>
  <c r="D198" i="9"/>
  <c r="D199" i="9"/>
  <c r="D200" i="9"/>
  <c r="D201" i="9"/>
  <c r="D202" i="9"/>
  <c r="D203" i="9"/>
  <c r="D204" i="9"/>
  <c r="D205" i="9"/>
  <c r="D206" i="9"/>
  <c r="D207" i="9"/>
  <c r="D208"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C191" i="9"/>
  <c r="C192" i="9"/>
  <c r="C193" i="9"/>
  <c r="C194" i="9"/>
  <c r="C195" i="9"/>
  <c r="C196" i="9"/>
  <c r="C197" i="9"/>
  <c r="C198" i="9"/>
  <c r="C199" i="9"/>
  <c r="C200" i="9"/>
  <c r="C201" i="9"/>
  <c r="C202" i="9"/>
  <c r="C203" i="9"/>
  <c r="C204" i="9"/>
  <c r="C205" i="9"/>
  <c r="C206" i="9"/>
  <c r="C207" i="9"/>
  <c r="C208"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B191" i="9"/>
  <c r="B192" i="9"/>
  <c r="B193" i="9"/>
  <c r="B194" i="9"/>
  <c r="B195" i="9"/>
  <c r="B196" i="9"/>
  <c r="B197" i="9"/>
  <c r="B198" i="9"/>
  <c r="B199" i="9"/>
  <c r="B200" i="9"/>
  <c r="B201" i="9"/>
  <c r="B202" i="9"/>
  <c r="B203" i="9"/>
  <c r="B204" i="9"/>
  <c r="B205" i="9"/>
  <c r="B206" i="9"/>
  <c r="B207" i="9"/>
  <c r="B208"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K37" i="8"/>
  <c r="K38" i="8"/>
  <c r="K39" i="8"/>
  <c r="K40" i="8"/>
  <c r="K41" i="8"/>
  <c r="K42" i="8"/>
  <c r="K43" i="8"/>
  <c r="K84" i="8"/>
  <c r="K85" i="8"/>
  <c r="K86" i="8"/>
  <c r="K87" i="8"/>
  <c r="K88" i="8"/>
  <c r="K89" i="8"/>
  <c r="K90" i="8"/>
  <c r="K91" i="8"/>
  <c r="K92" i="8"/>
  <c r="K75" i="8"/>
  <c r="K76" i="8"/>
  <c r="K77" i="8"/>
  <c r="K78" i="8"/>
  <c r="K79" i="8"/>
  <c r="K80" i="8"/>
  <c r="K81" i="8"/>
  <c r="K82" i="8"/>
  <c r="K83" i="8"/>
  <c r="K23" i="8"/>
  <c r="K24" i="8"/>
  <c r="K25" i="8"/>
  <c r="K26" i="8"/>
  <c r="K27" i="8"/>
  <c r="K28" i="8"/>
  <c r="K29" i="8"/>
  <c r="K30" i="8"/>
  <c r="K31" i="8"/>
  <c r="K32" i="8"/>
  <c r="K33" i="8"/>
  <c r="K34" i="8"/>
  <c r="K35" i="8"/>
  <c r="K21" i="8"/>
  <c r="K22" i="8"/>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M332" i="5"/>
  <c r="L332" i="5"/>
  <c r="K332" i="5"/>
  <c r="I332" i="5"/>
  <c r="H332" i="5"/>
  <c r="G33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M262" i="5"/>
  <c r="L262" i="5"/>
  <c r="K262" i="5"/>
  <c r="I262" i="5"/>
  <c r="H262" i="5"/>
  <c r="G262" i="5"/>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M214" i="9"/>
  <c r="L214" i="9"/>
  <c r="K214" i="9"/>
  <c r="I214" i="9"/>
  <c r="H214" i="9"/>
  <c r="G214" i="9"/>
  <c r="M284" i="9"/>
  <c r="L284" i="9"/>
  <c r="I284" i="9"/>
  <c r="H284" i="9"/>
  <c r="K284" i="9"/>
  <c r="G284" i="9"/>
  <c r="A36" i="13"/>
  <c r="A31" i="13"/>
  <c r="A35" i="13"/>
  <c r="A30" i="13"/>
  <c r="P107" i="9"/>
  <c r="P122" i="5"/>
  <c r="U45" i="5"/>
  <c r="U46" i="5"/>
  <c r="U47" i="5"/>
  <c r="U48" i="5"/>
  <c r="U49" i="5"/>
  <c r="U65" i="5"/>
  <c r="U66" i="5"/>
  <c r="U67" i="5"/>
  <c r="U68" i="5"/>
  <c r="U69" i="5"/>
  <c r="U70" i="5"/>
  <c r="U71" i="5"/>
  <c r="U72" i="5"/>
  <c r="U73" i="5"/>
  <c r="U74" i="5"/>
  <c r="U75" i="5"/>
  <c r="U82" i="5"/>
  <c r="U83" i="5"/>
  <c r="U84" i="5"/>
  <c r="T45" i="5"/>
  <c r="T46" i="5"/>
  <c r="T47" i="5"/>
  <c r="T48" i="5"/>
  <c r="T49" i="5"/>
  <c r="T52" i="5"/>
  <c r="T53" i="5"/>
  <c r="T54" i="5"/>
  <c r="T55" i="5"/>
  <c r="T56" i="5"/>
  <c r="T57" i="5"/>
  <c r="T58" i="5"/>
  <c r="T59" i="5"/>
  <c r="T60" i="5"/>
  <c r="T61" i="5"/>
  <c r="T62" i="5"/>
  <c r="T63" i="5"/>
  <c r="T64" i="5"/>
  <c r="T65" i="5"/>
  <c r="T66" i="5"/>
  <c r="T67" i="5"/>
  <c r="T68" i="5"/>
  <c r="T69" i="5"/>
  <c r="T70" i="5"/>
  <c r="T71" i="5"/>
  <c r="T72" i="5"/>
  <c r="T73" i="5"/>
  <c r="T74" i="5"/>
  <c r="T75" i="5"/>
  <c r="T78" i="5"/>
  <c r="T79" i="5"/>
  <c r="T80" i="5"/>
  <c r="T81" i="5"/>
  <c r="T82" i="5"/>
  <c r="T83" i="5"/>
  <c r="T84" i="5"/>
  <c r="T44"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P122" i="9"/>
  <c r="U78" i="9"/>
  <c r="U79" i="9"/>
  <c r="U80" i="9"/>
  <c r="U81" i="9"/>
  <c r="U82" i="9"/>
  <c r="U83" i="9"/>
  <c r="U84" i="9"/>
  <c r="T78" i="9"/>
  <c r="T79" i="9"/>
  <c r="T80" i="9"/>
  <c r="T81" i="9"/>
  <c r="T82" i="9"/>
  <c r="T83" i="9"/>
  <c r="T84" i="9"/>
  <c r="U55" i="9"/>
  <c r="U56" i="9"/>
  <c r="U57" i="9"/>
  <c r="U58" i="9"/>
  <c r="U59" i="9"/>
  <c r="U60" i="9"/>
  <c r="U61" i="9"/>
  <c r="U62" i="9"/>
  <c r="U63" i="9"/>
  <c r="U64" i="9"/>
  <c r="U65" i="9"/>
  <c r="U66" i="9"/>
  <c r="U67" i="9"/>
  <c r="U68" i="9"/>
  <c r="U69" i="9"/>
  <c r="U70" i="9"/>
  <c r="U71" i="9"/>
  <c r="U72" i="9"/>
  <c r="U73" i="9"/>
  <c r="U74" i="9"/>
  <c r="U75" i="9"/>
  <c r="U54" i="9"/>
  <c r="T55" i="9"/>
  <c r="T56" i="9"/>
  <c r="T57" i="9"/>
  <c r="T58" i="9"/>
  <c r="T59" i="9"/>
  <c r="T60" i="9"/>
  <c r="T61" i="9"/>
  <c r="T62" i="9"/>
  <c r="T63" i="9"/>
  <c r="T64" i="9"/>
  <c r="T65" i="9"/>
  <c r="T66" i="9"/>
  <c r="T67" i="9"/>
  <c r="T68" i="9"/>
  <c r="T69" i="9"/>
  <c r="T70" i="9"/>
  <c r="T71" i="9"/>
  <c r="T72" i="9"/>
  <c r="T73" i="9"/>
  <c r="T74" i="9"/>
  <c r="T75" i="9"/>
  <c r="T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54" i="9"/>
  <c r="J55" i="9"/>
  <c r="J56" i="9"/>
  <c r="J57" i="9"/>
  <c r="J58" i="9"/>
  <c r="J59" i="9"/>
  <c r="J60" i="9"/>
  <c r="J61" i="9"/>
  <c r="J62" i="9"/>
  <c r="J63" i="9"/>
  <c r="J64" i="9"/>
  <c r="J65" i="9"/>
  <c r="J66" i="9"/>
  <c r="J67" i="9"/>
  <c r="J68" i="9"/>
  <c r="J69" i="9"/>
  <c r="F69" i="9" s="1"/>
  <c r="J70" i="9"/>
  <c r="J71" i="9"/>
  <c r="J72" i="9"/>
  <c r="J73" i="9"/>
  <c r="J74" i="9"/>
  <c r="J75" i="9"/>
  <c r="J76" i="9"/>
  <c r="J77" i="9"/>
  <c r="F77" i="9" s="1"/>
  <c r="J78" i="9"/>
  <c r="J79" i="9"/>
  <c r="J80" i="9"/>
  <c r="F80" i="9" s="1"/>
  <c r="J81" i="9"/>
  <c r="J82" i="9"/>
  <c r="J83" i="9"/>
  <c r="J84" i="9"/>
  <c r="F84" i="9" s="1"/>
  <c r="J85" i="9"/>
  <c r="J86" i="9"/>
  <c r="J87" i="9"/>
  <c r="J88" i="9"/>
  <c r="F88" i="9" s="1"/>
  <c r="J89" i="9"/>
  <c r="J90" i="9"/>
  <c r="J91" i="9"/>
  <c r="J92" i="9"/>
  <c r="J93" i="9"/>
  <c r="J94" i="9"/>
  <c r="J95" i="9"/>
  <c r="J96" i="9"/>
  <c r="J97" i="9"/>
  <c r="J98" i="9"/>
  <c r="J99" i="9"/>
  <c r="J100" i="9"/>
  <c r="F100" i="9" s="1"/>
  <c r="J101" i="9"/>
  <c r="J102" i="9"/>
  <c r="J103" i="9"/>
  <c r="J54" i="9"/>
  <c r="Q13" i="20"/>
  <c r="P26" i="9"/>
  <c r="L13" i="20" s="1"/>
  <c r="P115" i="5"/>
  <c r="P114" i="5"/>
  <c r="P113" i="5"/>
  <c r="P112" i="5"/>
  <c r="P111" i="5"/>
  <c r="P110" i="5"/>
  <c r="P109" i="5"/>
  <c r="P108" i="5"/>
  <c r="P115" i="9"/>
  <c r="P114" i="9"/>
  <c r="P113" i="9"/>
  <c r="P112" i="9"/>
  <c r="P111" i="9"/>
  <c r="P110" i="9"/>
  <c r="P109" i="9"/>
  <c r="P108" i="9"/>
  <c r="M21" i="14"/>
  <c r="L21" i="14"/>
  <c r="K21" i="14"/>
  <c r="J21" i="14"/>
  <c r="I21" i="14"/>
  <c r="H21" i="14"/>
  <c r="G21" i="14"/>
  <c r="M10" i="14"/>
  <c r="L10" i="14"/>
  <c r="K10" i="14"/>
  <c r="J10" i="14"/>
  <c r="I10" i="14"/>
  <c r="H10" i="14"/>
  <c r="G10" i="14"/>
  <c r="P107" i="5"/>
  <c r="P181" i="5"/>
  <c r="T23" i="13" s="1"/>
  <c r="E52" i="8"/>
  <c r="K55" i="8"/>
  <c r="K56" i="8"/>
  <c r="K57" i="8"/>
  <c r="K58" i="8"/>
  <c r="K59" i="8"/>
  <c r="K60" i="8"/>
  <c r="K61" i="8"/>
  <c r="K62" i="8"/>
  <c r="K63" i="8"/>
  <c r="K64" i="8"/>
  <c r="K65" i="8"/>
  <c r="K66" i="8"/>
  <c r="K67" i="8"/>
  <c r="K68" i="8"/>
  <c r="K69" i="8"/>
  <c r="K70" i="8"/>
  <c r="K71" i="8"/>
  <c r="K72" i="8"/>
  <c r="K73" i="8"/>
  <c r="K74" i="8"/>
  <c r="K93" i="8"/>
  <c r="K94" i="8"/>
  <c r="K95" i="8"/>
  <c r="K96" i="8"/>
  <c r="K97" i="8"/>
  <c r="K98" i="8"/>
  <c r="K99" i="8"/>
  <c r="K100" i="8"/>
  <c r="K101" i="8"/>
  <c r="K102" i="8"/>
  <c r="K103" i="8"/>
  <c r="K104" i="8"/>
  <c r="K54" i="8"/>
  <c r="K3" i="8"/>
  <c r="K4" i="8"/>
  <c r="K5" i="8"/>
  <c r="K6" i="8"/>
  <c r="K7" i="8"/>
  <c r="K8" i="8"/>
  <c r="K9" i="8"/>
  <c r="K10" i="8"/>
  <c r="K11" i="8"/>
  <c r="K12" i="8"/>
  <c r="K13" i="8"/>
  <c r="K14" i="8"/>
  <c r="K15" i="8"/>
  <c r="K16" i="8"/>
  <c r="K17" i="8"/>
  <c r="K18" i="8"/>
  <c r="K19" i="8"/>
  <c r="K20" i="8"/>
  <c r="K36" i="8"/>
  <c r="K44" i="8"/>
  <c r="K45" i="8"/>
  <c r="K46" i="8"/>
  <c r="K47" i="8"/>
  <c r="K48" i="8"/>
  <c r="K49" i="8"/>
  <c r="K50" i="8"/>
  <c r="K51" i="8"/>
  <c r="K2" i="8"/>
  <c r="P181" i="9"/>
  <c r="J23" i="13" s="1"/>
  <c r="L52" i="8"/>
  <c r="P172" i="9"/>
  <c r="L7" i="20" s="1"/>
  <c r="L105" i="8"/>
  <c r="P173" i="9" s="1"/>
  <c r="L8" i="20" s="1"/>
  <c r="F105" i="8"/>
  <c r="G105" i="8"/>
  <c r="H105" i="8"/>
  <c r="I105" i="8"/>
  <c r="J105" i="8"/>
  <c r="E105" i="8"/>
  <c r="F52" i="8"/>
  <c r="G52" i="8"/>
  <c r="H52" i="8"/>
  <c r="I52" i="8"/>
  <c r="J52" i="8"/>
  <c r="E24" i="13"/>
  <c r="E27" i="13" s="1"/>
  <c r="E36" i="13" s="1"/>
  <c r="F19" i="13"/>
  <c r="P161" i="9" s="1"/>
  <c r="E11" i="13"/>
  <c r="E30" i="13" s="1"/>
  <c r="F6" i="13"/>
  <c r="P160" i="5" s="1"/>
  <c r="P149" i="9"/>
  <c r="P151" i="9" s="1"/>
  <c r="P149" i="5"/>
  <c r="P151" i="5" s="1"/>
  <c r="P141" i="9"/>
  <c r="P30" i="9"/>
  <c r="P28" i="9"/>
  <c r="P27" i="9"/>
  <c r="P32" i="9" s="1"/>
  <c r="J16" i="13" s="1"/>
  <c r="P141" i="5"/>
  <c r="U12" i="5"/>
  <c r="U13" i="5"/>
  <c r="U14" i="5"/>
  <c r="U16" i="5"/>
  <c r="U17" i="5"/>
  <c r="U18" i="5"/>
  <c r="U19" i="5"/>
  <c r="U20" i="5"/>
  <c r="U21" i="5"/>
  <c r="U22" i="5"/>
  <c r="U23" i="5"/>
  <c r="T12" i="5"/>
  <c r="T13" i="5"/>
  <c r="T14" i="5"/>
  <c r="T15" i="5"/>
  <c r="T16" i="5"/>
  <c r="T17" i="5"/>
  <c r="T18" i="5"/>
  <c r="T19" i="5"/>
  <c r="T20" i="5"/>
  <c r="T21" i="5"/>
  <c r="T22" i="5"/>
  <c r="T23" i="5"/>
  <c r="U12" i="9"/>
  <c r="U13" i="9"/>
  <c r="U14" i="9"/>
  <c r="U15" i="9"/>
  <c r="U16" i="9"/>
  <c r="U17" i="9"/>
  <c r="U18" i="9"/>
  <c r="U19" i="9"/>
  <c r="U20" i="9"/>
  <c r="U21" i="9"/>
  <c r="U22" i="9"/>
  <c r="U23" i="9"/>
  <c r="T12" i="9"/>
  <c r="T13" i="9"/>
  <c r="T14" i="9"/>
  <c r="T15" i="9"/>
  <c r="T16" i="9"/>
  <c r="T17" i="9"/>
  <c r="T18" i="9"/>
  <c r="T19" i="9"/>
  <c r="T20" i="9"/>
  <c r="T21" i="9"/>
  <c r="T22" i="9"/>
  <c r="T23" i="9"/>
  <c r="M162" i="9"/>
  <c r="M209" i="9"/>
  <c r="M210" i="9"/>
  <c r="M211" i="9"/>
  <c r="M212" i="9"/>
  <c r="L162" i="9"/>
  <c r="L209" i="9"/>
  <c r="L210" i="9"/>
  <c r="L211" i="9"/>
  <c r="L212" i="9"/>
  <c r="K162" i="9"/>
  <c r="K209" i="9"/>
  <c r="K210" i="9"/>
  <c r="K211" i="9"/>
  <c r="K212" i="9"/>
  <c r="I162" i="9"/>
  <c r="I209" i="9"/>
  <c r="I210" i="9"/>
  <c r="I211" i="9"/>
  <c r="I212" i="9"/>
  <c r="H162" i="9"/>
  <c r="H209" i="9"/>
  <c r="H210" i="9"/>
  <c r="H211" i="9"/>
  <c r="H212" i="9"/>
  <c r="G162" i="9"/>
  <c r="G209" i="9"/>
  <c r="G210" i="9"/>
  <c r="G211" i="9"/>
  <c r="G212" i="9"/>
  <c r="D209" i="9"/>
  <c r="D210" i="9"/>
  <c r="D211" i="9"/>
  <c r="D212" i="9"/>
  <c r="C209" i="9"/>
  <c r="C210" i="9"/>
  <c r="C211" i="9"/>
  <c r="C212" i="9"/>
  <c r="D162" i="9"/>
  <c r="C162" i="9"/>
  <c r="B162" i="9"/>
  <c r="B209" i="9"/>
  <c r="B210" i="9"/>
  <c r="B211" i="9"/>
  <c r="B212" i="9"/>
  <c r="M111" i="9"/>
  <c r="L111" i="9"/>
  <c r="K111" i="9"/>
  <c r="I111" i="9"/>
  <c r="H111" i="9"/>
  <c r="G111" i="9"/>
  <c r="D111" i="9"/>
  <c r="C111" i="9"/>
  <c r="B111" i="9"/>
  <c r="B284" i="9"/>
  <c r="B261" i="9"/>
  <c r="B260" i="9"/>
  <c r="B259" i="9"/>
  <c r="B258" i="9"/>
  <c r="B257" i="9"/>
  <c r="B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N109" i="9"/>
  <c r="J109" i="9"/>
  <c r="F109" i="9" s="1"/>
  <c r="N108" i="9"/>
  <c r="J108" i="9"/>
  <c r="N107" i="9"/>
  <c r="J107" i="9"/>
  <c r="F107" i="9" s="1"/>
  <c r="N106" i="9"/>
  <c r="J106" i="9"/>
  <c r="N105" i="9"/>
  <c r="J105" i="9"/>
  <c r="F105" i="9" s="1"/>
  <c r="N104" i="9"/>
  <c r="J104" i="9"/>
  <c r="T53" i="9"/>
  <c r="N53" i="9"/>
  <c r="J53" i="9"/>
  <c r="T52" i="9"/>
  <c r="N52" i="9"/>
  <c r="J52" i="9"/>
  <c r="N51" i="9"/>
  <c r="J51" i="9"/>
  <c r="N50" i="9"/>
  <c r="J50" i="9"/>
  <c r="T49" i="9"/>
  <c r="N49" i="9"/>
  <c r="J49" i="9"/>
  <c r="T48" i="9"/>
  <c r="N48" i="9"/>
  <c r="J48" i="9"/>
  <c r="T47" i="9"/>
  <c r="N47" i="9"/>
  <c r="J47" i="9"/>
  <c r="T46" i="9"/>
  <c r="N46" i="9"/>
  <c r="J46" i="9"/>
  <c r="T45" i="9"/>
  <c r="N45" i="9"/>
  <c r="J45" i="9"/>
  <c r="T44" i="9"/>
  <c r="N44" i="9"/>
  <c r="J44" i="9"/>
  <c r="T43" i="9"/>
  <c r="N43" i="9"/>
  <c r="J43" i="9"/>
  <c r="T42" i="9"/>
  <c r="N42" i="9"/>
  <c r="J42" i="9"/>
  <c r="T41" i="9"/>
  <c r="N41" i="9"/>
  <c r="J41" i="9"/>
  <c r="T40" i="9"/>
  <c r="N40" i="9"/>
  <c r="J40" i="9"/>
  <c r="T39" i="9"/>
  <c r="N39" i="9"/>
  <c r="J39" i="9"/>
  <c r="T38" i="9"/>
  <c r="N38" i="9"/>
  <c r="J38" i="9"/>
  <c r="T37" i="9"/>
  <c r="N37" i="9"/>
  <c r="J37" i="9"/>
  <c r="T36" i="9"/>
  <c r="N36" i="9"/>
  <c r="J36" i="9"/>
  <c r="F36" i="9" s="1"/>
  <c r="T35" i="9"/>
  <c r="N35" i="9"/>
  <c r="J35" i="9"/>
  <c r="T34" i="9"/>
  <c r="N34" i="9"/>
  <c r="J34" i="9"/>
  <c r="T33" i="9"/>
  <c r="N33" i="9"/>
  <c r="J33" i="9"/>
  <c r="T32" i="9"/>
  <c r="N32" i="9"/>
  <c r="J32" i="9"/>
  <c r="F32" i="9" s="1"/>
  <c r="U31" i="9"/>
  <c r="T31" i="9"/>
  <c r="N31" i="9"/>
  <c r="J31" i="9"/>
  <c r="F31" i="9" s="1"/>
  <c r="T30" i="9"/>
  <c r="N30" i="9"/>
  <c r="J30" i="9"/>
  <c r="T29" i="9"/>
  <c r="N29" i="9"/>
  <c r="J29" i="9"/>
  <c r="T28" i="9"/>
  <c r="N28" i="9"/>
  <c r="J28" i="9"/>
  <c r="T27" i="9"/>
  <c r="N27" i="9"/>
  <c r="J27" i="9"/>
  <c r="T26" i="9"/>
  <c r="N26" i="9"/>
  <c r="J26" i="9"/>
  <c r="N25" i="9"/>
  <c r="J25" i="9"/>
  <c r="N24" i="9"/>
  <c r="J24" i="9"/>
  <c r="N23" i="9"/>
  <c r="F23" i="9" s="1"/>
  <c r="J23" i="9"/>
  <c r="N22" i="9"/>
  <c r="J22" i="9"/>
  <c r="N21" i="9"/>
  <c r="J21" i="9"/>
  <c r="N20" i="9"/>
  <c r="F20" i="9" s="1"/>
  <c r="J20" i="9"/>
  <c r="N19" i="9"/>
  <c r="J19" i="9"/>
  <c r="N18" i="9"/>
  <c r="J18" i="9"/>
  <c r="N17" i="9"/>
  <c r="J17" i="9"/>
  <c r="N16" i="9"/>
  <c r="J16" i="9"/>
  <c r="N15" i="9"/>
  <c r="J15" i="9"/>
  <c r="N14" i="9"/>
  <c r="J14" i="9"/>
  <c r="N13" i="9"/>
  <c r="J13" i="9"/>
  <c r="N12" i="9"/>
  <c r="J12" i="9"/>
  <c r="T11" i="9"/>
  <c r="N11" i="9"/>
  <c r="J11" i="9"/>
  <c r="N10" i="9"/>
  <c r="J10" i="9"/>
  <c r="P30" i="5"/>
  <c r="T15" i="13" s="1"/>
  <c r="P29" i="5"/>
  <c r="P28" i="5"/>
  <c r="P27"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32"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263" i="5"/>
  <c r="B262" i="5"/>
  <c r="T11" i="5"/>
  <c r="T26" i="5"/>
  <c r="T27" i="5"/>
  <c r="T28" i="5"/>
  <c r="T29" i="5"/>
  <c r="T30" i="5"/>
  <c r="T31" i="5"/>
  <c r="T32" i="5"/>
  <c r="T33" i="5"/>
  <c r="T34" i="5"/>
  <c r="T35" i="5"/>
  <c r="T36" i="5"/>
  <c r="T37" i="5"/>
  <c r="T38" i="5"/>
  <c r="T39" i="5"/>
  <c r="U39" i="5"/>
  <c r="T40" i="5"/>
  <c r="T41" i="5"/>
  <c r="T42" i="5"/>
  <c r="T43"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94" i="5"/>
  <c r="N95" i="5"/>
  <c r="N96" i="5"/>
  <c r="N97" i="5"/>
  <c r="N98" i="5"/>
  <c r="N99" i="5"/>
  <c r="N100" i="5"/>
  <c r="N101" i="5"/>
  <c r="N102" i="5"/>
  <c r="N103" i="5"/>
  <c r="N104" i="5"/>
  <c r="N105" i="5"/>
  <c r="N106" i="5"/>
  <c r="N107" i="5"/>
  <c r="N108" i="5"/>
  <c r="N109"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245" i="5"/>
  <c r="N246" i="5"/>
  <c r="N247" i="5"/>
  <c r="N248" i="5"/>
  <c r="N249" i="5"/>
  <c r="N250" i="5"/>
  <c r="N251" i="5"/>
  <c r="N252" i="5"/>
  <c r="N253" i="5"/>
  <c r="N254" i="5"/>
  <c r="N255" i="5"/>
  <c r="N256" i="5"/>
  <c r="N257" i="5"/>
  <c r="N258" i="5"/>
  <c r="N259" i="5"/>
  <c r="N260" i="5"/>
  <c r="J11" i="5"/>
  <c r="J12" i="5"/>
  <c r="J13" i="5"/>
  <c r="F13" i="5" s="1"/>
  <c r="J14" i="5"/>
  <c r="F14" i="5" s="1"/>
  <c r="J15" i="5"/>
  <c r="J16" i="5"/>
  <c r="J17" i="5"/>
  <c r="J18" i="5"/>
  <c r="F18" i="5" s="1"/>
  <c r="J19" i="5"/>
  <c r="J20" i="5"/>
  <c r="J21" i="5"/>
  <c r="F21" i="5" s="1"/>
  <c r="J22" i="5"/>
  <c r="F22" i="5" s="1"/>
  <c r="J23" i="5"/>
  <c r="J24" i="5"/>
  <c r="J25" i="5"/>
  <c r="J26" i="5"/>
  <c r="F26" i="5" s="1"/>
  <c r="J27" i="5"/>
  <c r="J28" i="5"/>
  <c r="J29" i="5"/>
  <c r="F29" i="5" s="1"/>
  <c r="J30" i="5"/>
  <c r="F30" i="5" s="1"/>
  <c r="J31" i="5"/>
  <c r="J32" i="5"/>
  <c r="J33" i="5"/>
  <c r="F33" i="5" s="1"/>
  <c r="J34" i="5"/>
  <c r="F34" i="5" s="1"/>
  <c r="J35" i="5"/>
  <c r="J36" i="5"/>
  <c r="J37" i="5"/>
  <c r="F37" i="5" s="1"/>
  <c r="J38" i="5"/>
  <c r="F38" i="5" s="1"/>
  <c r="J39" i="5"/>
  <c r="J40" i="5"/>
  <c r="J41" i="5"/>
  <c r="F41" i="5" s="1"/>
  <c r="J42" i="5"/>
  <c r="F42" i="5" s="1"/>
  <c r="J43" i="5"/>
  <c r="J94" i="5"/>
  <c r="J95" i="5"/>
  <c r="F95" i="5" s="1"/>
  <c r="J96" i="5"/>
  <c r="F96" i="5" s="1"/>
  <c r="J97" i="5"/>
  <c r="J98" i="5"/>
  <c r="J99" i="5"/>
  <c r="F99" i="5" s="1"/>
  <c r="J100" i="5"/>
  <c r="F100" i="5" s="1"/>
  <c r="J101" i="5"/>
  <c r="J102" i="5"/>
  <c r="J103" i="5"/>
  <c r="F103" i="5" s="1"/>
  <c r="J104" i="5"/>
  <c r="F104" i="5" s="1"/>
  <c r="J105" i="5"/>
  <c r="J106" i="5"/>
  <c r="J107" i="5"/>
  <c r="F107" i="5" s="1"/>
  <c r="J108" i="5"/>
  <c r="F108" i="5" s="1"/>
  <c r="J109" i="5"/>
  <c r="J111" i="5"/>
  <c r="J112" i="5"/>
  <c r="J113" i="5"/>
  <c r="F113" i="5" s="1"/>
  <c r="J114" i="5"/>
  <c r="J115" i="5"/>
  <c r="J116" i="5"/>
  <c r="J117" i="5"/>
  <c r="F117" i="5" s="1"/>
  <c r="J118" i="5"/>
  <c r="J119" i="5"/>
  <c r="J120" i="5"/>
  <c r="J121" i="5"/>
  <c r="F121" i="5" s="1"/>
  <c r="J122" i="5"/>
  <c r="J123" i="5"/>
  <c r="J124" i="5"/>
  <c r="J125" i="5"/>
  <c r="F125" i="5" s="1"/>
  <c r="J126" i="5"/>
  <c r="J127" i="5"/>
  <c r="J128" i="5"/>
  <c r="F128" i="5" s="1"/>
  <c r="J129" i="5"/>
  <c r="F129" i="5" s="1"/>
  <c r="J130" i="5"/>
  <c r="J131" i="5"/>
  <c r="J132" i="5"/>
  <c r="F132" i="5" s="1"/>
  <c r="J133" i="5"/>
  <c r="F133" i="5" s="1"/>
  <c r="J134" i="5"/>
  <c r="J135" i="5"/>
  <c r="J136" i="5"/>
  <c r="J137" i="5"/>
  <c r="F137" i="5" s="1"/>
  <c r="J138" i="5"/>
  <c r="J139" i="5"/>
  <c r="J140" i="5"/>
  <c r="F140" i="5" s="1"/>
  <c r="J141" i="5"/>
  <c r="F141" i="5" s="1"/>
  <c r="J142" i="5"/>
  <c r="J143" i="5"/>
  <c r="J144" i="5"/>
  <c r="J145" i="5"/>
  <c r="F145" i="5" s="1"/>
  <c r="J146" i="5"/>
  <c r="J147" i="5"/>
  <c r="J148" i="5"/>
  <c r="F148" i="5" s="1"/>
  <c r="J149" i="5"/>
  <c r="J150" i="5"/>
  <c r="J151" i="5"/>
  <c r="J152" i="5"/>
  <c r="J153" i="5"/>
  <c r="F153" i="5" s="1"/>
  <c r="J154" i="5"/>
  <c r="J155" i="5"/>
  <c r="J156" i="5"/>
  <c r="J157" i="5"/>
  <c r="F157" i="5" s="1"/>
  <c r="J158" i="5"/>
  <c r="J159" i="5"/>
  <c r="J160" i="5"/>
  <c r="J161" i="5"/>
  <c r="F161" i="5" s="1"/>
  <c r="J162" i="5"/>
  <c r="J163" i="5"/>
  <c r="J164" i="5"/>
  <c r="F164" i="5" s="1"/>
  <c r="J165" i="5"/>
  <c r="F165" i="5" s="1"/>
  <c r="J166" i="5"/>
  <c r="J167" i="5"/>
  <c r="J168" i="5"/>
  <c r="F168" i="5" s="1"/>
  <c r="J169" i="5"/>
  <c r="F169" i="5" s="1"/>
  <c r="J170" i="5"/>
  <c r="F170" i="5" s="1"/>
  <c r="J171" i="5"/>
  <c r="J172" i="5"/>
  <c r="J173" i="5"/>
  <c r="F173" i="5" s="1"/>
  <c r="J174" i="5"/>
  <c r="J175" i="5"/>
  <c r="J176" i="5"/>
  <c r="J177" i="5"/>
  <c r="F177" i="5" s="1"/>
  <c r="J178" i="5"/>
  <c r="J179" i="5"/>
  <c r="J180" i="5"/>
  <c r="F180" i="5" s="1"/>
  <c r="J181" i="5"/>
  <c r="F181" i="5" s="1"/>
  <c r="J182" i="5"/>
  <c r="J183" i="5"/>
  <c r="J184" i="5"/>
  <c r="J185" i="5"/>
  <c r="J186" i="5"/>
  <c r="J187" i="5"/>
  <c r="J188" i="5"/>
  <c r="F188" i="5" s="1"/>
  <c r="J189" i="5"/>
  <c r="J190" i="5"/>
  <c r="J191" i="5"/>
  <c r="J192" i="5"/>
  <c r="F192" i="5" s="1"/>
  <c r="J193" i="5"/>
  <c r="J194" i="5"/>
  <c r="J245" i="5"/>
  <c r="J246" i="5"/>
  <c r="F246" i="5" s="1"/>
  <c r="J247" i="5"/>
  <c r="J248" i="5"/>
  <c r="J249" i="5"/>
  <c r="J250" i="5"/>
  <c r="F250" i="5" s="1"/>
  <c r="J251" i="5"/>
  <c r="J252" i="5"/>
  <c r="J253" i="5"/>
  <c r="J254" i="5"/>
  <c r="J255" i="5"/>
  <c r="F255" i="5" s="1"/>
  <c r="J256" i="5"/>
  <c r="J257" i="5"/>
  <c r="J258" i="5"/>
  <c r="J259" i="5"/>
  <c r="F259" i="5" s="1"/>
  <c r="J260" i="5"/>
  <c r="J10" i="5"/>
  <c r="I4" i="3"/>
  <c r="W25" i="3"/>
  <c r="Z76" i="3"/>
  <c r="Z80" i="3"/>
  <c r="Y76" i="3"/>
  <c r="Y80" i="3" s="1"/>
  <c r="X76" i="3"/>
  <c r="X80" i="3"/>
  <c r="AA80" i="3" s="1"/>
  <c r="V76" i="3"/>
  <c r="U80" i="3" s="1"/>
  <c r="U76" i="3"/>
  <c r="T80" i="3" s="1"/>
  <c r="C21" i="20" s="1"/>
  <c r="T76" i="3"/>
  <c r="S80" i="3" s="1"/>
  <c r="S76" i="3"/>
  <c r="U81" i="3" s="1"/>
  <c r="D22" i="20" s="1"/>
  <c r="R76" i="3"/>
  <c r="T81" i="3" s="1"/>
  <c r="Q76" i="3"/>
  <c r="S81" i="3" s="1"/>
  <c r="B22" i="20" s="1"/>
  <c r="P76" i="3"/>
  <c r="O76" i="3"/>
  <c r="L76" i="3"/>
  <c r="L80" i="3" s="1"/>
  <c r="K76" i="3"/>
  <c r="K80" i="3" s="1"/>
  <c r="J76" i="3"/>
  <c r="J80" i="3" s="1"/>
  <c r="M80" i="3" s="1"/>
  <c r="O86" i="3" s="1"/>
  <c r="H76" i="3"/>
  <c r="G80" i="3" s="1"/>
  <c r="G76" i="3"/>
  <c r="F80" i="3" s="1"/>
  <c r="C8" i="20" s="1"/>
  <c r="F76" i="3"/>
  <c r="E76" i="3"/>
  <c r="G81" i="3" s="1"/>
  <c r="D9" i="20" s="1"/>
  <c r="D76" i="3"/>
  <c r="F81" i="3" s="1"/>
  <c r="C76" i="3"/>
  <c r="E81" i="3" s="1"/>
  <c r="B76" i="3"/>
  <c r="A76" i="3"/>
  <c r="AA51" i="3"/>
  <c r="W51" i="3"/>
  <c r="M51" i="3"/>
  <c r="I51" i="3"/>
  <c r="AA50" i="3"/>
  <c r="W50" i="3"/>
  <c r="M50" i="3"/>
  <c r="I50" i="3"/>
  <c r="AA49" i="3"/>
  <c r="W49" i="3"/>
  <c r="M49" i="3"/>
  <c r="I49" i="3"/>
  <c r="AA48" i="3"/>
  <c r="W48" i="3"/>
  <c r="M48" i="3"/>
  <c r="I48" i="3"/>
  <c r="AA47" i="3"/>
  <c r="W47" i="3"/>
  <c r="M47" i="3"/>
  <c r="I47" i="3"/>
  <c r="AA46" i="3"/>
  <c r="W46" i="3"/>
  <c r="M46" i="3"/>
  <c r="I46" i="3"/>
  <c r="AA45" i="3"/>
  <c r="W45" i="3"/>
  <c r="M45" i="3"/>
  <c r="I45" i="3"/>
  <c r="AA44" i="3"/>
  <c r="W44" i="3"/>
  <c r="M44" i="3"/>
  <c r="I44" i="3"/>
  <c r="AA43" i="3"/>
  <c r="W43" i="3"/>
  <c r="M43" i="3"/>
  <c r="I43" i="3"/>
  <c r="AA42" i="3"/>
  <c r="W42" i="3"/>
  <c r="M42" i="3"/>
  <c r="I42" i="3"/>
  <c r="AA41" i="3"/>
  <c r="W41" i="3"/>
  <c r="M41" i="3"/>
  <c r="I41" i="3"/>
  <c r="AA40" i="3"/>
  <c r="W40" i="3"/>
  <c r="M40" i="3"/>
  <c r="I40" i="3"/>
  <c r="AA39" i="3"/>
  <c r="W39" i="3"/>
  <c r="M39" i="3"/>
  <c r="I39" i="3"/>
  <c r="AA38" i="3"/>
  <c r="W38" i="3"/>
  <c r="M38" i="3"/>
  <c r="I38" i="3"/>
  <c r="AA37" i="3"/>
  <c r="W37" i="3"/>
  <c r="M37" i="3"/>
  <c r="I37" i="3"/>
  <c r="AA36" i="3"/>
  <c r="W36" i="3"/>
  <c r="M36" i="3"/>
  <c r="I36" i="3"/>
  <c r="AA35" i="3"/>
  <c r="W35" i="3"/>
  <c r="M35" i="3"/>
  <c r="I35" i="3"/>
  <c r="AA34" i="3"/>
  <c r="W34" i="3"/>
  <c r="M34" i="3"/>
  <c r="I34" i="3"/>
  <c r="AA33" i="3"/>
  <c r="W33" i="3"/>
  <c r="M33" i="3"/>
  <c r="I33" i="3"/>
  <c r="AA32" i="3"/>
  <c r="W32" i="3"/>
  <c r="M32" i="3"/>
  <c r="I32" i="3"/>
  <c r="AA31" i="3"/>
  <c r="W31" i="3"/>
  <c r="M31" i="3"/>
  <c r="I31" i="3"/>
  <c r="AA30" i="3"/>
  <c r="W30" i="3"/>
  <c r="M30" i="3"/>
  <c r="I30" i="3"/>
  <c r="AA29" i="3"/>
  <c r="W29" i="3"/>
  <c r="M29" i="3"/>
  <c r="I29" i="3"/>
  <c r="AA28" i="3"/>
  <c r="W28" i="3"/>
  <c r="M28" i="3"/>
  <c r="I28" i="3"/>
  <c r="AA27" i="3"/>
  <c r="W27" i="3"/>
  <c r="M27" i="3"/>
  <c r="I27" i="3"/>
  <c r="AA26" i="3"/>
  <c r="W26" i="3"/>
  <c r="M26" i="3"/>
  <c r="I26" i="3"/>
  <c r="AA25" i="3"/>
  <c r="M25" i="3"/>
  <c r="I25" i="3"/>
  <c r="AA24" i="3"/>
  <c r="W24" i="3"/>
  <c r="M24" i="3"/>
  <c r="I24" i="3"/>
  <c r="AA23" i="3"/>
  <c r="W23" i="3"/>
  <c r="M23" i="3"/>
  <c r="I23" i="3"/>
  <c r="AA22" i="3"/>
  <c r="W22" i="3"/>
  <c r="M22" i="3"/>
  <c r="I22" i="3"/>
  <c r="AA21" i="3"/>
  <c r="W21" i="3"/>
  <c r="M21" i="3"/>
  <c r="I21" i="3"/>
  <c r="AA20" i="3"/>
  <c r="W20" i="3"/>
  <c r="M20" i="3"/>
  <c r="I20" i="3"/>
  <c r="AA19" i="3"/>
  <c r="W19" i="3"/>
  <c r="M19" i="3"/>
  <c r="I19" i="3"/>
  <c r="AA18" i="3"/>
  <c r="W18" i="3"/>
  <c r="M18" i="3"/>
  <c r="I18" i="3"/>
  <c r="AA17" i="3"/>
  <c r="W17" i="3"/>
  <c r="M17" i="3"/>
  <c r="I17" i="3"/>
  <c r="AA16" i="3"/>
  <c r="W16" i="3"/>
  <c r="M16" i="3"/>
  <c r="I16" i="3"/>
  <c r="AA15" i="3"/>
  <c r="W15" i="3"/>
  <c r="M15" i="3"/>
  <c r="I15" i="3"/>
  <c r="AA14" i="3"/>
  <c r="W14" i="3"/>
  <c r="M14" i="3"/>
  <c r="I14" i="3"/>
  <c r="AA13" i="3"/>
  <c r="W13" i="3"/>
  <c r="M13" i="3"/>
  <c r="I13" i="3"/>
  <c r="AA12" i="3"/>
  <c r="W12" i="3"/>
  <c r="M12" i="3"/>
  <c r="I12" i="3"/>
  <c r="AA11" i="3"/>
  <c r="W11" i="3"/>
  <c r="M11" i="3"/>
  <c r="I11" i="3"/>
  <c r="AA10" i="3"/>
  <c r="W10" i="3"/>
  <c r="M10" i="3"/>
  <c r="I10" i="3"/>
  <c r="AA9" i="3"/>
  <c r="W9" i="3"/>
  <c r="M9" i="3"/>
  <c r="I9" i="3"/>
  <c r="AA8" i="3"/>
  <c r="W8" i="3"/>
  <c r="M8" i="3"/>
  <c r="I8" i="3"/>
  <c r="AA7" i="3"/>
  <c r="W7" i="3"/>
  <c r="M7" i="3"/>
  <c r="I7" i="3"/>
  <c r="AA6" i="3"/>
  <c r="W6" i="3"/>
  <c r="M6" i="3"/>
  <c r="I6" i="3"/>
  <c r="AA5" i="3"/>
  <c r="W5" i="3"/>
  <c r="M5" i="3"/>
  <c r="I5" i="3"/>
  <c r="AA4" i="3"/>
  <c r="W4" i="3"/>
  <c r="M4" i="3"/>
  <c r="U11" i="5"/>
  <c r="U26" i="9"/>
  <c r="U46" i="9"/>
  <c r="U43" i="9"/>
  <c r="U44" i="9"/>
  <c r="U38" i="9"/>
  <c r="U39" i="9"/>
  <c r="U32" i="9"/>
  <c r="U52" i="9"/>
  <c r="U28" i="9"/>
  <c r="U34" i="9"/>
  <c r="U37" i="9"/>
  <c r="U35" i="9"/>
  <c r="U40" i="9"/>
  <c r="U11" i="9"/>
  <c r="U42" i="9"/>
  <c r="U29" i="9"/>
  <c r="U30" i="9"/>
  <c r="U27" i="9"/>
  <c r="U49" i="9"/>
  <c r="U53" i="9"/>
  <c r="U41" i="9"/>
  <c r="U33" i="9"/>
  <c r="U36" i="9"/>
  <c r="U48" i="9"/>
  <c r="U45" i="9"/>
  <c r="U47" i="9"/>
  <c r="J351" i="5"/>
  <c r="F27" i="9"/>
  <c r="F52" i="9"/>
  <c r="F97" i="9"/>
  <c r="F62" i="9"/>
  <c r="F48" i="9"/>
  <c r="C23" i="13" l="1"/>
  <c r="C22" i="20"/>
  <c r="C23" i="20" s="1"/>
  <c r="F22" i="20"/>
  <c r="P17" i="9"/>
  <c r="P18" i="9"/>
  <c r="P16" i="9"/>
  <c r="C10" i="13"/>
  <c r="C9" i="20"/>
  <c r="C10" i="20" s="1"/>
  <c r="B10" i="13"/>
  <c r="B9" i="20"/>
  <c r="F9" i="20" s="1"/>
  <c r="D22" i="13"/>
  <c r="D21" i="20"/>
  <c r="D23" i="20" s="1"/>
  <c r="B22" i="13"/>
  <c r="B21" i="20"/>
  <c r="P23" i="9"/>
  <c r="P13" i="9"/>
  <c r="D9" i="13"/>
  <c r="D8" i="20"/>
  <c r="D10" i="20" s="1"/>
  <c r="P12" i="9"/>
  <c r="P22" i="9"/>
  <c r="U24" i="9"/>
  <c r="U50" i="9"/>
  <c r="P61" i="9"/>
  <c r="P63" i="9" s="1"/>
  <c r="P11" i="9"/>
  <c r="P21" i="9"/>
  <c r="P89" i="9" s="1"/>
  <c r="U76" i="9"/>
  <c r="P65" i="9"/>
  <c r="P67" i="9" s="1"/>
  <c r="F149" i="5"/>
  <c r="T24" i="5"/>
  <c r="P32" i="5"/>
  <c r="T16" i="13" s="1"/>
  <c r="T14" i="13"/>
  <c r="F162" i="5"/>
  <c r="F27" i="5"/>
  <c r="T50" i="5"/>
  <c r="T85" i="5"/>
  <c r="T76" i="5"/>
  <c r="F53" i="9"/>
  <c r="F13" i="9"/>
  <c r="F15" i="9"/>
  <c r="F17" i="9"/>
  <c r="F19" i="9"/>
  <c r="F21" i="9"/>
  <c r="F25" i="9"/>
  <c r="F75" i="9"/>
  <c r="N279" i="9"/>
  <c r="N275" i="9"/>
  <c r="N271" i="9"/>
  <c r="N267" i="9"/>
  <c r="N263" i="9"/>
  <c r="Q14" i="20"/>
  <c r="U85" i="9"/>
  <c r="L14" i="20"/>
  <c r="J13" i="20"/>
  <c r="W9" i="13"/>
  <c r="O12" i="20"/>
  <c r="L10" i="13"/>
  <c r="M76" i="3"/>
  <c r="F28" i="9"/>
  <c r="F37" i="9"/>
  <c r="F45" i="9"/>
  <c r="F49" i="9"/>
  <c r="F103" i="9"/>
  <c r="F99" i="9"/>
  <c r="F95" i="9"/>
  <c r="F91" i="9"/>
  <c r="F87" i="9"/>
  <c r="F83" i="9"/>
  <c r="F79" i="9"/>
  <c r="F68" i="9"/>
  <c r="F56" i="9"/>
  <c r="F93" i="5"/>
  <c r="F89" i="5"/>
  <c r="F85" i="5"/>
  <c r="F81" i="5"/>
  <c r="F77" i="5"/>
  <c r="F73" i="5"/>
  <c r="F69" i="5"/>
  <c r="F65" i="5"/>
  <c r="F61" i="5"/>
  <c r="F57" i="5"/>
  <c r="F53" i="5"/>
  <c r="F49" i="5"/>
  <c r="F45" i="5"/>
  <c r="L9" i="13"/>
  <c r="AA76" i="3"/>
  <c r="F63" i="9"/>
  <c r="F59" i="9"/>
  <c r="F55" i="9"/>
  <c r="F92" i="5"/>
  <c r="F88" i="5"/>
  <c r="F84" i="5"/>
  <c r="F80" i="5"/>
  <c r="F76" i="5"/>
  <c r="F72" i="5"/>
  <c r="F68" i="5"/>
  <c r="F64" i="5"/>
  <c r="F60" i="5"/>
  <c r="F56" i="5"/>
  <c r="F52" i="5"/>
  <c r="F48" i="5"/>
  <c r="F44" i="5"/>
  <c r="J120" i="9"/>
  <c r="F120" i="9" s="1"/>
  <c r="N130" i="9"/>
  <c r="F256" i="5"/>
  <c r="F166" i="5"/>
  <c r="D23" i="13"/>
  <c r="U82" i="3"/>
  <c r="C22" i="13"/>
  <c r="V80" i="3"/>
  <c r="K105" i="8"/>
  <c r="F10" i="9"/>
  <c r="O9" i="13"/>
  <c r="K52" i="8"/>
  <c r="P185" i="9" s="1"/>
  <c r="L22" i="20" s="1"/>
  <c r="J29" i="20" s="1"/>
  <c r="E31" i="13"/>
  <c r="E32" i="13" s="1"/>
  <c r="E14" i="13"/>
  <c r="E35" i="13" s="1"/>
  <c r="E37" i="13" s="1"/>
  <c r="P161" i="5"/>
  <c r="W76" i="3"/>
  <c r="S82" i="3"/>
  <c r="B23" i="13"/>
  <c r="F82" i="3"/>
  <c r="P160" i="9"/>
  <c r="H81" i="3"/>
  <c r="D10" i="13"/>
  <c r="G82" i="3"/>
  <c r="I76" i="3"/>
  <c r="N326" i="5"/>
  <c r="V81" i="3"/>
  <c r="T82" i="3"/>
  <c r="E80" i="3"/>
  <c r="C9" i="13"/>
  <c r="F171" i="5"/>
  <c r="F167" i="5"/>
  <c r="F102" i="5"/>
  <c r="F12" i="9"/>
  <c r="F14" i="9"/>
  <c r="F16" i="9"/>
  <c r="F18" i="9"/>
  <c r="F22" i="9"/>
  <c r="F24" i="9"/>
  <c r="F26" i="9"/>
  <c r="F30" i="9"/>
  <c r="F35" i="9"/>
  <c r="F39" i="9"/>
  <c r="F43" i="9"/>
  <c r="F47" i="9"/>
  <c r="F51" i="9"/>
  <c r="F90" i="9"/>
  <c r="F86" i="9"/>
  <c r="F82" i="9"/>
  <c r="F78" i="9"/>
  <c r="F70" i="9"/>
  <c r="F66" i="9"/>
  <c r="F58" i="9"/>
  <c r="F83" i="5"/>
  <c r="F79" i="5"/>
  <c r="F59" i="5"/>
  <c r="F50" i="5"/>
  <c r="F47" i="5"/>
  <c r="J269" i="9"/>
  <c r="N281" i="9"/>
  <c r="N273" i="9"/>
  <c r="N265" i="9"/>
  <c r="N282" i="9"/>
  <c r="N278" i="9"/>
  <c r="N274" i="9"/>
  <c r="N270" i="9"/>
  <c r="N266" i="9"/>
  <c r="N262" i="9"/>
  <c r="F34" i="9"/>
  <c r="F40" i="9"/>
  <c r="F93" i="9"/>
  <c r="F94" i="9"/>
  <c r="F98" i="9"/>
  <c r="F101" i="9"/>
  <c r="F73" i="9"/>
  <c r="F61" i="9"/>
  <c r="F71" i="9"/>
  <c r="F67" i="9"/>
  <c r="F57" i="9"/>
  <c r="J139" i="9"/>
  <c r="F11" i="9"/>
  <c r="F29" i="9"/>
  <c r="F38" i="9"/>
  <c r="F42" i="9"/>
  <c r="F46" i="9"/>
  <c r="F50" i="9"/>
  <c r="F104" i="9"/>
  <c r="F106" i="9"/>
  <c r="F108" i="9"/>
  <c r="N209" i="9"/>
  <c r="F102" i="9"/>
  <c r="F89" i="9"/>
  <c r="F85" i="9"/>
  <c r="F81" i="9"/>
  <c r="F74" i="9"/>
  <c r="J187" i="9"/>
  <c r="J183" i="9"/>
  <c r="N173" i="9"/>
  <c r="N207" i="9"/>
  <c r="F54" i="9"/>
  <c r="F96" i="9"/>
  <c r="F92" i="9"/>
  <c r="F76" i="9"/>
  <c r="F72" i="9"/>
  <c r="F64" i="9"/>
  <c r="F60" i="9"/>
  <c r="J251" i="9"/>
  <c r="J261" i="9"/>
  <c r="N230" i="9"/>
  <c r="N268" i="9"/>
  <c r="F33" i="9"/>
  <c r="F41" i="9"/>
  <c r="F44" i="9"/>
  <c r="F65" i="9"/>
  <c r="J188" i="9"/>
  <c r="J176" i="9"/>
  <c r="J206" i="9"/>
  <c r="J202" i="9"/>
  <c r="J182" i="9"/>
  <c r="J170" i="9"/>
  <c r="J166" i="9"/>
  <c r="J196" i="9"/>
  <c r="N190" i="9"/>
  <c r="N174" i="9"/>
  <c r="N170" i="9"/>
  <c r="N204" i="9"/>
  <c r="N184" i="9"/>
  <c r="N180" i="9"/>
  <c r="N164" i="9"/>
  <c r="N198" i="9"/>
  <c r="N120" i="9"/>
  <c r="N116" i="9"/>
  <c r="N112" i="9"/>
  <c r="N152" i="9"/>
  <c r="N148" i="9"/>
  <c r="N144" i="9"/>
  <c r="J282" i="9"/>
  <c r="J177" i="9"/>
  <c r="J203" i="9"/>
  <c r="N205" i="9"/>
  <c r="N201" i="9"/>
  <c r="J141" i="9"/>
  <c r="J160" i="9"/>
  <c r="J274" i="9"/>
  <c r="N276" i="9"/>
  <c r="N272" i="9"/>
  <c r="N264" i="9"/>
  <c r="J281" i="9"/>
  <c r="F281" i="9" s="1"/>
  <c r="J277" i="9"/>
  <c r="J273" i="9"/>
  <c r="N125" i="9"/>
  <c r="N113" i="9"/>
  <c r="N157" i="9"/>
  <c r="N145" i="9"/>
  <c r="N141" i="9"/>
  <c r="N146" i="9"/>
  <c r="N155" i="9"/>
  <c r="J265" i="9"/>
  <c r="N260" i="9"/>
  <c r="J129" i="9"/>
  <c r="J121" i="9"/>
  <c r="J113" i="9"/>
  <c r="J157" i="9"/>
  <c r="J149" i="9"/>
  <c r="J134" i="9"/>
  <c r="J130" i="9"/>
  <c r="N135" i="9"/>
  <c r="N131" i="9"/>
  <c r="N280" i="9"/>
  <c r="N111" i="9"/>
  <c r="J209" i="9"/>
  <c r="N212" i="9"/>
  <c r="L15" i="20"/>
  <c r="N284" i="9"/>
  <c r="J214" i="9"/>
  <c r="J258" i="9"/>
  <c r="J246" i="9"/>
  <c r="J226" i="9"/>
  <c r="J253" i="9"/>
  <c r="J260" i="9"/>
  <c r="N235" i="9"/>
  <c r="N226" i="9"/>
  <c r="N241" i="9"/>
  <c r="J186" i="9"/>
  <c r="J200" i="9"/>
  <c r="J172" i="9"/>
  <c r="N168" i="9"/>
  <c r="N186" i="9"/>
  <c r="N200" i="9"/>
  <c r="J128" i="9"/>
  <c r="J112" i="9"/>
  <c r="J152" i="9"/>
  <c r="J148" i="9"/>
  <c r="J144" i="9"/>
  <c r="J136" i="9"/>
  <c r="J116" i="9"/>
  <c r="N126" i="9"/>
  <c r="N119" i="9"/>
  <c r="J278" i="9"/>
  <c r="J266" i="9"/>
  <c r="J241" i="9"/>
  <c r="J243" i="9"/>
  <c r="J231" i="9"/>
  <c r="N246" i="9"/>
  <c r="N238" i="9"/>
  <c r="N234" i="9"/>
  <c r="N218" i="9"/>
  <c r="N220" i="9"/>
  <c r="J189" i="9"/>
  <c r="J185" i="9"/>
  <c r="J181" i="9"/>
  <c r="J173" i="9"/>
  <c r="F173" i="9" s="1"/>
  <c r="J169" i="9"/>
  <c r="J165" i="9"/>
  <c r="J207" i="9"/>
  <c r="J199" i="9"/>
  <c r="J195" i="9"/>
  <c r="J191" i="9"/>
  <c r="J171" i="9"/>
  <c r="J167" i="9"/>
  <c r="J163" i="9"/>
  <c r="J205" i="9"/>
  <c r="J201" i="9"/>
  <c r="N187" i="9"/>
  <c r="N183" i="9"/>
  <c r="N179" i="9"/>
  <c r="N175" i="9"/>
  <c r="N171" i="9"/>
  <c r="N167" i="9"/>
  <c r="N163" i="9"/>
  <c r="N197" i="9"/>
  <c r="N193" i="9"/>
  <c r="N189" i="9"/>
  <c r="N181" i="9"/>
  <c r="N165" i="9"/>
  <c r="N203" i="9"/>
  <c r="N195" i="9"/>
  <c r="J127" i="9"/>
  <c r="N129" i="9"/>
  <c r="N128" i="9"/>
  <c r="N160" i="9"/>
  <c r="J270" i="9"/>
  <c r="F270" i="9" s="1"/>
  <c r="J257" i="9"/>
  <c r="J249" i="9"/>
  <c r="J237" i="9"/>
  <c r="J229" i="9"/>
  <c r="J217" i="9"/>
  <c r="J220" i="9"/>
  <c r="N254" i="9"/>
  <c r="N242" i="9"/>
  <c r="N222" i="9"/>
  <c r="N249" i="9"/>
  <c r="N229" i="9"/>
  <c r="J137" i="9"/>
  <c r="N123" i="9"/>
  <c r="J245" i="9"/>
  <c r="J221" i="9"/>
  <c r="J216" i="9"/>
  <c r="N258" i="9"/>
  <c r="J156" i="9"/>
  <c r="N115" i="9"/>
  <c r="J210" i="9"/>
  <c r="P118" i="9"/>
  <c r="N138" i="9"/>
  <c r="N127" i="9"/>
  <c r="N159" i="9"/>
  <c r="N147" i="9"/>
  <c r="N143" i="9"/>
  <c r="N214" i="9"/>
  <c r="J256" i="9"/>
  <c r="J252" i="9"/>
  <c r="J248" i="9"/>
  <c r="J244" i="9"/>
  <c r="J240" i="9"/>
  <c r="J236" i="9"/>
  <c r="J232" i="9"/>
  <c r="J228" i="9"/>
  <c r="J224" i="9"/>
  <c r="J259" i="9"/>
  <c r="J255" i="9"/>
  <c r="J247" i="9"/>
  <c r="J239" i="9"/>
  <c r="J235" i="9"/>
  <c r="J227" i="9"/>
  <c r="J223" i="9"/>
  <c r="J219" i="9"/>
  <c r="J215" i="9"/>
  <c r="J254" i="9"/>
  <c r="J250" i="9"/>
  <c r="J242" i="9"/>
  <c r="J238" i="9"/>
  <c r="J234" i="9"/>
  <c r="J230" i="9"/>
  <c r="F230" i="9" s="1"/>
  <c r="J222" i="9"/>
  <c r="J218" i="9"/>
  <c r="N261" i="9"/>
  <c r="N257" i="9"/>
  <c r="F257" i="9" s="1"/>
  <c r="N253" i="9"/>
  <c r="N245" i="9"/>
  <c r="F245" i="9" s="1"/>
  <c r="N237" i="9"/>
  <c r="N233" i="9"/>
  <c r="N225" i="9"/>
  <c r="N221" i="9"/>
  <c r="N217" i="9"/>
  <c r="N256" i="9"/>
  <c r="N252" i="9"/>
  <c r="N248" i="9"/>
  <c r="N244" i="9"/>
  <c r="N240" i="9"/>
  <c r="N236" i="9"/>
  <c r="N232" i="9"/>
  <c r="N228" i="9"/>
  <c r="N224" i="9"/>
  <c r="N216" i="9"/>
  <c r="N259" i="9"/>
  <c r="N255" i="9"/>
  <c r="N251" i="9"/>
  <c r="N247" i="9"/>
  <c r="N243" i="9"/>
  <c r="N239" i="9"/>
  <c r="N231" i="9"/>
  <c r="N227" i="9"/>
  <c r="N223" i="9"/>
  <c r="N219" i="9"/>
  <c r="N215" i="9"/>
  <c r="J179" i="9"/>
  <c r="J175" i="9"/>
  <c r="J197" i="9"/>
  <c r="J193" i="9"/>
  <c r="N185" i="9"/>
  <c r="N177" i="9"/>
  <c r="F177" i="9" s="1"/>
  <c r="N169" i="9"/>
  <c r="N199" i="9"/>
  <c r="N191" i="9"/>
  <c r="J133" i="9"/>
  <c r="J140" i="9"/>
  <c r="N122" i="9"/>
  <c r="N114" i="9"/>
  <c r="N269" i="9"/>
  <c r="J211" i="9"/>
  <c r="J212" i="9"/>
  <c r="J162" i="9"/>
  <c r="N210" i="9"/>
  <c r="N211" i="9"/>
  <c r="J132" i="9"/>
  <c r="J117" i="9"/>
  <c r="N154" i="9"/>
  <c r="N139" i="9"/>
  <c r="N124" i="9"/>
  <c r="N156" i="9"/>
  <c r="N140" i="9"/>
  <c r="J233" i="9"/>
  <c r="J225" i="9"/>
  <c r="N250" i="9"/>
  <c r="J184" i="9"/>
  <c r="J180" i="9"/>
  <c r="J168" i="9"/>
  <c r="F168" i="9" s="1"/>
  <c r="J164" i="9"/>
  <c r="F164" i="9" s="1"/>
  <c r="J198" i="9"/>
  <c r="J194" i="9"/>
  <c r="J190" i="9"/>
  <c r="F190" i="9" s="1"/>
  <c r="J178" i="9"/>
  <c r="J174" i="9"/>
  <c r="J208" i="9"/>
  <c r="J204" i="9"/>
  <c r="J192" i="9"/>
  <c r="N182" i="9"/>
  <c r="N178" i="9"/>
  <c r="N166" i="9"/>
  <c r="N208" i="9"/>
  <c r="N196" i="9"/>
  <c r="N192" i="9"/>
  <c r="N188" i="9"/>
  <c r="F188" i="9" s="1"/>
  <c r="N176" i="9"/>
  <c r="N172" i="9"/>
  <c r="N206" i="9"/>
  <c r="N202" i="9"/>
  <c r="N194" i="9"/>
  <c r="J124" i="9"/>
  <c r="J145" i="9"/>
  <c r="J118" i="9"/>
  <c r="J154" i="9"/>
  <c r="F154" i="9" s="1"/>
  <c r="J150" i="9"/>
  <c r="J146" i="9"/>
  <c r="F146" i="9" s="1"/>
  <c r="J142" i="9"/>
  <c r="J138" i="9"/>
  <c r="J135" i="9"/>
  <c r="F135" i="9" s="1"/>
  <c r="J131" i="9"/>
  <c r="J123" i="9"/>
  <c r="J119" i="9"/>
  <c r="J115" i="9"/>
  <c r="J159" i="9"/>
  <c r="F159" i="9" s="1"/>
  <c r="J151" i="9"/>
  <c r="J147" i="9"/>
  <c r="J143" i="9"/>
  <c r="N136" i="9"/>
  <c r="F136" i="9" s="1"/>
  <c r="N132" i="9"/>
  <c r="N158" i="9"/>
  <c r="N151" i="9"/>
  <c r="N121" i="9"/>
  <c r="N153" i="9"/>
  <c r="N137" i="9"/>
  <c r="N134" i="9"/>
  <c r="N118" i="9"/>
  <c r="N150" i="9"/>
  <c r="J262" i="9"/>
  <c r="J279" i="9"/>
  <c r="F279" i="9" s="1"/>
  <c r="J275" i="9"/>
  <c r="F275" i="9" s="1"/>
  <c r="J271" i="9"/>
  <c r="J267" i="9"/>
  <c r="J263" i="9"/>
  <c r="F263" i="9" s="1"/>
  <c r="N277" i="9"/>
  <c r="J284" i="9"/>
  <c r="J155" i="9"/>
  <c r="J111" i="9"/>
  <c r="N117" i="9"/>
  <c r="P174" i="9"/>
  <c r="P117" i="9"/>
  <c r="N162" i="9"/>
  <c r="J114" i="9"/>
  <c r="J126" i="9"/>
  <c r="J122" i="9"/>
  <c r="J153" i="9"/>
  <c r="J280" i="9"/>
  <c r="J276" i="9"/>
  <c r="J272" i="9"/>
  <c r="F272" i="9" s="1"/>
  <c r="J268" i="9"/>
  <c r="J264" i="9"/>
  <c r="J125" i="9"/>
  <c r="J158" i="9"/>
  <c r="N133" i="9"/>
  <c r="N149" i="9"/>
  <c r="N142" i="9"/>
  <c r="F186" i="5"/>
  <c r="F178" i="5"/>
  <c r="F150" i="5"/>
  <c r="F142" i="5"/>
  <c r="F138" i="5"/>
  <c r="F97" i="5"/>
  <c r="F39" i="5"/>
  <c r="F23" i="5"/>
  <c r="F190" i="5"/>
  <c r="F257" i="5"/>
  <c r="F253" i="5"/>
  <c r="F245" i="5"/>
  <c r="F179" i="5"/>
  <c r="F175" i="5"/>
  <c r="F163" i="5"/>
  <c r="F159" i="5"/>
  <c r="F155" i="5"/>
  <c r="F151" i="5"/>
  <c r="F28" i="5"/>
  <c r="F10" i="5"/>
  <c r="F251" i="5"/>
  <c r="F247" i="5"/>
  <c r="F193" i="5"/>
  <c r="F182" i="5"/>
  <c r="F51" i="5"/>
  <c r="N311" i="5"/>
  <c r="F252" i="5"/>
  <c r="F248" i="5"/>
  <c r="F194" i="5"/>
  <c r="F189" i="5"/>
  <c r="F185" i="5"/>
  <c r="F174" i="5"/>
  <c r="F158" i="5"/>
  <c r="F154" i="5"/>
  <c r="F146" i="5"/>
  <c r="F134" i="5"/>
  <c r="F130" i="5"/>
  <c r="F126" i="5"/>
  <c r="F122" i="5"/>
  <c r="F118" i="5"/>
  <c r="U63" i="5" s="1"/>
  <c r="F114" i="5"/>
  <c r="F109" i="5"/>
  <c r="F105" i="5"/>
  <c r="F101" i="5"/>
  <c r="F43" i="5"/>
  <c r="F35" i="5"/>
  <c r="F31" i="5"/>
  <c r="F19" i="5"/>
  <c r="F15" i="5"/>
  <c r="F11" i="5"/>
  <c r="F86" i="5"/>
  <c r="F82" i="5"/>
  <c r="F78" i="5"/>
  <c r="F70" i="5"/>
  <c r="F66" i="5"/>
  <c r="F58" i="5"/>
  <c r="F91" i="5"/>
  <c r="F87" i="5"/>
  <c r="F75" i="5"/>
  <c r="F71" i="5"/>
  <c r="F67" i="5"/>
  <c r="F63" i="5"/>
  <c r="N353" i="5"/>
  <c r="F191" i="5"/>
  <c r="F187" i="5"/>
  <c r="F139" i="5"/>
  <c r="F131" i="5"/>
  <c r="F127" i="5"/>
  <c r="F115" i="5"/>
  <c r="F106" i="5"/>
  <c r="F94" i="5"/>
  <c r="F40" i="5"/>
  <c r="F36" i="5"/>
  <c r="F32" i="5"/>
  <c r="F20" i="5"/>
  <c r="F12" i="5"/>
  <c r="F147" i="5"/>
  <c r="F143" i="5"/>
  <c r="F98" i="5"/>
  <c r="F24" i="5"/>
  <c r="F249" i="5"/>
  <c r="F135" i="5"/>
  <c r="F16" i="5"/>
  <c r="F183" i="5"/>
  <c r="U58" i="5" s="1"/>
  <c r="F123" i="5"/>
  <c r="F119" i="5"/>
  <c r="U40" i="5" s="1"/>
  <c r="F111" i="5"/>
  <c r="U41" i="5" s="1"/>
  <c r="F55" i="5"/>
  <c r="F90" i="5"/>
  <c r="F74" i="5"/>
  <c r="F62" i="5"/>
  <c r="F54" i="5"/>
  <c r="F46" i="5"/>
  <c r="N321" i="5"/>
  <c r="N313" i="5"/>
  <c r="F258" i="5"/>
  <c r="F254" i="5"/>
  <c r="F184" i="5"/>
  <c r="F176" i="5"/>
  <c r="F172" i="5"/>
  <c r="F160" i="5"/>
  <c r="F156" i="5"/>
  <c r="F152" i="5"/>
  <c r="F144" i="5"/>
  <c r="F136" i="5"/>
  <c r="F124" i="5"/>
  <c r="F120" i="5"/>
  <c r="F116" i="5"/>
  <c r="F112" i="5"/>
  <c r="F25" i="5"/>
  <c r="F17" i="5"/>
  <c r="F260" i="5"/>
  <c r="J349" i="5"/>
  <c r="F349" i="5" s="1"/>
  <c r="J318" i="5"/>
  <c r="J310" i="5"/>
  <c r="N310" i="5"/>
  <c r="N323" i="5"/>
  <c r="N315" i="5"/>
  <c r="N329" i="5"/>
  <c r="N289" i="5"/>
  <c r="J358" i="5"/>
  <c r="N380" i="5"/>
  <c r="N360" i="5"/>
  <c r="N336" i="5"/>
  <c r="N370" i="5"/>
  <c r="N328" i="5"/>
  <c r="N325" i="5"/>
  <c r="J265" i="5"/>
  <c r="J288" i="5"/>
  <c r="N302" i="5"/>
  <c r="N294" i="5"/>
  <c r="N270" i="5"/>
  <c r="N281" i="5"/>
  <c r="J359" i="5"/>
  <c r="N369" i="5"/>
  <c r="N349" i="5"/>
  <c r="N378" i="5"/>
  <c r="N334" i="5"/>
  <c r="N335" i="5"/>
  <c r="J323" i="5"/>
  <c r="F323" i="5" s="1"/>
  <c r="J324" i="5"/>
  <c r="J320" i="5"/>
  <c r="J329" i="5"/>
  <c r="J321" i="5"/>
  <c r="J330" i="5"/>
  <c r="Q15" i="20"/>
  <c r="J308" i="5"/>
  <c r="J304" i="5"/>
  <c r="J296" i="5"/>
  <c r="J292" i="5"/>
  <c r="J280" i="5"/>
  <c r="J276" i="5"/>
  <c r="J272" i="5"/>
  <c r="J268" i="5"/>
  <c r="J264" i="5"/>
  <c r="J287" i="5"/>
  <c r="N309" i="5"/>
  <c r="N305" i="5"/>
  <c r="N301" i="5"/>
  <c r="N285" i="5"/>
  <c r="N277" i="5"/>
  <c r="N273" i="5"/>
  <c r="N265" i="5"/>
  <c r="N299" i="5"/>
  <c r="N283" i="5"/>
  <c r="J360" i="5"/>
  <c r="J333" i="5"/>
  <c r="J378" i="5"/>
  <c r="J366" i="5"/>
  <c r="J362" i="5"/>
  <c r="J350" i="5"/>
  <c r="J346" i="5"/>
  <c r="J338" i="5"/>
  <c r="J334" i="5"/>
  <c r="F334" i="5" s="1"/>
  <c r="N371" i="5"/>
  <c r="N377" i="5"/>
  <c r="N373" i="5"/>
  <c r="N365" i="5"/>
  <c r="N361" i="5"/>
  <c r="N357" i="5"/>
  <c r="N345" i="5"/>
  <c r="N341" i="5"/>
  <c r="N333" i="5"/>
  <c r="J313" i="5"/>
  <c r="J327" i="5"/>
  <c r="N322" i="5"/>
  <c r="F318" i="5"/>
  <c r="J262" i="5"/>
  <c r="N262" i="5"/>
  <c r="J307" i="5"/>
  <c r="J303" i="5"/>
  <c r="J299" i="5"/>
  <c r="J295" i="5"/>
  <c r="J291" i="5"/>
  <c r="J283" i="5"/>
  <c r="F283" i="5" s="1"/>
  <c r="J279" i="5"/>
  <c r="J275" i="5"/>
  <c r="J271" i="5"/>
  <c r="J267" i="5"/>
  <c r="J263" i="5"/>
  <c r="J306" i="5"/>
  <c r="J298" i="5"/>
  <c r="J294" i="5"/>
  <c r="J290" i="5"/>
  <c r="J286" i="5"/>
  <c r="J282" i="5"/>
  <c r="J278" i="5"/>
  <c r="J274" i="5"/>
  <c r="J270" i="5"/>
  <c r="J309" i="5"/>
  <c r="F309" i="5" s="1"/>
  <c r="J305" i="5"/>
  <c r="J301" i="5"/>
  <c r="J297" i="5"/>
  <c r="N308" i="5"/>
  <c r="N304" i="5"/>
  <c r="N300" i="5"/>
  <c r="N296" i="5"/>
  <c r="N292" i="5"/>
  <c r="N288" i="5"/>
  <c r="N284" i="5"/>
  <c r="N280" i="5"/>
  <c r="N276" i="5"/>
  <c r="N272" i="5"/>
  <c r="F272" i="5" s="1"/>
  <c r="N268" i="5"/>
  <c r="N264" i="5"/>
  <c r="J381" i="5"/>
  <c r="J377" i="5"/>
  <c r="J373" i="5"/>
  <c r="J369" i="5"/>
  <c r="J365" i="5"/>
  <c r="J361" i="5"/>
  <c r="J357" i="5"/>
  <c r="N319" i="5"/>
  <c r="J302" i="5"/>
  <c r="J300" i="5"/>
  <c r="J284" i="5"/>
  <c r="P23" i="5"/>
  <c r="N267" i="5"/>
  <c r="N297" i="5"/>
  <c r="N293" i="5"/>
  <c r="N269" i="5"/>
  <c r="J374" i="5"/>
  <c r="J370" i="5"/>
  <c r="F370" i="5" s="1"/>
  <c r="J354" i="5"/>
  <c r="J342" i="5"/>
  <c r="J339" i="5"/>
  <c r="J380" i="5"/>
  <c r="J340" i="5"/>
  <c r="N381" i="5"/>
  <c r="N337" i="5"/>
  <c r="N355" i="5"/>
  <c r="N327" i="5"/>
  <c r="N320" i="5"/>
  <c r="N312" i="5"/>
  <c r="J328" i="5"/>
  <c r="F328" i="5" s="1"/>
  <c r="J317" i="5"/>
  <c r="N317" i="5"/>
  <c r="F330" i="5"/>
  <c r="J314" i="5"/>
  <c r="F314" i="5" s="1"/>
  <c r="J326" i="5"/>
  <c r="J322" i="5"/>
  <c r="J311" i="5"/>
  <c r="J293" i="5"/>
  <c r="J289" i="5"/>
  <c r="J285" i="5"/>
  <c r="J281" i="5"/>
  <c r="F281" i="5" s="1"/>
  <c r="J277" i="5"/>
  <c r="F277" i="5" s="1"/>
  <c r="U15" i="5" s="1"/>
  <c r="U24" i="5" s="1"/>
  <c r="J273" i="5"/>
  <c r="J269" i="5"/>
  <c r="N307" i="5"/>
  <c r="N303" i="5"/>
  <c r="N295" i="5"/>
  <c r="N291" i="5"/>
  <c r="N287" i="5"/>
  <c r="N279" i="5"/>
  <c r="N275" i="5"/>
  <c r="N271" i="5"/>
  <c r="N263" i="5"/>
  <c r="N306" i="5"/>
  <c r="N298" i="5"/>
  <c r="N290" i="5"/>
  <c r="N286" i="5"/>
  <c r="N282" i="5"/>
  <c r="N278" i="5"/>
  <c r="N274" i="5"/>
  <c r="J332" i="5"/>
  <c r="N332" i="5"/>
  <c r="J379" i="5"/>
  <c r="J375" i="5"/>
  <c r="J371" i="5"/>
  <c r="J367" i="5"/>
  <c r="J363" i="5"/>
  <c r="J355" i="5"/>
  <c r="J347" i="5"/>
  <c r="J343" i="5"/>
  <c r="J335" i="5"/>
  <c r="J376" i="5"/>
  <c r="J372" i="5"/>
  <c r="J368" i="5"/>
  <c r="J364" i="5"/>
  <c r="J356" i="5"/>
  <c r="J352" i="5"/>
  <c r="J348" i="5"/>
  <c r="J344" i="5"/>
  <c r="J336" i="5"/>
  <c r="J353" i="5"/>
  <c r="J345" i="5"/>
  <c r="J341" i="5"/>
  <c r="J337" i="5"/>
  <c r="N374" i="5"/>
  <c r="N366" i="5"/>
  <c r="N362" i="5"/>
  <c r="N358" i="5"/>
  <c r="F358" i="5" s="1"/>
  <c r="N354" i="5"/>
  <c r="N350" i="5"/>
  <c r="N346" i="5"/>
  <c r="N342" i="5"/>
  <c r="N338" i="5"/>
  <c r="N379" i="5"/>
  <c r="N375" i="5"/>
  <c r="N367" i="5"/>
  <c r="N363" i="5"/>
  <c r="N359" i="5"/>
  <c r="N351" i="5"/>
  <c r="F351" i="5" s="1"/>
  <c r="N347" i="5"/>
  <c r="N343" i="5"/>
  <c r="N339" i="5"/>
  <c r="N376" i="5"/>
  <c r="N372" i="5"/>
  <c r="N368" i="5"/>
  <c r="N364" i="5"/>
  <c r="N356" i="5"/>
  <c r="N352" i="5"/>
  <c r="N348" i="5"/>
  <c r="N344" i="5"/>
  <c r="N340" i="5"/>
  <c r="J325" i="5"/>
  <c r="J316" i="5"/>
  <c r="J312" i="5"/>
  <c r="N316" i="5"/>
  <c r="P16" i="5"/>
  <c r="P118" i="5"/>
  <c r="P117" i="5"/>
  <c r="P11" i="5"/>
  <c r="P21" i="5"/>
  <c r="P89" i="5" s="1"/>
  <c r="P17" i="5"/>
  <c r="P22" i="5"/>
  <c r="P12" i="5"/>
  <c r="J266" i="5"/>
  <c r="P13" i="5"/>
  <c r="P18" i="5"/>
  <c r="N266" i="5"/>
  <c r="J319" i="5"/>
  <c r="J315" i="5"/>
  <c r="F315" i="5" s="1"/>
  <c r="N324" i="5"/>
  <c r="C26" i="20" l="1"/>
  <c r="C35" i="20" s="1"/>
  <c r="C30" i="20"/>
  <c r="F340" i="5"/>
  <c r="U32" i="5"/>
  <c r="U54" i="5"/>
  <c r="F287" i="5"/>
  <c r="D24" i="13"/>
  <c r="D27" i="13" s="1"/>
  <c r="D36" i="13" s="1"/>
  <c r="U36" i="5"/>
  <c r="F338" i="5"/>
  <c r="F231" i="9"/>
  <c r="F249" i="9"/>
  <c r="F22" i="13"/>
  <c r="B24" i="13"/>
  <c r="B31" i="13" s="1"/>
  <c r="C29" i="20"/>
  <c r="C31" i="20" s="1"/>
  <c r="C13" i="20"/>
  <c r="C34" i="20" s="1"/>
  <c r="D26" i="20"/>
  <c r="D35" i="20" s="1"/>
  <c r="D30" i="20"/>
  <c r="F21" i="20"/>
  <c r="B23" i="20"/>
  <c r="D29" i="20"/>
  <c r="D13" i="20"/>
  <c r="D34" i="20" s="1"/>
  <c r="P69" i="9"/>
  <c r="P71" i="9" s="1"/>
  <c r="U97" i="9"/>
  <c r="B9" i="13"/>
  <c r="B11" i="13" s="1"/>
  <c r="B14" i="13" s="1"/>
  <c r="B35" i="13" s="1"/>
  <c r="B8" i="20"/>
  <c r="P91" i="9"/>
  <c r="P88" i="9"/>
  <c r="P90" i="9" s="1"/>
  <c r="Q30" i="13" s="1"/>
  <c r="U34" i="5"/>
  <c r="U64" i="5"/>
  <c r="U35" i="5"/>
  <c r="P88" i="5"/>
  <c r="P90" i="5" s="1"/>
  <c r="AA30" i="13" s="1"/>
  <c r="P91" i="5"/>
  <c r="T97" i="5"/>
  <c r="F111" i="9"/>
  <c r="F267" i="9"/>
  <c r="F262" i="9"/>
  <c r="F169" i="9"/>
  <c r="F261" i="9"/>
  <c r="F234" i="9"/>
  <c r="F149" i="9"/>
  <c r="F271" i="9"/>
  <c r="F207" i="9"/>
  <c r="X12" i="13"/>
  <c r="X13" i="13"/>
  <c r="X14" i="13"/>
  <c r="D31" i="13"/>
  <c r="N25" i="13"/>
  <c r="C24" i="13"/>
  <c r="O13" i="20"/>
  <c r="J12" i="20"/>
  <c r="F360" i="5"/>
  <c r="F180" i="9"/>
  <c r="F139" i="9"/>
  <c r="F269" i="9"/>
  <c r="F127" i="9"/>
  <c r="F144" i="9"/>
  <c r="F282" i="5"/>
  <c r="F174" i="9"/>
  <c r="F187" i="9"/>
  <c r="F273" i="9"/>
  <c r="T27" i="13"/>
  <c r="F307" i="5"/>
  <c r="F311" i="5"/>
  <c r="T26" i="13"/>
  <c r="F176" i="9"/>
  <c r="F266" i="9"/>
  <c r="F116" i="9"/>
  <c r="F130" i="9"/>
  <c r="F265" i="9"/>
  <c r="F282" i="9"/>
  <c r="J26" i="13"/>
  <c r="J27" i="13"/>
  <c r="P162" i="5"/>
  <c r="Y9" i="13"/>
  <c r="Q23" i="13"/>
  <c r="M9" i="13"/>
  <c r="F274" i="9"/>
  <c r="P177" i="9"/>
  <c r="P177" i="5"/>
  <c r="P178" i="5"/>
  <c r="P178" i="9"/>
  <c r="F23" i="13"/>
  <c r="F326" i="5"/>
  <c r="V82" i="3"/>
  <c r="P165" i="9" s="1"/>
  <c r="P162" i="9"/>
  <c r="E82" i="3"/>
  <c r="H82" i="3" s="1"/>
  <c r="P164" i="5" s="1"/>
  <c r="F278" i="9"/>
  <c r="D11" i="13"/>
  <c r="F10" i="13"/>
  <c r="H80" i="3"/>
  <c r="C11" i="13"/>
  <c r="F131" i="9"/>
  <c r="F166" i="9"/>
  <c r="F206" i="9"/>
  <c r="F183" i="9"/>
  <c r="F112" i="9"/>
  <c r="F155" i="9"/>
  <c r="F212" i="9"/>
  <c r="F199" i="9"/>
  <c r="F193" i="9"/>
  <c r="F214" i="9"/>
  <c r="F114" i="9"/>
  <c r="F268" i="9"/>
  <c r="F117" i="9"/>
  <c r="F202" i="9"/>
  <c r="F204" i="9"/>
  <c r="F209" i="9"/>
  <c r="F122" i="9"/>
  <c r="F145" i="9"/>
  <c r="F205" i="9"/>
  <c r="F152" i="9"/>
  <c r="F196" i="9"/>
  <c r="F198" i="9"/>
  <c r="F113" i="9"/>
  <c r="F141" i="9"/>
  <c r="F158" i="9"/>
  <c r="F115" i="9"/>
  <c r="F238" i="9"/>
  <c r="F125" i="9"/>
  <c r="F276" i="9"/>
  <c r="F277" i="9"/>
  <c r="F182" i="9"/>
  <c r="F184" i="9"/>
  <c r="F258" i="9"/>
  <c r="F201" i="9"/>
  <c r="F148" i="9"/>
  <c r="F203" i="9"/>
  <c r="F251" i="9"/>
  <c r="F247" i="9"/>
  <c r="F228" i="9"/>
  <c r="F244" i="9"/>
  <c r="F170" i="9"/>
  <c r="F142" i="9"/>
  <c r="F121" i="9"/>
  <c r="F225" i="9"/>
  <c r="F140" i="9"/>
  <c r="F237" i="9"/>
  <c r="F254" i="9"/>
  <c r="F227" i="9"/>
  <c r="F232" i="9"/>
  <c r="F248" i="9"/>
  <c r="F216" i="9"/>
  <c r="F220" i="9"/>
  <c r="F171" i="9"/>
  <c r="F181" i="9"/>
  <c r="F226" i="9"/>
  <c r="F264" i="9"/>
  <c r="F280" i="9"/>
  <c r="F134" i="9"/>
  <c r="F150" i="9"/>
  <c r="F208" i="9"/>
  <c r="F194" i="9"/>
  <c r="F243" i="9"/>
  <c r="F186" i="9"/>
  <c r="F246" i="9"/>
  <c r="F157" i="9"/>
  <c r="F250" i="9"/>
  <c r="F153" i="9"/>
  <c r="P14" i="9"/>
  <c r="F119" i="9"/>
  <c r="F172" i="9"/>
  <c r="F253" i="9"/>
  <c r="F210" i="9"/>
  <c r="F229" i="9"/>
  <c r="F160" i="9"/>
  <c r="F200" i="9"/>
  <c r="F126" i="9"/>
  <c r="F284" i="9"/>
  <c r="F197" i="9"/>
  <c r="F165" i="9"/>
  <c r="F175" i="9"/>
  <c r="F218" i="9"/>
  <c r="F235" i="9"/>
  <c r="F163" i="9"/>
  <c r="F195" i="9"/>
  <c r="F189" i="9"/>
  <c r="F260" i="9"/>
  <c r="F129" i="9"/>
  <c r="F217" i="9"/>
  <c r="F123" i="9"/>
  <c r="F191" i="9"/>
  <c r="F185" i="9"/>
  <c r="F179" i="9"/>
  <c r="F236" i="9"/>
  <c r="F222" i="9"/>
  <c r="F156" i="9"/>
  <c r="F167" i="9"/>
  <c r="F128" i="9"/>
  <c r="F241" i="9"/>
  <c r="F162" i="9"/>
  <c r="F143" i="9"/>
  <c r="F233" i="9"/>
  <c r="F255" i="9"/>
  <c r="F147" i="9"/>
  <c r="F138" i="9"/>
  <c r="F124" i="9"/>
  <c r="F211" i="9"/>
  <c r="F223" i="9"/>
  <c r="F221" i="9"/>
  <c r="F215" i="9"/>
  <c r="F259" i="9"/>
  <c r="F252" i="9"/>
  <c r="F118" i="9"/>
  <c r="F133" i="9"/>
  <c r="F132" i="9"/>
  <c r="F151" i="9"/>
  <c r="F192" i="9"/>
  <c r="F178" i="9"/>
  <c r="F242" i="9"/>
  <c r="F219" i="9"/>
  <c r="F239" i="9"/>
  <c r="F224" i="9"/>
  <c r="F240" i="9"/>
  <c r="F256" i="9"/>
  <c r="F137" i="9"/>
  <c r="P24" i="9"/>
  <c r="P41" i="9" s="1"/>
  <c r="P19" i="9"/>
  <c r="F359" i="5"/>
  <c r="F305" i="5"/>
  <c r="F378" i="5"/>
  <c r="F337" i="5"/>
  <c r="F291" i="5"/>
  <c r="U56" i="5" s="1"/>
  <c r="F381" i="5"/>
  <c r="F321" i="5"/>
  <c r="F293" i="5"/>
  <c r="U42" i="5" s="1"/>
  <c r="F294" i="5"/>
  <c r="F354" i="5"/>
  <c r="F371" i="5"/>
  <c r="F336" i="5"/>
  <c r="U61" i="5" s="1"/>
  <c r="F369" i="5"/>
  <c r="F353" i="5"/>
  <c r="F302" i="5"/>
  <c r="F325" i="5"/>
  <c r="F322" i="5"/>
  <c r="F320" i="5"/>
  <c r="F313" i="5"/>
  <c r="F329" i="5"/>
  <c r="F310" i="5"/>
  <c r="F312" i="5"/>
  <c r="F335" i="5"/>
  <c r="U27" i="5" s="1"/>
  <c r="F289" i="5"/>
  <c r="U26" i="5" s="1"/>
  <c r="F303" i="5"/>
  <c r="F373" i="5"/>
  <c r="F300" i="5"/>
  <c r="F342" i="5"/>
  <c r="F346" i="5"/>
  <c r="F269" i="5"/>
  <c r="U62" i="5" s="1"/>
  <c r="F285" i="5"/>
  <c r="U78" i="5" s="1"/>
  <c r="F357" i="5"/>
  <c r="F299" i="5"/>
  <c r="F265" i="5"/>
  <c r="U87" i="5" s="1"/>
  <c r="F380" i="5"/>
  <c r="F377" i="5"/>
  <c r="F288" i="5"/>
  <c r="U53" i="5" s="1"/>
  <c r="F304" i="5"/>
  <c r="F292" i="5"/>
  <c r="F324" i="5"/>
  <c r="F306" i="5"/>
  <c r="F267" i="5"/>
  <c r="U33" i="5" s="1"/>
  <c r="F276" i="5"/>
  <c r="F333" i="5"/>
  <c r="U59" i="5" s="1"/>
  <c r="F361" i="5"/>
  <c r="F365" i="5"/>
  <c r="F279" i="5"/>
  <c r="F316" i="5"/>
  <c r="F362" i="5"/>
  <c r="F341" i="5"/>
  <c r="F263" i="5"/>
  <c r="U38" i="5" s="1"/>
  <c r="F366" i="5"/>
  <c r="F345" i="5"/>
  <c r="F327" i="5"/>
  <c r="F296" i="5"/>
  <c r="U29" i="5" s="1"/>
  <c r="F270" i="5"/>
  <c r="F308" i="5"/>
  <c r="F350" i="5"/>
  <c r="U81" i="5" s="1"/>
  <c r="F271" i="5"/>
  <c r="U28" i="5" s="1"/>
  <c r="F273" i="5"/>
  <c r="F317" i="5"/>
  <c r="F264" i="5"/>
  <c r="F280" i="5"/>
  <c r="U52" i="5" s="1"/>
  <c r="F278" i="5"/>
  <c r="F298" i="5"/>
  <c r="F268" i="5"/>
  <c r="F301" i="5"/>
  <c r="F297" i="5"/>
  <c r="F262" i="5"/>
  <c r="F339" i="5"/>
  <c r="F355" i="5"/>
  <c r="F274" i="5"/>
  <c r="U79" i="5" s="1"/>
  <c r="F290" i="5"/>
  <c r="F286" i="5"/>
  <c r="U57" i="5" s="1"/>
  <c r="F319" i="5"/>
  <c r="F266" i="5"/>
  <c r="U55" i="5" s="1"/>
  <c r="F374" i="5"/>
  <c r="F344" i="5"/>
  <c r="F364" i="5"/>
  <c r="F379" i="5"/>
  <c r="F275" i="5"/>
  <c r="F295" i="5"/>
  <c r="U30" i="5" s="1"/>
  <c r="F284" i="5"/>
  <c r="F348" i="5"/>
  <c r="F368" i="5"/>
  <c r="F343" i="5"/>
  <c r="U80" i="5" s="1"/>
  <c r="F367" i="5"/>
  <c r="F363" i="5"/>
  <c r="F352" i="5"/>
  <c r="F372" i="5"/>
  <c r="F347" i="5"/>
  <c r="F332" i="5"/>
  <c r="F356" i="5"/>
  <c r="F376" i="5"/>
  <c r="F375" i="5"/>
  <c r="P24" i="5"/>
  <c r="P41" i="5" s="1"/>
  <c r="T18" i="13" s="1"/>
  <c r="P19" i="5"/>
  <c r="P14" i="5"/>
  <c r="C36" i="20" l="1"/>
  <c r="F24" i="13"/>
  <c r="F27" i="13" s="1"/>
  <c r="P173" i="5" s="1"/>
  <c r="U60" i="5"/>
  <c r="U76" i="5" s="1"/>
  <c r="U37" i="5"/>
  <c r="B27" i="13"/>
  <c r="B36" i="13" s="1"/>
  <c r="D31" i="20"/>
  <c r="D36" i="20"/>
  <c r="U31" i="5"/>
  <c r="U43" i="5"/>
  <c r="P69" i="5"/>
  <c r="P71" i="5" s="1"/>
  <c r="U85" i="5"/>
  <c r="U44" i="5"/>
  <c r="F9" i="13"/>
  <c r="B30" i="13"/>
  <c r="B32" i="13" s="1"/>
  <c r="P74" i="5"/>
  <c r="P76" i="5" s="1"/>
  <c r="U96" i="5"/>
  <c r="B37" i="13"/>
  <c r="C31" i="13"/>
  <c r="F31" i="13" s="1"/>
  <c r="B26" i="20"/>
  <c r="B35" i="20" s="1"/>
  <c r="F35" i="20" s="1"/>
  <c r="F23" i="20"/>
  <c r="F26" i="20" s="1"/>
  <c r="B30" i="20"/>
  <c r="F30" i="20" s="1"/>
  <c r="F8" i="20"/>
  <c r="B10" i="20"/>
  <c r="P43" i="9"/>
  <c r="J20" i="13" s="1"/>
  <c r="J18" i="13"/>
  <c r="J25" i="20"/>
  <c r="P123" i="9"/>
  <c r="P43" i="5"/>
  <c r="T20" i="13" s="1"/>
  <c r="O25" i="20"/>
  <c r="P123" i="5"/>
  <c r="W17" i="13"/>
  <c r="W20" i="13" s="1"/>
  <c r="O16" i="20"/>
  <c r="O17" i="13"/>
  <c r="O20" i="13" s="1"/>
  <c r="J17" i="20"/>
  <c r="J21" i="20" s="1"/>
  <c r="O14" i="20"/>
  <c r="C27" i="13"/>
  <c r="C36" i="13" s="1"/>
  <c r="F36" i="13" s="1"/>
  <c r="AA9" i="13"/>
  <c r="AA13" i="13" s="1"/>
  <c r="Y13" i="13" s="1"/>
  <c r="J14" i="20"/>
  <c r="V10" i="13"/>
  <c r="Q10" i="20"/>
  <c r="Q9" i="13"/>
  <c r="N14" i="13"/>
  <c r="N13" i="13"/>
  <c r="N12" i="13"/>
  <c r="P165" i="5"/>
  <c r="P169" i="5" s="1"/>
  <c r="P176" i="5"/>
  <c r="P176" i="9"/>
  <c r="P164" i="9"/>
  <c r="J16" i="20" s="1"/>
  <c r="O84" i="3"/>
  <c r="D30" i="13"/>
  <c r="D32" i="13" s="1"/>
  <c r="D14" i="13"/>
  <c r="D35" i="13" s="1"/>
  <c r="D37" i="13" s="1"/>
  <c r="P169" i="9"/>
  <c r="P168" i="5"/>
  <c r="C14" i="13"/>
  <c r="C35" i="13" s="1"/>
  <c r="C30" i="13"/>
  <c r="F11" i="13"/>
  <c r="F14" i="13" s="1"/>
  <c r="P172" i="5" s="1"/>
  <c r="P189" i="9"/>
  <c r="P189" i="5"/>
  <c r="P65" i="5" l="1"/>
  <c r="P67" i="5" s="1"/>
  <c r="P61" i="5"/>
  <c r="P63" i="5" s="1"/>
  <c r="U50" i="5"/>
  <c r="U97" i="5" s="1"/>
  <c r="J18" i="20"/>
  <c r="J22" i="20" s="1"/>
  <c r="L6" i="20" s="1"/>
  <c r="L11" i="20" s="1"/>
  <c r="J20" i="20"/>
  <c r="F10" i="20"/>
  <c r="F13" i="20" s="1"/>
  <c r="B13" i="20"/>
  <c r="B34" i="20" s="1"/>
  <c r="B29" i="20"/>
  <c r="Y17" i="13"/>
  <c r="Y20" i="13" s="1"/>
  <c r="O17" i="20"/>
  <c r="O21" i="20" s="1"/>
  <c r="O20" i="20"/>
  <c r="O24" i="20"/>
  <c r="AA27" i="13"/>
  <c r="Q26" i="20"/>
  <c r="AA12" i="13"/>
  <c r="Y12" i="13" s="1"/>
  <c r="AA14" i="13"/>
  <c r="Y14" i="13" s="1"/>
  <c r="V9" i="13"/>
  <c r="Q9" i="20"/>
  <c r="Q11" i="20" s="1"/>
  <c r="Q27" i="13"/>
  <c r="L26" i="20"/>
  <c r="J24" i="20"/>
  <c r="J28" i="13"/>
  <c r="T28" i="13"/>
  <c r="P166" i="5"/>
  <c r="P166" i="9"/>
  <c r="P186" i="9" s="1"/>
  <c r="M17" i="13"/>
  <c r="Q13" i="13"/>
  <c r="O13" i="13" s="1"/>
  <c r="Q14" i="13"/>
  <c r="O14" i="13" s="1"/>
  <c r="Q12" i="13"/>
  <c r="O12" i="13" s="1"/>
  <c r="P170" i="5"/>
  <c r="P168" i="9"/>
  <c r="P170" i="9" s="1"/>
  <c r="F30" i="13"/>
  <c r="C32" i="13"/>
  <c r="F32" i="13" s="1"/>
  <c r="P174" i="5"/>
  <c r="C37" i="13"/>
  <c r="F37" i="13" s="1"/>
  <c r="F35" i="13"/>
  <c r="O26" i="20"/>
  <c r="O18" i="20" l="1"/>
  <c r="O22" i="20" s="1"/>
  <c r="F34" i="20"/>
  <c r="B36" i="20"/>
  <c r="F36" i="20" s="1"/>
  <c r="B31" i="20"/>
  <c r="F31" i="20" s="1"/>
  <c r="F29" i="20"/>
  <c r="AA17" i="13"/>
  <c r="AA20" i="13" s="1"/>
  <c r="Q6" i="20"/>
  <c r="Q24" i="13"/>
  <c r="L20" i="13" s="1"/>
  <c r="L23" i="20"/>
  <c r="J30" i="20" s="1"/>
  <c r="J26" i="20"/>
  <c r="T29" i="13"/>
  <c r="J29" i="13"/>
  <c r="P186" i="5"/>
  <c r="Q17" i="13"/>
  <c r="Q20" i="13" s="1"/>
  <c r="M20" i="13"/>
  <c r="P188" i="9"/>
  <c r="AA24" i="13" l="1"/>
  <c r="V20" i="13" s="1"/>
  <c r="Q23" i="20"/>
  <c r="O30" i="20" s="1"/>
  <c r="Q26" i="13"/>
  <c r="L25" i="20"/>
  <c r="V8" i="13"/>
  <c r="V11" i="13" s="1"/>
  <c r="X25" i="13" s="1"/>
  <c r="X28" i="13" s="1"/>
  <c r="X30" i="13" s="1"/>
  <c r="L8" i="13"/>
  <c r="P188" i="5"/>
  <c r="P190" i="9"/>
  <c r="AA26" i="13" l="1"/>
  <c r="Q25" i="20"/>
  <c r="Q28" i="13"/>
  <c r="L27" i="20"/>
  <c r="J28" i="20" s="1"/>
  <c r="J31" i="20" s="1"/>
  <c r="L32" i="20" s="1"/>
  <c r="L11" i="13"/>
  <c r="N26" i="13"/>
  <c r="N28" i="13" s="1"/>
  <c r="N30" i="13" s="1"/>
  <c r="P190" i="5"/>
  <c r="P191" i="9"/>
  <c r="L18" i="13" l="1"/>
  <c r="L21" i="13" s="1"/>
  <c r="L16" i="13" s="1"/>
  <c r="AA28" i="13"/>
  <c r="V19" i="13" s="1"/>
  <c r="V21" i="13" s="1"/>
  <c r="V16" i="13" s="1"/>
  <c r="Q27" i="20"/>
  <c r="O29" i="20" s="1"/>
  <c r="O31" i="20" s="1"/>
  <c r="Q32" i="20" s="1"/>
  <c r="L28" i="20"/>
  <c r="P191" i="5"/>
  <c r="Q28" i="20" s="1"/>
  <c r="Q29" i="13"/>
  <c r="AA29" i="13" l="1"/>
</calcChain>
</file>

<file path=xl/sharedStrings.xml><?xml version="1.0" encoding="utf-8"?>
<sst xmlns="http://schemas.openxmlformats.org/spreadsheetml/2006/main" count="3316" uniqueCount="943">
  <si>
    <t>BUILD UP // 00 SEP 2021 // SHIFT : 00 // 00:00-00:00HRS</t>
  </si>
  <si>
    <t>Checked by Supervisor</t>
  </si>
  <si>
    <t>Name</t>
  </si>
  <si>
    <t>Staff ID</t>
  </si>
  <si>
    <t>Signature</t>
  </si>
  <si>
    <t>Allocation</t>
  </si>
  <si>
    <t>Staff Performance</t>
  </si>
  <si>
    <t>Shift &amp; Staff Details</t>
  </si>
  <si>
    <t>Total ULD</t>
  </si>
  <si>
    <t>Built</t>
  </si>
  <si>
    <t>Thru</t>
  </si>
  <si>
    <t>No</t>
  </si>
  <si>
    <t>Flight</t>
  </si>
  <si>
    <t>ETD</t>
  </si>
  <si>
    <t>DST</t>
  </si>
  <si>
    <t>Staff</t>
  </si>
  <si>
    <t>PMC/AMF</t>
  </si>
  <si>
    <t>ALF/PLA</t>
  </si>
  <si>
    <t>AKE/AKL</t>
  </si>
  <si>
    <t>Total</t>
  </si>
  <si>
    <t>Analysis</t>
  </si>
  <si>
    <t>Sr.No</t>
  </si>
  <si>
    <t>Total Staffs</t>
  </si>
  <si>
    <t>Staff No</t>
  </si>
  <si>
    <t>Flight Count</t>
  </si>
  <si>
    <t>ULD Count</t>
  </si>
  <si>
    <t>Deployment</t>
  </si>
  <si>
    <t>Contact</t>
  </si>
  <si>
    <t>Duty Hours</t>
  </si>
  <si>
    <t>Actual Hours</t>
  </si>
  <si>
    <t>Built ULD Details</t>
  </si>
  <si>
    <t>Positionals</t>
  </si>
  <si>
    <t>Total PMC</t>
  </si>
  <si>
    <t>Chaser</t>
  </si>
  <si>
    <t>Total ALF</t>
  </si>
  <si>
    <t>RXS</t>
  </si>
  <si>
    <t>Total AKE</t>
  </si>
  <si>
    <t>CTO</t>
  </si>
  <si>
    <t>Screening</t>
  </si>
  <si>
    <t>Thru ULD Details</t>
  </si>
  <si>
    <t>Screening Support</t>
  </si>
  <si>
    <t>DG Support</t>
  </si>
  <si>
    <t>Floor Support</t>
  </si>
  <si>
    <t>Total ULD Details</t>
  </si>
  <si>
    <t>Chaser Support</t>
  </si>
  <si>
    <t>Cross Utilized</t>
  </si>
  <si>
    <t>RXS Support</t>
  </si>
  <si>
    <t>CTO Support</t>
  </si>
  <si>
    <t>Head Count</t>
  </si>
  <si>
    <t>EK On Floor &amp; Support Team</t>
  </si>
  <si>
    <t>Pos &amp; Supp</t>
  </si>
  <si>
    <t>Shift</t>
  </si>
  <si>
    <t>TG</t>
  </si>
  <si>
    <t>DL</t>
  </si>
  <si>
    <t>OT</t>
  </si>
  <si>
    <t>DP</t>
  </si>
  <si>
    <t>Supervsiors</t>
  </si>
  <si>
    <t>0566558712</t>
  </si>
  <si>
    <t>0562165753</t>
  </si>
  <si>
    <t>0562165751</t>
  </si>
  <si>
    <t>Shift Efficiency</t>
  </si>
  <si>
    <t>Total Hours</t>
  </si>
  <si>
    <t>Efficiency</t>
  </si>
  <si>
    <t xml:space="preserve">AOG Shipments </t>
  </si>
  <si>
    <t>Planned</t>
  </si>
  <si>
    <t xml:space="preserve">Processed </t>
  </si>
  <si>
    <t>Pending</t>
  </si>
  <si>
    <t>Flight Details current shift</t>
  </si>
  <si>
    <t>A/F</t>
  </si>
  <si>
    <t>E/M</t>
  </si>
  <si>
    <t>L/M</t>
  </si>
  <si>
    <t>TG  On Floor &amp; Support Team</t>
  </si>
  <si>
    <t>RFS</t>
  </si>
  <si>
    <t>Flight Details Next shift</t>
  </si>
  <si>
    <t>EK Efficiency</t>
  </si>
  <si>
    <t>TG Efficiency</t>
  </si>
  <si>
    <t>DL Efficiency</t>
  </si>
  <si>
    <t>DP World Efficiency</t>
  </si>
  <si>
    <t>DL On Floor &amp; Support Team</t>
  </si>
  <si>
    <t>Plastic Usage</t>
  </si>
  <si>
    <t>New Plastic</t>
  </si>
  <si>
    <t>Count</t>
  </si>
  <si>
    <t>E/F Module</t>
  </si>
  <si>
    <t>G/H Module</t>
  </si>
  <si>
    <t>I Module</t>
  </si>
  <si>
    <t>IND/PAK</t>
  </si>
  <si>
    <t>EKP/GDP</t>
  </si>
  <si>
    <t>ACP/DLV</t>
  </si>
  <si>
    <t>DP World On Floor &amp; Support Team</t>
  </si>
  <si>
    <t>Total New Plastic</t>
  </si>
  <si>
    <t>Recycled Plastic</t>
  </si>
  <si>
    <t>Total Plastic</t>
  </si>
  <si>
    <t>Recycled %</t>
  </si>
  <si>
    <t>New %</t>
  </si>
  <si>
    <t>Planned Resources</t>
  </si>
  <si>
    <t xml:space="preserve">Staff </t>
  </si>
  <si>
    <t>Grand Total</t>
  </si>
  <si>
    <t>Hours</t>
  </si>
  <si>
    <t xml:space="preserve">Operator </t>
  </si>
  <si>
    <t xml:space="preserve">Driver </t>
  </si>
  <si>
    <t xml:space="preserve">Porter </t>
  </si>
  <si>
    <t>Warehouse</t>
  </si>
  <si>
    <t>US Additional</t>
  </si>
  <si>
    <t>Early Morning First Wave</t>
  </si>
  <si>
    <t>CTO TLV</t>
  </si>
  <si>
    <t>Lashing</t>
  </si>
  <si>
    <t>EXP Ramp</t>
  </si>
  <si>
    <t>PCE &amp; Check sheet</t>
  </si>
  <si>
    <t>Total Count</t>
  </si>
  <si>
    <t>Actual Resources</t>
  </si>
  <si>
    <t>BOM Additional</t>
  </si>
  <si>
    <t xml:space="preserve">CIC/CFC Additional </t>
  </si>
  <si>
    <t>PCE</t>
  </si>
  <si>
    <t>Check Sheet</t>
  </si>
  <si>
    <t>DG Handling</t>
  </si>
  <si>
    <t>Supervisor Count</t>
  </si>
  <si>
    <t>Shipments Booked</t>
  </si>
  <si>
    <t>Pre team handled</t>
  </si>
  <si>
    <t>Shipments Handled</t>
  </si>
  <si>
    <t>Handover</t>
  </si>
  <si>
    <t>Advance Planned</t>
  </si>
  <si>
    <t>1st Wave</t>
  </si>
  <si>
    <t>Early Morning Second Wave</t>
  </si>
  <si>
    <t>2nd Wave</t>
  </si>
  <si>
    <t>Advance Built</t>
  </si>
  <si>
    <t>Advance Pending</t>
  </si>
  <si>
    <t>E/M Pending</t>
  </si>
  <si>
    <t>Pending till 03:00</t>
  </si>
  <si>
    <t>Pending (03:00-06:00)</t>
  </si>
  <si>
    <t>Cabin Load</t>
  </si>
  <si>
    <t>Balance</t>
  </si>
  <si>
    <t>Screening Load</t>
  </si>
  <si>
    <t>Planned Pieces</t>
  </si>
  <si>
    <t>Built Pieces</t>
  </si>
  <si>
    <t xml:space="preserve">Sanity </t>
  </si>
  <si>
    <t>AFT Pending</t>
  </si>
  <si>
    <t>E/M Built</t>
  </si>
  <si>
    <t>Advance</t>
  </si>
  <si>
    <t>Super Advance</t>
  </si>
  <si>
    <t>Report Total</t>
  </si>
  <si>
    <t>Var/Adnl</t>
  </si>
  <si>
    <t>Var/Adnl %</t>
  </si>
  <si>
    <t>Advance First Wave</t>
  </si>
  <si>
    <t>Advance Second Wave</t>
  </si>
  <si>
    <t>ULD Analysis</t>
  </si>
  <si>
    <t xml:space="preserve">Positionals </t>
  </si>
  <si>
    <t>Photo Support</t>
  </si>
  <si>
    <t>TG On Floor &amp; Support Team</t>
  </si>
  <si>
    <t>DL  On Floor &amp; Support Team</t>
  </si>
  <si>
    <t>DP World  On Floor &amp; Support Team</t>
  </si>
  <si>
    <t xml:space="preserve">Late Morning </t>
  </si>
  <si>
    <t>PCE &amp; Check Sheet</t>
  </si>
  <si>
    <t>A/F Pending</t>
  </si>
  <si>
    <t>Pending till 16:00</t>
  </si>
  <si>
    <t>Pending (16:00-23:59)</t>
  </si>
  <si>
    <t>L/M Pending</t>
  </si>
  <si>
    <t>First Wave Flights</t>
  </si>
  <si>
    <t>ROUTING</t>
  </si>
  <si>
    <t>STAFF</t>
  </si>
  <si>
    <t>THRU PMC/AMF</t>
  </si>
  <si>
    <t>THRU ALF/PLA</t>
  </si>
  <si>
    <t>THRU AKE/AKL</t>
  </si>
  <si>
    <t>Built PMC/AMF</t>
  </si>
  <si>
    <t>Built ALF/PLA</t>
  </si>
  <si>
    <t>Built AKE/AKL</t>
  </si>
  <si>
    <t>ULD BUILT</t>
  </si>
  <si>
    <t>ULD PENDING</t>
  </si>
  <si>
    <t>REMARKS</t>
  </si>
  <si>
    <t>Second Wave Flights</t>
  </si>
  <si>
    <t xml:space="preserve">ADVANCE UNITS </t>
  </si>
  <si>
    <t xml:space="preserve">BONUS UNITS </t>
  </si>
  <si>
    <t>FLTS</t>
  </si>
  <si>
    <t>THRU  ULDS</t>
  </si>
  <si>
    <t>BUILT ULDS</t>
  </si>
  <si>
    <t>TOT</t>
  </si>
  <si>
    <t>PENDING UNITS</t>
  </si>
  <si>
    <t>PMC</t>
  </si>
  <si>
    <t>ALF</t>
  </si>
  <si>
    <t>AKE</t>
  </si>
  <si>
    <t>TTL FLTS</t>
  </si>
  <si>
    <t>TTL STAFF</t>
  </si>
  <si>
    <t>ADVANCE UNITS</t>
  </si>
  <si>
    <t>ADVANCE PENDING UNITS</t>
  </si>
  <si>
    <t>BONUS UNITS</t>
  </si>
  <si>
    <t>BONUS PENDING UNITS</t>
  </si>
  <si>
    <t>ULD Details</t>
  </si>
  <si>
    <t>Units-Built</t>
  </si>
  <si>
    <t>Thru Units</t>
  </si>
  <si>
    <t xml:space="preserve">TOTAL BUILT  UNITS (ADVANCE + BONUS) </t>
  </si>
  <si>
    <t xml:space="preserve">TOTAL PENDING UNITS (ADVANCE + BONUS) </t>
  </si>
  <si>
    <t>Advance planned v/s Built</t>
  </si>
  <si>
    <t>1300-1600</t>
  </si>
  <si>
    <t>Date</t>
  </si>
  <si>
    <t>Day</t>
  </si>
  <si>
    <t>Wednesday</t>
  </si>
  <si>
    <t>Thursday</t>
  </si>
  <si>
    <t xml:space="preserve">Planned </t>
  </si>
  <si>
    <t>Details</t>
  </si>
  <si>
    <t>PMC-AMF</t>
  </si>
  <si>
    <t>ALF-PLA</t>
  </si>
  <si>
    <t>AKE-RKE</t>
  </si>
  <si>
    <t>SCLR Pcs</t>
  </si>
  <si>
    <t>Duty</t>
  </si>
  <si>
    <t>21:00-09:00</t>
  </si>
  <si>
    <t>09:00-21:00</t>
  </si>
  <si>
    <t>Sunday</t>
  </si>
  <si>
    <t>Day Shift handover</t>
  </si>
  <si>
    <t>Night Shift handover</t>
  </si>
  <si>
    <t>Monday</t>
  </si>
  <si>
    <t>Advance built</t>
  </si>
  <si>
    <t>Flights</t>
  </si>
  <si>
    <t>Handover Details</t>
  </si>
  <si>
    <t>Tuesday</t>
  </si>
  <si>
    <t>Pending Advance</t>
  </si>
  <si>
    <t>First Wave (06:00-09:00)</t>
  </si>
  <si>
    <t>Second Wave (09:01-12:59)</t>
  </si>
  <si>
    <t>First Wave (13:00-16:00)</t>
  </si>
  <si>
    <t>Second Wave (16:01-23:59)</t>
  </si>
  <si>
    <t>Pending ULDs till 03:00</t>
  </si>
  <si>
    <t>Pending ULDs till 16:00</t>
  </si>
  <si>
    <t>Pending ULDs from 03:00-06:00</t>
  </si>
  <si>
    <t>Advance Range &amp; Target</t>
  </si>
  <si>
    <t>Pending ULDs from 16:00-23:59</t>
  </si>
  <si>
    <t>Friday</t>
  </si>
  <si>
    <t>TOTAL</t>
  </si>
  <si>
    <t>TRK</t>
  </si>
  <si>
    <t>Pending Total</t>
  </si>
  <si>
    <t>First Wave Planned</t>
  </si>
  <si>
    <t>First Wave</t>
  </si>
  <si>
    <t>Second</t>
  </si>
  <si>
    <t>Total Planned</t>
  </si>
  <si>
    <t>Saturday</t>
  </si>
  <si>
    <t>Less than 150</t>
  </si>
  <si>
    <t>less than 350 or upto 400</t>
  </si>
  <si>
    <t>Man Power</t>
  </si>
  <si>
    <t>Efficiency Target</t>
  </si>
  <si>
    <t>150 to 200</t>
  </si>
  <si>
    <t>400 to 450</t>
  </si>
  <si>
    <t xml:space="preserve">To action </t>
  </si>
  <si>
    <t>Staffs (POS+Floor +OS Staffs)</t>
  </si>
  <si>
    <t>Average Efficiency</t>
  </si>
  <si>
    <t>200 to 250</t>
  </si>
  <si>
    <t>450 to 500 or greater</t>
  </si>
  <si>
    <t>1601-2359</t>
  </si>
  <si>
    <t>Overtime</t>
  </si>
  <si>
    <t>Per Staff Efficiency</t>
  </si>
  <si>
    <t>Staffs Required</t>
  </si>
  <si>
    <t>Second Wave</t>
  </si>
  <si>
    <t>Adv Target (210 to 250)</t>
  </si>
  <si>
    <t>Adv Target (190 to 230)</t>
  </si>
  <si>
    <t>AFT Built</t>
  </si>
  <si>
    <t>L/M Built</t>
  </si>
  <si>
    <t>Supervisor</t>
  </si>
  <si>
    <t>Sanity</t>
  </si>
  <si>
    <t>Planned Pcs</t>
  </si>
  <si>
    <t>Built Pcs</t>
  </si>
  <si>
    <t>Night Shift Work Load</t>
  </si>
  <si>
    <t>Day Shift Work Load</t>
  </si>
  <si>
    <t>Pending Pcs</t>
  </si>
  <si>
    <t>Pending ULDs</t>
  </si>
  <si>
    <t>Peak Load Analysis</t>
  </si>
  <si>
    <t>Afternoon</t>
  </si>
  <si>
    <t xml:space="preserve">Early Morning </t>
  </si>
  <si>
    <t xml:space="preserve">E/M Average </t>
  </si>
  <si>
    <t>Advance Target</t>
  </si>
  <si>
    <t>Late Morning</t>
  </si>
  <si>
    <t>Total Advance</t>
  </si>
  <si>
    <t>Staff requirement</t>
  </si>
  <si>
    <t xml:space="preserve">Reused Plastic </t>
  </si>
  <si>
    <t>Next Shift Planning</t>
  </si>
  <si>
    <t>Next Day Shift</t>
  </si>
  <si>
    <t>Next Night Shift</t>
  </si>
  <si>
    <t>Total Pending</t>
  </si>
  <si>
    <t>Average A/F</t>
  </si>
  <si>
    <t>Average E/M</t>
  </si>
  <si>
    <t>Average L/M</t>
  </si>
  <si>
    <t>Average Advance</t>
  </si>
  <si>
    <t xml:space="preserve">Total Advance </t>
  </si>
  <si>
    <t>Built ULDs</t>
  </si>
  <si>
    <t>Staffs</t>
  </si>
  <si>
    <t xml:space="preserve">Second </t>
  </si>
  <si>
    <t xml:space="preserve">Positonal </t>
  </si>
  <si>
    <t>Floor</t>
  </si>
  <si>
    <t>Advance Target                               (210 to 250)</t>
  </si>
  <si>
    <t>Advance Target                           (190 to 230)</t>
  </si>
  <si>
    <t>Fri</t>
  </si>
  <si>
    <t>Values</t>
  </si>
  <si>
    <t>Duty Hrs</t>
  </si>
  <si>
    <t>Average of Peak A/F</t>
  </si>
  <si>
    <t>Average of Early Morning Total</t>
  </si>
  <si>
    <t>Average of Total Advance</t>
  </si>
  <si>
    <t>DX</t>
  </si>
  <si>
    <t>Day2</t>
  </si>
  <si>
    <t>Sun</t>
  </si>
  <si>
    <t>Row Labels</t>
  </si>
  <si>
    <t>Average of Peak E/M</t>
  </si>
  <si>
    <t>Average of Late Morning</t>
  </si>
  <si>
    <t>Average of Total Advance2</t>
  </si>
  <si>
    <t>NI</t>
  </si>
  <si>
    <t>Peak A/F</t>
  </si>
  <si>
    <t>Early Morning Total</t>
  </si>
  <si>
    <t>Total DX BUP</t>
  </si>
  <si>
    <t>Planned PMC</t>
  </si>
  <si>
    <t>Planned ALF</t>
  </si>
  <si>
    <t>Planned AKE</t>
  </si>
  <si>
    <t>Total Planned F/W</t>
  </si>
  <si>
    <t>Total Palnned S/W</t>
  </si>
  <si>
    <t>Build PMC</t>
  </si>
  <si>
    <t>Build ALF</t>
  </si>
  <si>
    <t>Build AKE</t>
  </si>
  <si>
    <t>Total Build</t>
  </si>
  <si>
    <t>Pending  PMC</t>
  </si>
  <si>
    <t>Pending ALF</t>
  </si>
  <si>
    <t>Pending AKE</t>
  </si>
  <si>
    <t>Peak E/M</t>
  </si>
  <si>
    <t>Total  NI BUP</t>
  </si>
  <si>
    <t>Mon</t>
  </si>
  <si>
    <t>Tue</t>
  </si>
  <si>
    <t>Wed</t>
  </si>
  <si>
    <t>Thu</t>
  </si>
  <si>
    <t>Sat</t>
  </si>
  <si>
    <t>SAT</t>
  </si>
  <si>
    <t>SUN</t>
  </si>
  <si>
    <t>MON</t>
  </si>
  <si>
    <t>TUE</t>
  </si>
  <si>
    <t>WED</t>
  </si>
  <si>
    <t>THU</t>
  </si>
  <si>
    <t>FRI</t>
  </si>
  <si>
    <t>Night</t>
  </si>
  <si>
    <t>Night Target</t>
  </si>
  <si>
    <t>Early Morning</t>
  </si>
  <si>
    <t>Average efficiency (1.68)</t>
  </si>
  <si>
    <t>Per staff efficiency</t>
  </si>
  <si>
    <t xml:space="preserve">Staffs Required (27) </t>
  </si>
  <si>
    <t>Average efficiency (1.45)</t>
  </si>
  <si>
    <t xml:space="preserve">Staffs Required (32) </t>
  </si>
  <si>
    <r>
      <rPr>
        <b/>
        <sz val="11"/>
        <color theme="9"/>
        <rFont val="Calibri"/>
        <family val="2"/>
      </rPr>
      <t>&gt;40</t>
    </r>
    <r>
      <rPr>
        <b/>
        <sz val="11"/>
        <color indexed="0"/>
        <rFont val="Calibri"/>
        <family val="2"/>
      </rPr>
      <t xml:space="preserve"> </t>
    </r>
    <r>
      <rPr>
        <b/>
        <sz val="11"/>
        <color theme="7"/>
        <rFont val="Calibri"/>
        <family val="2"/>
      </rPr>
      <t>40&lt;75</t>
    </r>
    <r>
      <rPr>
        <b/>
        <sz val="11"/>
        <color indexed="0"/>
        <rFont val="Calibri"/>
        <family val="2"/>
      </rPr>
      <t xml:space="preserve"> </t>
    </r>
    <r>
      <rPr>
        <b/>
        <sz val="11"/>
        <color rgb="FFFF0000"/>
        <rFont val="Calibri"/>
        <family val="2"/>
      </rPr>
      <t xml:space="preserve">75&lt; </t>
    </r>
  </si>
  <si>
    <r>
      <rPr>
        <b/>
        <sz val="11"/>
        <color theme="9"/>
        <rFont val="Calibri"/>
        <family val="2"/>
      </rPr>
      <t>&gt;100</t>
    </r>
    <r>
      <rPr>
        <b/>
        <sz val="11"/>
        <color indexed="0"/>
        <rFont val="Calibri"/>
        <family val="2"/>
      </rPr>
      <t xml:space="preserve"> </t>
    </r>
    <r>
      <rPr>
        <b/>
        <sz val="11"/>
        <color theme="7"/>
        <rFont val="Calibri"/>
        <family val="2"/>
      </rPr>
      <t>100&lt;125</t>
    </r>
    <r>
      <rPr>
        <b/>
        <sz val="11"/>
        <color indexed="0"/>
        <rFont val="Calibri"/>
        <family val="2"/>
      </rPr>
      <t xml:space="preserve"> </t>
    </r>
    <r>
      <rPr>
        <b/>
        <sz val="11"/>
        <color rgb="FFFF0000"/>
        <rFont val="Calibri"/>
        <family val="2"/>
      </rPr>
      <t xml:space="preserve">125&lt; </t>
    </r>
  </si>
  <si>
    <t>Day Target</t>
  </si>
  <si>
    <r>
      <rPr>
        <b/>
        <sz val="11"/>
        <color theme="9"/>
        <rFont val="Calibri"/>
        <family val="2"/>
      </rPr>
      <t>&gt;75</t>
    </r>
    <r>
      <rPr>
        <b/>
        <sz val="11"/>
        <color indexed="0"/>
        <rFont val="Calibri"/>
        <family val="2"/>
      </rPr>
      <t xml:space="preserve"> </t>
    </r>
    <r>
      <rPr>
        <b/>
        <sz val="11"/>
        <color theme="7"/>
        <rFont val="Calibri"/>
        <family val="2"/>
      </rPr>
      <t>75&lt;125</t>
    </r>
    <r>
      <rPr>
        <b/>
        <sz val="11"/>
        <color indexed="0"/>
        <rFont val="Calibri"/>
        <family val="2"/>
      </rPr>
      <t xml:space="preserve"> </t>
    </r>
    <r>
      <rPr>
        <b/>
        <sz val="11"/>
        <color rgb="FFFF0000"/>
        <rFont val="Calibri"/>
        <family val="2"/>
      </rPr>
      <t xml:space="preserve">125&lt; </t>
    </r>
  </si>
  <si>
    <r>
      <rPr>
        <b/>
        <sz val="11"/>
        <color theme="9"/>
        <rFont val="Calibri"/>
        <family val="2"/>
      </rPr>
      <t>&gt;150</t>
    </r>
    <r>
      <rPr>
        <b/>
        <sz val="11"/>
        <color indexed="0"/>
        <rFont val="Calibri"/>
        <family val="2"/>
      </rPr>
      <t xml:space="preserve"> </t>
    </r>
    <r>
      <rPr>
        <b/>
        <sz val="11"/>
        <color theme="7"/>
        <rFont val="Calibri"/>
        <family val="2"/>
      </rPr>
      <t>150&lt;250</t>
    </r>
    <r>
      <rPr>
        <b/>
        <sz val="11"/>
        <color indexed="0"/>
        <rFont val="Calibri"/>
        <family val="2"/>
      </rPr>
      <t xml:space="preserve"> </t>
    </r>
    <r>
      <rPr>
        <b/>
        <sz val="11"/>
        <color rgb="FFFF0000"/>
        <rFont val="Calibri"/>
        <family val="2"/>
      </rPr>
      <t xml:space="preserve">250&lt; </t>
    </r>
  </si>
  <si>
    <t xml:space="preserve">Advance Range and target </t>
  </si>
  <si>
    <t>Criteria</t>
  </si>
  <si>
    <t>Equals</t>
  </si>
  <si>
    <t>For resource planning purposes advance target is based on average advance built for 06 Months (Jan 23 to Jun 23) for day &amp; night shifts respectively. Efficiency target for day is 1.75 &amp; 1.55 for night per hour which is based on average efficiency met for 06 months (Jan 23 to Jun 23) for day (1.68) &amp; night (1.45) respectively.</t>
  </si>
  <si>
    <t>First wave planned x 60%</t>
  </si>
  <si>
    <t>Total Advance planned x 40%</t>
  </si>
  <si>
    <t xml:space="preserve">During a shift, advance targets are based on range of planned ULD figures, less than 150 ULDs planned for first wave flights would require the team to build 60% of the total first wave load, if ULDs planned in the range of 150 to 200 for first wave flights team would require to build 65% of the total first wave load &amp; if ULDs planned in the range of 200 to 250 for first wave flights team would require to build 70% of the total first wave load. (Please refer the table on your left for the advance range and target) </t>
  </si>
  <si>
    <t>First wave planned x 65%</t>
  </si>
  <si>
    <t>Total Advance planned x 45%</t>
  </si>
  <si>
    <t>Total planned advance when less than 350 or upto 400 ULDs, team will be required to build 40% of the total loads, if ULDs planned is in the range of 400 to 450 ULDs the team will be required to build 45% of the total load &amp; if ULDs planned is in the range of 450 to 500 ULDs or greater the team will be required to build 50% of the total loads. (Please refer the table on your left for the advance range and target)</t>
  </si>
  <si>
    <t>First wave planned x 70%</t>
  </si>
  <si>
    <t>Total Advance planned x 50%</t>
  </si>
  <si>
    <t>EMPLOYEE GROUP</t>
  </si>
  <si>
    <t>CONTRACT</t>
  </si>
  <si>
    <t>DESG.</t>
  </si>
  <si>
    <t>TIMEIN</t>
  </si>
  <si>
    <t>TIMEOUT</t>
  </si>
  <si>
    <t>TIMING</t>
  </si>
  <si>
    <t>Company</t>
  </si>
  <si>
    <t>BUILD UP</t>
  </si>
  <si>
    <t>LASHING</t>
  </si>
  <si>
    <t>LOADER</t>
  </si>
  <si>
    <t xml:space="preserve">CTO </t>
  </si>
  <si>
    <t>US ADDITIONAL SUPPORT</t>
  </si>
  <si>
    <t>PCE &amp; CHECKSHEET</t>
  </si>
  <si>
    <t>CHASER</t>
  </si>
  <si>
    <t>EXPORT RAMP</t>
  </si>
  <si>
    <t>IND/PAK SUPPORT</t>
  </si>
  <si>
    <t xml:space="preserve">CTO TLV </t>
  </si>
  <si>
    <t>CTO_WAREHOUSE</t>
  </si>
  <si>
    <t>FLO</t>
  </si>
  <si>
    <t>WAREHOUSE</t>
  </si>
  <si>
    <t>US</t>
  </si>
  <si>
    <t>AL</t>
  </si>
  <si>
    <t xml:space="preserve">EBL \KBL </t>
  </si>
  <si>
    <t xml:space="preserve">BUILD UP </t>
  </si>
  <si>
    <t>FS GATES</t>
  </si>
  <si>
    <t>DR</t>
  </si>
  <si>
    <t>EK</t>
  </si>
  <si>
    <t xml:space="preserve">TG </t>
  </si>
  <si>
    <t>NADEEM</t>
  </si>
  <si>
    <t>S379571</t>
  </si>
  <si>
    <t>BUILD UP // 25-NOV-2025 // SHIFT : 01 // 21:00-09:00HRS</t>
  </si>
  <si>
    <t>SALIN</t>
  </si>
  <si>
    <t>DAVID</t>
  </si>
  <si>
    <t>ALVIN</t>
  </si>
  <si>
    <t>JITHIN</t>
  </si>
  <si>
    <t>MANU</t>
  </si>
  <si>
    <t>ZAIN</t>
  </si>
  <si>
    <t>BHUWAN</t>
  </si>
  <si>
    <t>KHALIQ</t>
  </si>
  <si>
    <t>0566523685</t>
  </si>
  <si>
    <t>RANJIT</t>
  </si>
  <si>
    <t>0566523140</t>
  </si>
  <si>
    <t>JOSIAH</t>
  </si>
  <si>
    <t>BIR</t>
  </si>
  <si>
    <t>NABIN</t>
  </si>
  <si>
    <t>REJITH</t>
  </si>
  <si>
    <t>FARHAN</t>
  </si>
  <si>
    <t>SHIFT</t>
  </si>
  <si>
    <t>ANURAG</t>
  </si>
  <si>
    <t>BARSHAD</t>
  </si>
  <si>
    <t>KINTU</t>
  </si>
  <si>
    <t>HARSHAD</t>
  </si>
  <si>
    <t>SREE</t>
  </si>
  <si>
    <t>SILAS</t>
  </si>
  <si>
    <t>KIMANI</t>
  </si>
  <si>
    <t>JOHN</t>
  </si>
  <si>
    <t>BLESSING</t>
  </si>
  <si>
    <t>MYO</t>
  </si>
  <si>
    <t>JATIN</t>
  </si>
  <si>
    <t>SALMAN</t>
  </si>
  <si>
    <t>ABDUL</t>
  </si>
  <si>
    <t>SUMITH</t>
  </si>
  <si>
    <t>C14113</t>
  </si>
  <si>
    <t>DAWOOD</t>
  </si>
  <si>
    <t>ABHIJITH</t>
  </si>
  <si>
    <t>CHARLES</t>
  </si>
  <si>
    <t>BRIGHT</t>
  </si>
  <si>
    <t>GEORGE DL</t>
  </si>
  <si>
    <t>MARK</t>
  </si>
  <si>
    <t>C08984</t>
  </si>
  <si>
    <t>GIREESH</t>
  </si>
  <si>
    <t>ALEXEEV</t>
  </si>
  <si>
    <t>ANDREW</t>
  </si>
  <si>
    <t>BRYAN</t>
  </si>
  <si>
    <t>MARIO</t>
  </si>
  <si>
    <t>SAMUEL</t>
  </si>
  <si>
    <t>VISHWA</t>
  </si>
  <si>
    <t>WAHAB</t>
  </si>
  <si>
    <t>ZAHID</t>
  </si>
  <si>
    <t>ERIC</t>
  </si>
  <si>
    <t>MATRIKA</t>
  </si>
  <si>
    <t>FELIX</t>
  </si>
  <si>
    <t>HARLEY</t>
  </si>
  <si>
    <t>RAJU</t>
  </si>
  <si>
    <t>0801</t>
  </si>
  <si>
    <t>00:15</t>
  </si>
  <si>
    <t>JED</t>
  </si>
  <si>
    <t>0977</t>
  </si>
  <si>
    <t>01:15</t>
  </si>
  <si>
    <t>IKA</t>
  </si>
  <si>
    <t>LOADING OVER</t>
  </si>
  <si>
    <t>0853</t>
  </si>
  <si>
    <t>01:25</t>
  </si>
  <si>
    <t>KWI</t>
  </si>
  <si>
    <t>0815</t>
  </si>
  <si>
    <t>RUH</t>
  </si>
  <si>
    <t>0582</t>
  </si>
  <si>
    <t>01:55</t>
  </si>
  <si>
    <t>DAC</t>
  </si>
  <si>
    <t>0570</t>
  </si>
  <si>
    <t>02:00</t>
  </si>
  <si>
    <t>CCU</t>
  </si>
  <si>
    <t>0414</t>
  </si>
  <si>
    <t>SYD</t>
  </si>
  <si>
    <t>0440</t>
  </si>
  <si>
    <t>ADL</t>
  </si>
  <si>
    <t>0165</t>
  </si>
  <si>
    <t>02:10</t>
  </si>
  <si>
    <t>DUB</t>
  </si>
  <si>
    <t>0213</t>
  </si>
  <si>
    <t>02:15</t>
  </si>
  <si>
    <t>MIA-BOG</t>
  </si>
  <si>
    <t>0866</t>
  </si>
  <si>
    <t>MCT</t>
  </si>
  <si>
    <t>0823</t>
  </si>
  <si>
    <t>02:20</t>
  </si>
  <si>
    <t>DMM</t>
  </si>
  <si>
    <t>0231</t>
  </si>
  <si>
    <t>02:25</t>
  </si>
  <si>
    <t>IAD</t>
  </si>
  <si>
    <t>0701</t>
  </si>
  <si>
    <t>MRU</t>
  </si>
  <si>
    <t>0656</t>
  </si>
  <si>
    <t>02:30</t>
  </si>
  <si>
    <t>MLE</t>
  </si>
  <si>
    <t>0348</t>
  </si>
  <si>
    <t>SIN-KTI</t>
  </si>
  <si>
    <t>0203</t>
  </si>
  <si>
    <t>02:35</t>
  </si>
  <si>
    <t>JFK</t>
  </si>
  <si>
    <t>0650</t>
  </si>
  <si>
    <t>CMB</t>
  </si>
  <si>
    <t>0021</t>
  </si>
  <si>
    <t>02:40</t>
  </si>
  <si>
    <t>MAN</t>
  </si>
  <si>
    <t>0705</t>
  </si>
  <si>
    <t>SEZ</t>
  </si>
  <si>
    <t>0221</t>
  </si>
  <si>
    <t>DFW</t>
  </si>
  <si>
    <t>0243</t>
  </si>
  <si>
    <t>02:45</t>
  </si>
  <si>
    <t>YUL</t>
  </si>
  <si>
    <t>0530</t>
  </si>
  <si>
    <t>COK</t>
  </si>
  <si>
    <t>0420</t>
  </si>
  <si>
    <t>PER</t>
  </si>
  <si>
    <t>0338</t>
  </si>
  <si>
    <t>02:50</t>
  </si>
  <si>
    <t>CEB-CRK</t>
  </si>
  <si>
    <t>0544</t>
  </si>
  <si>
    <t>MAA</t>
  </si>
  <si>
    <t>0011</t>
  </si>
  <si>
    <t>LGW</t>
  </si>
  <si>
    <t>0430</t>
  </si>
  <si>
    <t>BNE</t>
  </si>
  <si>
    <t>0408</t>
  </si>
  <si>
    <t>02:55</t>
  </si>
  <si>
    <t>MEL</t>
  </si>
  <si>
    <t>0318</t>
  </si>
  <si>
    <t>NRT</t>
  </si>
  <si>
    <t>0378</t>
  </si>
  <si>
    <t>03:00</t>
  </si>
  <si>
    <t>HKT</t>
  </si>
  <si>
    <t>0316</t>
  </si>
  <si>
    <t>03:05</t>
  </si>
  <si>
    <t>KIX</t>
  </si>
  <si>
    <t>0219</t>
  </si>
  <si>
    <t>MCO</t>
  </si>
  <si>
    <t>0384</t>
  </si>
  <si>
    <t>BKK-HKG</t>
  </si>
  <si>
    <t>0007</t>
  </si>
  <si>
    <t>03:10</t>
  </si>
  <si>
    <t>LHR</t>
  </si>
  <si>
    <t>0302</t>
  </si>
  <si>
    <t>PVG</t>
  </si>
  <si>
    <t>0612</t>
  </si>
  <si>
    <t>ISB</t>
  </si>
  <si>
    <t>0145</t>
  </si>
  <si>
    <t>03:15</t>
  </si>
  <si>
    <t>AMS</t>
  </si>
  <si>
    <t>0354</t>
  </si>
  <si>
    <t>SIN</t>
  </si>
  <si>
    <t>0306</t>
  </si>
  <si>
    <t>03:20</t>
  </si>
  <si>
    <t>PEK</t>
  </si>
  <si>
    <t>0071</t>
  </si>
  <si>
    <t>CDG</t>
  </si>
  <si>
    <t>0043</t>
  </si>
  <si>
    <t>FRA</t>
  </si>
  <si>
    <t>0636</t>
  </si>
  <si>
    <t>PEW</t>
  </si>
  <si>
    <t>0368</t>
  </si>
  <si>
    <t>03:25</t>
  </si>
  <si>
    <t>DPS</t>
  </si>
  <si>
    <t>0129</t>
  </si>
  <si>
    <t>03:30</t>
  </si>
  <si>
    <t>DME</t>
  </si>
  <si>
    <t>0241</t>
  </si>
  <si>
    <t>YYZ</t>
  </si>
  <si>
    <t>0322</t>
  </si>
  <si>
    <t>ICN</t>
  </si>
  <si>
    <t>0526</t>
  </si>
  <si>
    <t>HYD</t>
  </si>
  <si>
    <t>0382</t>
  </si>
  <si>
    <t>HKG</t>
  </si>
  <si>
    <t>0332</t>
  </si>
  <si>
    <t>03:40</t>
  </si>
  <si>
    <t>MNL</t>
  </si>
  <si>
    <t>0366</t>
  </si>
  <si>
    <t>TPE</t>
  </si>
  <si>
    <t>0394</t>
  </si>
  <si>
    <t>HAN</t>
  </si>
  <si>
    <t>0564</t>
  </si>
  <si>
    <t>BLR</t>
  </si>
  <si>
    <t>0346</t>
  </si>
  <si>
    <t>KUL</t>
  </si>
  <si>
    <t>0255</t>
  </si>
  <si>
    <t>03:45</t>
  </si>
  <si>
    <t>BCN-MEX</t>
  </si>
  <si>
    <t>0376</t>
  </si>
  <si>
    <t>03:50</t>
  </si>
  <si>
    <t>BKK</t>
  </si>
  <si>
    <t>0772</t>
  </si>
  <si>
    <t>CPT</t>
  </si>
  <si>
    <t>0504</t>
  </si>
  <si>
    <t>03:55</t>
  </si>
  <si>
    <t>BOM</t>
  </si>
  <si>
    <t>0364</t>
  </si>
  <si>
    <t>04:00</t>
  </si>
  <si>
    <t>SGN</t>
  </si>
  <si>
    <t>0761</t>
  </si>
  <si>
    <t>04:10</t>
  </si>
  <si>
    <t>JNB</t>
  </si>
  <si>
    <t>0624</t>
  </si>
  <si>
    <t>LHE</t>
  </si>
  <si>
    <t>0310</t>
  </si>
  <si>
    <t>04:15</t>
  </si>
  <si>
    <t>HGH</t>
  </si>
  <si>
    <t>0510</t>
  </si>
  <si>
    <t>04:20</t>
  </si>
  <si>
    <t>DEL</t>
  </si>
  <si>
    <t>0658</t>
  </si>
  <si>
    <t>0101</t>
  </si>
  <si>
    <t>MXP</t>
  </si>
  <si>
    <t>0356</t>
  </si>
  <si>
    <t>04:25</t>
  </si>
  <si>
    <t>CGK</t>
  </si>
  <si>
    <t>0324</t>
  </si>
  <si>
    <t>04:45</t>
  </si>
  <si>
    <t>0819</t>
  </si>
  <si>
    <t>07:00</t>
  </si>
  <si>
    <t>0161</t>
  </si>
  <si>
    <t>07:05</t>
  </si>
  <si>
    <t>0805</t>
  </si>
  <si>
    <t>0017</t>
  </si>
  <si>
    <t>07:10</t>
  </si>
  <si>
    <t>0027</t>
  </si>
  <si>
    <t>07:20</t>
  </si>
  <si>
    <t>GLA</t>
  </si>
  <si>
    <t>0751</t>
  </si>
  <si>
    <t>07:25</t>
  </si>
  <si>
    <t>CMN</t>
  </si>
  <si>
    <t>0191</t>
  </si>
  <si>
    <t>LIS</t>
  </si>
  <si>
    <t>0035</t>
  </si>
  <si>
    <t>NCL</t>
  </si>
  <si>
    <t>0141</t>
  </si>
  <si>
    <t>MAD</t>
  </si>
  <si>
    <t>0787</t>
  </si>
  <si>
    <t>ACC-ABJ</t>
  </si>
  <si>
    <t>0600</t>
  </si>
  <si>
    <t>07:30</t>
  </si>
  <si>
    <t>KHI</t>
  </si>
  <si>
    <t>0159</t>
  </si>
  <si>
    <t>07:35</t>
  </si>
  <si>
    <t>OSL</t>
  </si>
  <si>
    <t>0109</t>
  </si>
  <si>
    <t>LCA-MLA</t>
  </si>
  <si>
    <t>0039</t>
  </si>
  <si>
    <t>07:40</t>
  </si>
  <si>
    <t>BHX</t>
  </si>
  <si>
    <t>0855</t>
  </si>
  <si>
    <t>0015</t>
  </si>
  <si>
    <t>0001</t>
  </si>
  <si>
    <t>07:45</t>
  </si>
  <si>
    <t>0073</t>
  </si>
  <si>
    <t>07:50</t>
  </si>
  <si>
    <t>0827</t>
  </si>
  <si>
    <t>0957</t>
  </si>
  <si>
    <t>07:55</t>
  </si>
  <si>
    <t>BEY</t>
  </si>
  <si>
    <t>0945</t>
  </si>
  <si>
    <t>BSR</t>
  </si>
  <si>
    <t>0941</t>
  </si>
  <si>
    <t>08:00</t>
  </si>
  <si>
    <t>BGW</t>
  </si>
  <si>
    <t>0179</t>
  </si>
  <si>
    <t>08:05</t>
  </si>
  <si>
    <t>WAW</t>
  </si>
  <si>
    <t>0247</t>
  </si>
  <si>
    <t>GIG-EZE</t>
  </si>
  <si>
    <t>NIL</t>
  </si>
  <si>
    <t>0927</t>
  </si>
  <si>
    <t>08:10</t>
  </si>
  <si>
    <t>CAI</t>
  </si>
  <si>
    <t>0757</t>
  </si>
  <si>
    <t>ALG</t>
  </si>
  <si>
    <t>0147</t>
  </si>
  <si>
    <t>0185</t>
  </si>
  <si>
    <t>08:15</t>
  </si>
  <si>
    <t>BCN</t>
  </si>
  <si>
    <t>0065</t>
  </si>
  <si>
    <t>STN</t>
  </si>
  <si>
    <t>0055</t>
  </si>
  <si>
    <t>08:20</t>
  </si>
  <si>
    <t>DUS</t>
  </si>
  <si>
    <t>0157</t>
  </si>
  <si>
    <t>ARN</t>
  </si>
  <si>
    <t>0077</t>
  </si>
  <si>
    <t>NCE</t>
  </si>
  <si>
    <t>0312</t>
  </si>
  <si>
    <t>HND</t>
  </si>
  <si>
    <t>0837</t>
  </si>
  <si>
    <t>BAH</t>
  </si>
  <si>
    <t>0087</t>
  </si>
  <si>
    <t>08:25</t>
  </si>
  <si>
    <t>ZRH</t>
  </si>
  <si>
    <t>0215</t>
  </si>
  <si>
    <t>08:30</t>
  </si>
  <si>
    <t>LAX</t>
  </si>
  <si>
    <t>0201</t>
  </si>
  <si>
    <t>0151</t>
  </si>
  <si>
    <t>CPH</t>
  </si>
  <si>
    <t>0183</t>
  </si>
  <si>
    <t>BRU</t>
  </si>
  <si>
    <t>0081</t>
  </si>
  <si>
    <t>08:35</t>
  </si>
  <si>
    <t>LYS</t>
  </si>
  <si>
    <t>0237</t>
  </si>
  <si>
    <t>08:40</t>
  </si>
  <si>
    <t>BOS</t>
  </si>
  <si>
    <t>0747</t>
  </si>
  <si>
    <t>TUN</t>
  </si>
  <si>
    <t>0139</t>
  </si>
  <si>
    <t>PRG</t>
  </si>
  <si>
    <t>0089</t>
  </si>
  <si>
    <t>GVA</t>
  </si>
  <si>
    <t>0045</t>
  </si>
  <si>
    <t>0049</t>
  </si>
  <si>
    <t>MUC</t>
  </si>
  <si>
    <t>0386</t>
  </si>
  <si>
    <t>08:45</t>
  </si>
  <si>
    <t>0225</t>
  </si>
  <si>
    <t>08:50</t>
  </si>
  <si>
    <t>SFO</t>
  </si>
  <si>
    <t>0059</t>
  </si>
  <si>
    <t>HAM</t>
  </si>
  <si>
    <t>0370</t>
  </si>
  <si>
    <t>08:55</t>
  </si>
  <si>
    <t>BKK-DAD</t>
  </si>
  <si>
    <t>0127</t>
  </si>
  <si>
    <t>VIE</t>
  </si>
  <si>
    <t>0097</t>
  </si>
  <si>
    <t>FCO</t>
  </si>
  <si>
    <t>0093</t>
  </si>
  <si>
    <t>BLQ</t>
  </si>
  <si>
    <t>0205</t>
  </si>
  <si>
    <t>09:05</t>
  </si>
  <si>
    <t>0261</t>
  </si>
  <si>
    <t>GRU</t>
  </si>
  <si>
    <t>0707</t>
  </si>
  <si>
    <t>09:10</t>
  </si>
  <si>
    <t>SEZ-TNR</t>
  </si>
  <si>
    <t>0398</t>
  </si>
  <si>
    <t>0770</t>
  </si>
  <si>
    <t>0304</t>
  </si>
  <si>
    <t>09:15</t>
  </si>
  <si>
    <t>0713</t>
  </si>
  <si>
    <t>LUN-HRE</t>
  </si>
  <si>
    <t>0725</t>
  </si>
  <si>
    <t>DAR</t>
  </si>
  <si>
    <t>0133</t>
  </si>
  <si>
    <t>09:20</t>
  </si>
  <si>
    <t>0506</t>
  </si>
  <si>
    <t>09:25</t>
  </si>
  <si>
    <t>0723</t>
  </si>
  <si>
    <t>ADD</t>
  </si>
  <si>
    <t>0334</t>
  </si>
  <si>
    <t>0372</t>
  </si>
  <si>
    <t>09:30</t>
  </si>
  <si>
    <t>0392</t>
  </si>
  <si>
    <t>09:35</t>
  </si>
  <si>
    <t>0135</t>
  </si>
  <si>
    <t>VCE</t>
  </si>
  <si>
    <t>0652</t>
  </si>
  <si>
    <t>09:40</t>
  </si>
  <si>
    <t>MLE-CMB</t>
  </si>
  <si>
    <t>0029</t>
  </si>
  <si>
    <t>0211</t>
  </si>
  <si>
    <t>09:45</t>
  </si>
  <si>
    <t>IAH</t>
  </si>
  <si>
    <t>0235</t>
  </si>
  <si>
    <t>ORD</t>
  </si>
  <si>
    <t>0729</t>
  </si>
  <si>
    <t>EBB</t>
  </si>
  <si>
    <t>0516</t>
  </si>
  <si>
    <t>09:55</t>
  </si>
  <si>
    <t>0229</t>
  </si>
  <si>
    <t>SEA</t>
  </si>
  <si>
    <t>0406</t>
  </si>
  <si>
    <t>10:00</t>
  </si>
  <si>
    <t>0111</t>
  </si>
  <si>
    <t>10:05</t>
  </si>
  <si>
    <t>BUD</t>
  </si>
  <si>
    <t>0448</t>
  </si>
  <si>
    <t>AKL</t>
  </si>
  <si>
    <t>0763</t>
  </si>
  <si>
    <t>10:10</t>
  </si>
  <si>
    <t>0352</t>
  </si>
  <si>
    <t>10:15</t>
  </si>
  <si>
    <t>0412</t>
  </si>
  <si>
    <t>SYD-CHC</t>
  </si>
  <si>
    <t>0123</t>
  </si>
  <si>
    <t>IST</t>
  </si>
  <si>
    <t>0660</t>
  </si>
  <si>
    <t>0434</t>
  </si>
  <si>
    <t>10:25</t>
  </si>
  <si>
    <t>0719</t>
  </si>
  <si>
    <t>10:30</t>
  </si>
  <si>
    <t>NBO</t>
  </si>
  <si>
    <t>0703</t>
  </si>
  <si>
    <t>0783</t>
  </si>
  <si>
    <t>LOS</t>
  </si>
  <si>
    <t>0586</t>
  </si>
  <si>
    <t>0396</t>
  </si>
  <si>
    <t>10:35</t>
  </si>
  <si>
    <t>0342</t>
  </si>
  <si>
    <t>10:40</t>
  </si>
  <si>
    <t>0775</t>
  </si>
  <si>
    <t>DUR</t>
  </si>
  <si>
    <t>0380</t>
  </si>
  <si>
    <t>0328</t>
  </si>
  <si>
    <t>10:45</t>
  </si>
  <si>
    <t>SZX</t>
  </si>
  <si>
    <t>0362</t>
  </si>
  <si>
    <t>10:50</t>
  </si>
  <si>
    <t>CAN</t>
  </si>
  <si>
    <t>0358</t>
  </si>
  <si>
    <t>10:55</t>
  </si>
  <si>
    <t>0813</t>
  </si>
  <si>
    <t>11:20</t>
  </si>
  <si>
    <t>0209</t>
  </si>
  <si>
    <t>11:30</t>
  </si>
  <si>
    <t>ATH</t>
  </si>
  <si>
    <t>0921</t>
  </si>
  <si>
    <t>12:00</t>
  </si>
  <si>
    <t>0031</t>
  </si>
  <si>
    <t>12:10</t>
  </si>
  <si>
    <t>0654</t>
  </si>
  <si>
    <t>12:55</t>
  </si>
  <si>
    <t>EWR</t>
  </si>
  <si>
    <t>9111</t>
  </si>
  <si>
    <t>AUH</t>
  </si>
  <si>
    <t>9555</t>
  </si>
  <si>
    <t>SHJ</t>
  </si>
  <si>
    <t>9557</t>
  </si>
  <si>
    <t>9113</t>
  </si>
  <si>
    <t>9292</t>
  </si>
  <si>
    <t>0561280474</t>
  </si>
  <si>
    <t>0572</t>
  </si>
  <si>
    <t>0502</t>
  </si>
  <si>
    <t>0566</t>
  </si>
  <si>
    <t>0041</t>
  </si>
  <si>
    <t>0187</t>
  </si>
  <si>
    <t>0809</t>
  </si>
  <si>
    <t>0121</t>
  </si>
  <si>
    <t>0009</t>
  </si>
  <si>
    <t>0765</t>
  </si>
  <si>
    <t>0067</t>
  </si>
  <si>
    <t>0003</t>
  </si>
  <si>
    <t>0903</t>
  </si>
  <si>
    <t>0019</t>
  </si>
  <si>
    <t>0193</t>
  </si>
  <si>
    <t>0163</t>
  </si>
  <si>
    <t>0083</t>
  </si>
  <si>
    <t>0057</t>
  </si>
  <si>
    <t>0546</t>
  </si>
  <si>
    <t>0143</t>
  </si>
  <si>
    <t>0857</t>
  </si>
  <si>
    <t>0528</t>
  </si>
  <si>
    <t>0075</t>
  </si>
  <si>
    <t>0023</t>
  </si>
  <si>
    <t>0037</t>
  </si>
  <si>
    <t>0923</t>
  </si>
  <si>
    <t>0979</t>
  </si>
  <si>
    <t>0061</t>
  </si>
  <si>
    <t>0095</t>
  </si>
  <si>
    <t>0514</t>
  </si>
  <si>
    <t>0091</t>
  </si>
  <si>
    <t>0047</t>
  </si>
  <si>
    <t>0721</t>
  </si>
  <si>
    <t>0149</t>
  </si>
  <si>
    <t>0125</t>
  </si>
  <si>
    <t>0953</t>
  </si>
  <si>
    <t>0508</t>
  </si>
  <si>
    <t>0803</t>
  </si>
  <si>
    <t>0051</t>
  </si>
  <si>
    <t>0175</t>
  </si>
  <si>
    <t>0085</t>
  </si>
  <si>
    <t>0839</t>
  </si>
  <si>
    <t>YASIN</t>
  </si>
  <si>
    <t>JAMIL DL</t>
  </si>
  <si>
    <t>0005</t>
  </si>
  <si>
    <t>0648</t>
  </si>
  <si>
    <t>0131</t>
  </si>
  <si>
    <t>0584</t>
  </si>
  <si>
    <t>0817</t>
  </si>
  <si>
    <t>0117</t>
  </si>
  <si>
    <t>0336</t>
  </si>
  <si>
    <t>0602</t>
  </si>
  <si>
    <t>0859</t>
  </si>
  <si>
    <t>0925</t>
  </si>
  <si>
    <t>0314</t>
  </si>
  <si>
    <t>0821</t>
  </si>
  <si>
    <t>0542</t>
  </si>
  <si>
    <t>0614</t>
  </si>
  <si>
    <t>0522</t>
  </si>
  <si>
    <t>0524</t>
  </si>
  <si>
    <t>0512</t>
  </si>
  <si>
    <t>0568</t>
  </si>
  <si>
    <t>0344</t>
  </si>
  <si>
    <t>0500</t>
  </si>
  <si>
    <t>0532</t>
  </si>
  <si>
    <t>0416</t>
  </si>
  <si>
    <t>0404</t>
  </si>
  <si>
    <t>0622</t>
  </si>
  <si>
    <t>0606</t>
  </si>
  <si>
    <t>0905</t>
  </si>
  <si>
    <t>0374</t>
  </si>
  <si>
    <t>0538</t>
  </si>
  <si>
    <t>0767</t>
  </si>
  <si>
    <t>NOT STARTED</t>
  </si>
  <si>
    <t>13:15</t>
  </si>
  <si>
    <t>13:35</t>
  </si>
  <si>
    <t>13:40</t>
  </si>
  <si>
    <t>14:00</t>
  </si>
  <si>
    <t>14:20</t>
  </si>
  <si>
    <t>MED</t>
  </si>
  <si>
    <t>14:25</t>
  </si>
  <si>
    <t>14:30</t>
  </si>
  <si>
    <t>AMM</t>
  </si>
  <si>
    <t>14:35</t>
  </si>
  <si>
    <t>14:40</t>
  </si>
  <si>
    <t>14:45</t>
  </si>
  <si>
    <t>14:50</t>
  </si>
  <si>
    <t>EDI</t>
  </si>
  <si>
    <t>15:00</t>
  </si>
  <si>
    <t>15:05</t>
  </si>
  <si>
    <t>15:10</t>
  </si>
  <si>
    <t>15:15</t>
  </si>
  <si>
    <t>15:20</t>
  </si>
  <si>
    <t>15:40</t>
  </si>
  <si>
    <t>15:45</t>
  </si>
  <si>
    <t>15:50</t>
  </si>
  <si>
    <t>15:55</t>
  </si>
  <si>
    <t>LED</t>
  </si>
  <si>
    <t>16:00</t>
  </si>
  <si>
    <t>16:05</t>
  </si>
  <si>
    <t>16:10</t>
  </si>
  <si>
    <t>16:15</t>
  </si>
  <si>
    <t>16:45</t>
  </si>
  <si>
    <t>17:40</t>
  </si>
  <si>
    <t>17:45</t>
  </si>
  <si>
    <t>17:55</t>
  </si>
  <si>
    <t>18:10</t>
  </si>
  <si>
    <t>20:45</t>
  </si>
  <si>
    <t>20:55</t>
  </si>
  <si>
    <t>21:00</t>
  </si>
  <si>
    <t>21:30</t>
  </si>
  <si>
    <t>TRV</t>
  </si>
  <si>
    <t>21:35</t>
  </si>
  <si>
    <t>21:40</t>
  </si>
  <si>
    <t>21:45</t>
  </si>
  <si>
    <t>21:50</t>
  </si>
  <si>
    <t>22:00</t>
  </si>
  <si>
    <t>22:15</t>
  </si>
  <si>
    <t>22:35</t>
  </si>
  <si>
    <t>22:50</t>
  </si>
  <si>
    <t>AMD</t>
  </si>
  <si>
    <t>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</si>
</sst>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0" x14ac:knownFonts="1">
    <font>
      <sz val="10"/>
      <color indexed="0"/>
      <name val="Arial"/>
    </font>
    <font>
      <sz val="11"/>
      <color theme="1"/>
      <name val="Calibri"/>
      <family val="2"/>
      <scheme val="minor"/>
    </font>
    <font>
      <sz val="10"/>
      <color indexed="0"/>
      <name val="Arial"/>
      <family val="2"/>
    </font>
    <font>
      <sz val="20"/>
      <name val="Calibri"/>
      <family val="2"/>
    </font>
    <font>
      <b/>
      <sz val="24"/>
      <name val="Calibri"/>
      <family val="2"/>
    </font>
    <font>
      <sz val="24"/>
      <name val="Calibri"/>
      <family val="2"/>
    </font>
    <font>
      <sz val="14"/>
      <name val="Calibri"/>
      <family val="2"/>
    </font>
    <font>
      <sz val="16"/>
      <name val="Calibri"/>
      <family val="2"/>
    </font>
    <font>
      <sz val="14"/>
      <color indexed="0"/>
      <name val="Calibri"/>
      <family val="2"/>
    </font>
    <font>
      <u/>
      <sz val="16"/>
      <name val="Calibri"/>
      <family val="2"/>
    </font>
    <font>
      <u/>
      <sz val="20"/>
      <name val="Calibri"/>
      <family val="2"/>
    </font>
    <font>
      <b/>
      <sz val="14"/>
      <name val="Cambria"/>
      <family val="1"/>
    </font>
    <font>
      <b/>
      <sz val="11"/>
      <name val="Cambria"/>
      <family val="1"/>
    </font>
    <font>
      <sz val="11"/>
      <name val="Cambria"/>
      <family val="1"/>
    </font>
    <font>
      <b/>
      <sz val="12"/>
      <name val="Cambria"/>
      <family val="1"/>
    </font>
    <font>
      <b/>
      <sz val="14"/>
      <name val="Calibri"/>
      <family val="2"/>
    </font>
    <font>
      <sz val="11"/>
      <name val="Calibri"/>
      <family val="2"/>
    </font>
    <font>
      <sz val="11"/>
      <color indexed="0"/>
      <name val="Calibri"/>
      <family val="2"/>
    </font>
    <font>
      <sz val="11"/>
      <color rgb="FF9C6500"/>
      <name val="Calibri"/>
      <family val="2"/>
      <scheme val="minor"/>
    </font>
    <font>
      <b/>
      <sz val="11"/>
      <color theme="1"/>
      <name val="Calibri"/>
      <family val="2"/>
      <scheme val="minor"/>
    </font>
    <font>
      <sz val="14"/>
      <color theme="1"/>
      <name val="Calibri"/>
      <family val="2"/>
      <scheme val="minor"/>
    </font>
    <font>
      <b/>
      <sz val="11"/>
      <color theme="1"/>
      <name val="Cambria"/>
      <family val="1"/>
    </font>
    <font>
      <b/>
      <sz val="12"/>
      <color theme="1"/>
      <name val="Cambria"/>
      <family val="1"/>
    </font>
    <font>
      <sz val="18"/>
      <color rgb="FFC00000"/>
      <name val="Calibri"/>
      <family val="2"/>
    </font>
    <font>
      <sz val="18"/>
      <color rgb="FFFF0000"/>
      <name val="Calibri"/>
      <family val="2"/>
    </font>
    <font>
      <sz val="12"/>
      <color theme="1"/>
      <name val="Cambria"/>
      <family val="1"/>
    </font>
    <font>
      <sz val="11"/>
      <color theme="1"/>
      <name val="Cambria"/>
      <family val="1"/>
    </font>
    <font>
      <b/>
      <sz val="11"/>
      <name val="Calibri"/>
      <family val="2"/>
      <scheme val="minor"/>
    </font>
    <font>
      <sz val="10"/>
      <color rgb="FF000000"/>
      <name val="Calibri"/>
      <family val="2"/>
    </font>
    <font>
      <sz val="10"/>
      <color theme="1"/>
      <name val="Calibri"/>
      <family val="2"/>
      <scheme val="minor"/>
    </font>
    <font>
      <b/>
      <sz val="10"/>
      <color theme="1"/>
      <name val="Calibri"/>
      <family val="2"/>
      <scheme val="minor"/>
    </font>
    <font>
      <b/>
      <sz val="10"/>
      <name val="Calibri"/>
      <family val="2"/>
      <scheme val="minor"/>
    </font>
    <font>
      <b/>
      <sz val="10"/>
      <color rgb="FF000000"/>
      <name val="Calibri"/>
      <family val="2"/>
    </font>
    <font>
      <sz val="11"/>
      <color rgb="FF000000"/>
      <name val="Calibri"/>
      <family val="2"/>
    </font>
    <font>
      <b/>
      <sz val="11"/>
      <color theme="1"/>
      <name val="Calibri"/>
      <family val="2"/>
    </font>
    <font>
      <b/>
      <sz val="11"/>
      <color rgb="FF000000"/>
      <name val="Calibri"/>
      <family val="2"/>
    </font>
    <font>
      <sz val="11"/>
      <color rgb="FF1F497D"/>
      <name val="Calibri"/>
      <family val="2"/>
      <scheme val="minor"/>
    </font>
    <font>
      <b/>
      <sz val="18"/>
      <color theme="1"/>
      <name val="Calibri"/>
      <family val="2"/>
      <scheme val="minor"/>
    </font>
    <font>
      <b/>
      <sz val="14"/>
      <color theme="1"/>
      <name val="Cambria"/>
      <family val="1"/>
    </font>
    <font>
      <b/>
      <sz val="22"/>
      <color theme="1"/>
      <name val="Cambria"/>
      <family val="1"/>
    </font>
    <font>
      <b/>
      <sz val="20"/>
      <color theme="1"/>
      <name val="Cambria"/>
      <family val="1"/>
    </font>
    <font>
      <sz val="12"/>
      <name val="Calibri"/>
      <family val="2"/>
    </font>
    <font>
      <sz val="14"/>
      <color rgb="FFFF0000"/>
      <name val="Calibri"/>
      <family val="2"/>
    </font>
    <font>
      <b/>
      <sz val="11"/>
      <color indexed="0"/>
      <name val="Calibri"/>
      <family val="2"/>
    </font>
    <font>
      <b/>
      <sz val="11"/>
      <color theme="9"/>
      <name val="Calibri"/>
      <family val="2"/>
    </font>
    <font>
      <b/>
      <sz val="11"/>
      <color theme="7"/>
      <name val="Calibri"/>
      <family val="2"/>
    </font>
    <font>
      <b/>
      <sz val="11"/>
      <color rgb="FFFF0000"/>
      <name val="Calibri"/>
      <family val="2"/>
    </font>
    <font>
      <b/>
      <sz val="20"/>
      <color theme="0"/>
      <name val="Calibri"/>
      <family val="2"/>
    </font>
    <font>
      <b/>
      <sz val="12"/>
      <color theme="0"/>
      <name val="Calibri"/>
      <family val="2"/>
    </font>
    <font>
      <b/>
      <sz val="14"/>
      <color rgb="FFFFFFFF"/>
      <name val="Calibri"/>
      <family val="2"/>
      <scheme val="minor"/>
    </font>
    <font>
      <b/>
      <sz val="14"/>
      <name val="Calibri"/>
      <family val="2"/>
      <scheme val="minor"/>
    </font>
    <font>
      <b/>
      <sz val="14"/>
      <color theme="1"/>
      <name val="Calibri"/>
      <family val="2"/>
      <scheme val="minor"/>
    </font>
    <font>
      <sz val="12"/>
      <color rgb="FF000000"/>
      <name val="Calibri"/>
      <family val="2"/>
      <scheme val="minor"/>
    </font>
    <font>
      <sz val="12"/>
      <color rgb="FF44546A"/>
      <name val="Calibri"/>
      <family val="2"/>
      <scheme val="minor"/>
    </font>
    <font>
      <sz val="12"/>
      <color rgb="FF000000"/>
      <name val="Cambria"/>
      <family val="1"/>
    </font>
    <font>
      <sz val="12"/>
      <color theme="1"/>
      <name val="Calibri"/>
      <family val="2"/>
      <scheme val="minor"/>
    </font>
    <font>
      <sz val="12"/>
      <name val="Times New Roman"/>
      <family val="1"/>
    </font>
    <font>
      <b/>
      <sz val="14"/>
      <color theme="0"/>
      <name val="Lucida Calligraphy"/>
      <family val="4"/>
    </font>
    <font>
      <sz val="12"/>
      <color indexed="0"/>
      <name val="Calibri"/>
      <family val="2"/>
    </font>
    <font>
      <sz val="11"/>
      <color theme="3"/>
      <name val="Calibri"/>
      <family val="2"/>
    </font>
    <font>
      <b/>
      <sz val="11"/>
      <color theme="0"/>
      <name val="Lucida Calligraphy"/>
      <family val="4"/>
    </font>
    <font>
      <sz val="18"/>
      <name val="Calibri"/>
      <family val="2"/>
    </font>
    <font>
      <sz val="16"/>
      <color indexed="0"/>
      <name val="Calibri"/>
      <family val="2"/>
    </font>
    <font>
      <sz val="18"/>
      <color indexed="0"/>
      <name val="Calibri"/>
      <family val="2"/>
    </font>
    <font>
      <strike/>
      <sz val="14"/>
      <name val="Calibri"/>
      <family val="2"/>
    </font>
    <font>
      <sz val="14"/>
      <color rgb="FFC00000"/>
      <name val="Calibri"/>
      <family val="2"/>
    </font>
    <font>
      <sz val="14"/>
      <color theme="1"/>
      <name val="Cambria"/>
      <family val="1"/>
    </font>
    <font>
      <b/>
      <i/>
      <sz val="14"/>
      <color theme="0"/>
      <name val="Calibri"/>
      <family val="2"/>
    </font>
    <font>
      <b/>
      <sz val="18"/>
      <name val="Lucida Handwriting"/>
      <family val="4"/>
    </font>
    <font>
      <sz val="8"/>
      <name val="Arial"/>
    </font>
  </fonts>
  <fills count="33">
    <fill>
      <patternFill patternType="none"/>
    </fill>
    <fill>
      <patternFill patternType="gray125"/>
    </fill>
    <fill>
      <patternFill patternType="solid">
        <fgColor rgb="FFFFEB9C"/>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2"/>
        <bgColor indexed="64"/>
      </patternFill>
    </fill>
    <fill>
      <patternFill patternType="solid">
        <fgColor rgb="FFF04E65"/>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FFFFFF"/>
        <bgColor indexed="64"/>
      </patternFill>
    </fill>
    <fill>
      <patternFill patternType="solid">
        <fgColor theme="8" tint="0.79998168889431442"/>
        <bgColor indexed="64"/>
      </patternFill>
    </fill>
    <fill>
      <patternFill patternType="solid">
        <fgColor rgb="FFFCFEA4"/>
        <bgColor indexed="64"/>
      </patternFill>
    </fill>
    <fill>
      <patternFill patternType="solid">
        <fgColor rgb="FFF46C83"/>
        <bgColor indexed="64"/>
      </patternFill>
    </fill>
    <fill>
      <patternFill patternType="solid">
        <fgColor theme="4" tint="0.59999389629810485"/>
        <bgColor indexed="64"/>
      </patternFill>
    </fill>
    <fill>
      <patternFill patternType="solid">
        <fgColor theme="3"/>
        <bgColor indexed="64"/>
      </patternFill>
    </fill>
    <fill>
      <patternFill patternType="solid">
        <fgColor theme="6" tint="-0.499984740745262"/>
        <bgColor indexed="64"/>
      </patternFill>
    </fill>
    <fill>
      <patternFill patternType="solid">
        <fgColor rgb="FF44546A"/>
        <bgColor rgb="FF000000"/>
      </patternFill>
    </fill>
    <fill>
      <patternFill patternType="solid">
        <fgColor theme="5" tint="0.39997558519241921"/>
        <bgColor rgb="FF000000"/>
      </patternFill>
    </fill>
    <fill>
      <patternFill patternType="solid">
        <fgColor theme="6" tint="0.59999389629810485"/>
        <bgColor rgb="FF000000"/>
      </patternFill>
    </fill>
    <fill>
      <patternFill patternType="solid">
        <fgColor theme="0"/>
        <bgColor rgb="FF000000"/>
      </patternFill>
    </fill>
    <fill>
      <patternFill patternType="solid">
        <fgColor theme="8" tint="0.79998168889431442"/>
        <bgColor rgb="FF000000"/>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tint="-4.9989318521683403E-2"/>
        <bgColor rgb="FF000000"/>
      </patternFill>
    </fill>
    <fill>
      <patternFill patternType="solid">
        <fgColor theme="6" tint="0.59999389629810485"/>
        <bgColor indexed="64"/>
      </patternFill>
    </fill>
    <fill>
      <patternFill patternType="solid">
        <fgColor rgb="FFFFFFFF"/>
        <bgColor rgb="FF000000"/>
      </patternFill>
    </fill>
    <fill>
      <patternFill patternType="solid">
        <fgColor rgb="FFC00000"/>
        <bgColor indexed="64"/>
      </patternFill>
    </fill>
  </fills>
  <borders count="1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dashed">
        <color theme="5"/>
      </left>
      <right style="dashed">
        <color theme="5"/>
      </right>
      <top style="dashed">
        <color theme="5"/>
      </top>
      <bottom style="dashed">
        <color theme="5"/>
      </bottom>
      <diagonal/>
    </border>
    <border>
      <left style="dashed">
        <color theme="5"/>
      </left>
      <right/>
      <top style="dashed">
        <color theme="5"/>
      </top>
      <bottom/>
      <diagonal/>
    </border>
    <border>
      <left/>
      <right style="dashed">
        <color theme="5"/>
      </right>
      <top style="dashed">
        <color theme="5"/>
      </top>
      <bottom/>
      <diagonal/>
    </border>
    <border>
      <left style="medium">
        <color indexed="64"/>
      </left>
      <right style="dashed">
        <color theme="5"/>
      </right>
      <top style="medium">
        <color indexed="64"/>
      </top>
      <bottom style="dashed">
        <color theme="5"/>
      </bottom>
      <diagonal/>
    </border>
    <border>
      <left style="dashed">
        <color theme="5"/>
      </left>
      <right style="dashed">
        <color theme="5"/>
      </right>
      <top style="medium">
        <color indexed="64"/>
      </top>
      <bottom style="dashed">
        <color theme="5"/>
      </bottom>
      <diagonal/>
    </border>
    <border>
      <left style="dashed">
        <color theme="5"/>
      </left>
      <right style="medium">
        <color indexed="64"/>
      </right>
      <top style="medium">
        <color indexed="64"/>
      </top>
      <bottom style="dashed">
        <color theme="5"/>
      </bottom>
      <diagonal/>
    </border>
    <border>
      <left style="medium">
        <color indexed="64"/>
      </left>
      <right style="dashed">
        <color theme="5"/>
      </right>
      <top style="dashed">
        <color theme="5"/>
      </top>
      <bottom style="dashed">
        <color theme="5"/>
      </bottom>
      <diagonal/>
    </border>
    <border>
      <left style="dashed">
        <color theme="5"/>
      </left>
      <right style="medium">
        <color indexed="64"/>
      </right>
      <top style="dashed">
        <color theme="5"/>
      </top>
      <bottom style="dashed">
        <color theme="5"/>
      </bottom>
      <diagonal/>
    </border>
    <border>
      <left style="medium">
        <color indexed="64"/>
      </left>
      <right style="dashed">
        <color theme="5"/>
      </right>
      <top style="dashed">
        <color theme="5"/>
      </top>
      <bottom style="medium">
        <color indexed="64"/>
      </bottom>
      <diagonal/>
    </border>
    <border>
      <left style="dashed">
        <color theme="5"/>
      </left>
      <right style="dashed">
        <color theme="5"/>
      </right>
      <top style="dashed">
        <color theme="5"/>
      </top>
      <bottom style="medium">
        <color indexed="64"/>
      </bottom>
      <diagonal/>
    </border>
    <border>
      <left style="dashed">
        <color theme="5"/>
      </left>
      <right style="medium">
        <color indexed="64"/>
      </right>
      <top style="dashed">
        <color theme="5"/>
      </top>
      <bottom style="medium">
        <color indexed="64"/>
      </bottom>
      <diagonal/>
    </border>
    <border>
      <left style="dashed">
        <color theme="5"/>
      </left>
      <right style="dashed">
        <color theme="5"/>
      </right>
      <top style="dashed">
        <color theme="5"/>
      </top>
      <bottom/>
      <diagonal/>
    </border>
    <border>
      <left style="dashed">
        <color theme="4"/>
      </left>
      <right style="dashed">
        <color theme="4"/>
      </right>
      <top style="dashed">
        <color theme="4"/>
      </top>
      <bottom style="dashed">
        <color theme="4"/>
      </bottom>
      <diagonal/>
    </border>
    <border>
      <left style="dashed">
        <color theme="4"/>
      </left>
      <right/>
      <top style="dashed">
        <color theme="4"/>
      </top>
      <bottom style="dashed">
        <color theme="4"/>
      </bottom>
      <diagonal/>
    </border>
    <border>
      <left/>
      <right style="dashed">
        <color theme="4"/>
      </right>
      <top style="dashed">
        <color theme="4"/>
      </top>
      <bottom style="dashed">
        <color theme="4"/>
      </bottom>
      <diagonal/>
    </border>
    <border>
      <left style="dashed">
        <color theme="4"/>
      </left>
      <right style="dashed">
        <color theme="4"/>
      </right>
      <top style="dashed">
        <color theme="4"/>
      </top>
      <bottom/>
      <diagonal/>
    </border>
    <border>
      <left style="dashed">
        <color theme="4"/>
      </left>
      <right/>
      <top style="dashed">
        <color theme="4"/>
      </top>
      <bottom/>
      <diagonal/>
    </border>
    <border>
      <left style="dashed">
        <color theme="4"/>
      </left>
      <right style="dashed">
        <color theme="4"/>
      </right>
      <top/>
      <bottom style="dashed">
        <color theme="4"/>
      </bottom>
      <diagonal/>
    </border>
    <border>
      <left style="dashed">
        <color theme="4"/>
      </left>
      <right style="dashed">
        <color theme="5"/>
      </right>
      <top style="dashed">
        <color theme="4"/>
      </top>
      <bottom/>
      <diagonal/>
    </border>
    <border>
      <left style="dashed">
        <color theme="4"/>
      </left>
      <right style="dashed">
        <color theme="4"/>
      </right>
      <top/>
      <bottom style="dashed">
        <color theme="5"/>
      </bottom>
      <diagonal/>
    </border>
    <border>
      <left/>
      <right style="dashed">
        <color theme="4"/>
      </right>
      <top style="dashed">
        <color theme="4"/>
      </top>
      <bottom/>
      <diagonal/>
    </border>
    <border>
      <left style="dashed">
        <color theme="4"/>
      </left>
      <right/>
      <top/>
      <bottom/>
      <diagonal/>
    </border>
    <border>
      <left style="dashed">
        <color theme="4"/>
      </left>
      <right style="dashed">
        <color theme="5"/>
      </right>
      <top/>
      <bottom/>
      <diagonal/>
    </border>
    <border>
      <left style="dashed">
        <color theme="5"/>
      </left>
      <right style="dashed">
        <color theme="4"/>
      </right>
      <top/>
      <bottom/>
      <diagonal/>
    </border>
    <border>
      <left style="dashed">
        <color theme="9" tint="-0.499984740745262"/>
      </left>
      <right style="dashed">
        <color theme="9" tint="-0.499984740745262"/>
      </right>
      <top style="dashed">
        <color theme="9" tint="-0.499984740745262"/>
      </top>
      <bottom style="dashed">
        <color theme="9" tint="-0.499984740745262"/>
      </bottom>
      <diagonal/>
    </border>
    <border>
      <left style="dashed">
        <color rgb="FFFFC000"/>
      </left>
      <right style="dashed">
        <color rgb="FFFFC000"/>
      </right>
      <top style="dashed">
        <color rgb="FFFFC000"/>
      </top>
      <bottom style="dashed">
        <color rgb="FFFFC000"/>
      </bottom>
      <diagonal/>
    </border>
    <border>
      <left style="dashed">
        <color rgb="FFFFC000"/>
      </left>
      <right style="dashed">
        <color rgb="FFFFC000"/>
      </right>
      <top style="dashed">
        <color rgb="FFFFC000"/>
      </top>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dashed">
        <color theme="9" tint="-0.499984740745262"/>
      </left>
      <right style="dashed">
        <color theme="9" tint="-0.499984740745262"/>
      </right>
      <top style="dashed">
        <color theme="9" tint="-0.499984740745262"/>
      </top>
      <bottom/>
      <diagonal/>
    </border>
    <border>
      <left style="dashed">
        <color theme="5"/>
      </left>
      <right style="thin">
        <color indexed="64"/>
      </right>
      <top style="dashed">
        <color theme="5"/>
      </top>
      <bottom style="dashed">
        <color theme="5"/>
      </bottom>
      <diagonal/>
    </border>
    <border>
      <left style="thin">
        <color indexed="64"/>
      </left>
      <right style="thin">
        <color indexed="64"/>
      </right>
      <top style="dashed">
        <color theme="5"/>
      </top>
      <bottom style="dashed">
        <color theme="5"/>
      </bottom>
      <diagonal/>
    </border>
    <border>
      <left style="thin">
        <color indexed="64"/>
      </left>
      <right style="dashed">
        <color theme="5"/>
      </right>
      <top style="dashed">
        <color theme="5"/>
      </top>
      <bottom style="dashed">
        <color theme="5"/>
      </bottom>
      <diagonal/>
    </border>
    <border>
      <left style="thin">
        <color rgb="FFC00000"/>
      </left>
      <right/>
      <top style="thin">
        <color rgb="FFC00000"/>
      </top>
      <bottom/>
      <diagonal/>
    </border>
    <border>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style="dashed">
        <color theme="4"/>
      </right>
      <top/>
      <bottom style="dashed">
        <color theme="4"/>
      </bottom>
      <diagonal/>
    </border>
    <border>
      <left style="dashed">
        <color theme="4"/>
      </left>
      <right style="thin">
        <color rgb="FFC00000"/>
      </right>
      <top/>
      <bottom style="dashed">
        <color theme="4"/>
      </bottom>
      <diagonal/>
    </border>
    <border>
      <left style="thin">
        <color rgb="FFC00000"/>
      </left>
      <right style="dashed">
        <color theme="4"/>
      </right>
      <top style="dashed">
        <color theme="4"/>
      </top>
      <bottom style="dashed">
        <color theme="4"/>
      </bottom>
      <diagonal/>
    </border>
    <border>
      <left style="dashed">
        <color theme="4"/>
      </left>
      <right style="thin">
        <color rgb="FFC00000"/>
      </right>
      <top style="dashed">
        <color theme="4"/>
      </top>
      <bottom style="dashed">
        <color theme="4"/>
      </bottom>
      <diagonal/>
    </border>
    <border>
      <left style="thin">
        <color rgb="FFC00000"/>
      </left>
      <right style="dashed">
        <color theme="4"/>
      </right>
      <top style="dashed">
        <color theme="4"/>
      </top>
      <bottom/>
      <diagonal/>
    </border>
    <border>
      <left style="thin">
        <color rgb="FFC00000"/>
      </left>
      <right style="dashed">
        <color theme="4"/>
      </right>
      <top/>
      <bottom/>
      <diagonal/>
    </border>
    <border>
      <left style="dashed">
        <color theme="4"/>
      </left>
      <right style="thin">
        <color rgb="FFC00000"/>
      </right>
      <top/>
      <bottom/>
      <diagonal/>
    </border>
    <border>
      <left style="thin">
        <color rgb="FFC00000"/>
      </left>
      <right style="dashed">
        <color theme="9" tint="-0.499984740745262"/>
      </right>
      <top style="dashed">
        <color theme="9" tint="-0.499984740745262"/>
      </top>
      <bottom style="thin">
        <color rgb="FFC00000"/>
      </bottom>
      <diagonal/>
    </border>
    <border>
      <left style="dashed">
        <color theme="9" tint="-0.499984740745262"/>
      </left>
      <right style="dashed">
        <color theme="9" tint="-0.499984740745262"/>
      </right>
      <top style="dashed">
        <color theme="9" tint="-0.499984740745262"/>
      </top>
      <bottom style="thin">
        <color rgb="FFC00000"/>
      </bottom>
      <diagonal/>
    </border>
    <border>
      <left style="thin">
        <color rgb="FFC00000"/>
      </left>
      <right/>
      <top/>
      <bottom style="thin">
        <color rgb="FFC00000"/>
      </bottom>
      <diagonal/>
    </border>
    <border>
      <left/>
      <right/>
      <top/>
      <bottom style="thin">
        <color rgb="FFC00000"/>
      </bottom>
      <diagonal/>
    </border>
    <border>
      <left/>
      <right style="thin">
        <color rgb="FFC00000"/>
      </right>
      <top/>
      <bottom style="thin">
        <color rgb="FFC00000"/>
      </bottom>
      <diagonal/>
    </border>
    <border>
      <left style="thin">
        <color rgb="FFC00000"/>
      </left>
      <right style="dashed">
        <color theme="9" tint="-0.499984740745262"/>
      </right>
      <top style="dashed">
        <color theme="9" tint="-0.499984740745262"/>
      </top>
      <bottom style="dashed">
        <color theme="9" tint="-0.499984740745262"/>
      </bottom>
      <diagonal/>
    </border>
    <border>
      <left style="dashed">
        <color theme="9" tint="-0.499984740745262"/>
      </left>
      <right style="thin">
        <color rgb="FFC00000"/>
      </right>
      <top style="dashed">
        <color theme="9" tint="-0.499984740745262"/>
      </top>
      <bottom style="dashed">
        <color theme="9" tint="-0.499984740745262"/>
      </bottom>
      <diagonal/>
    </border>
    <border>
      <left style="dashed">
        <color theme="9" tint="-0.499984740745262"/>
      </left>
      <right style="thin">
        <color rgb="FFC00000"/>
      </right>
      <top style="dashed">
        <color theme="9" tint="-0.499984740745262"/>
      </top>
      <bottom/>
      <diagonal/>
    </border>
    <border>
      <left style="dashed">
        <color theme="9" tint="-0.499984740745262"/>
      </left>
      <right style="dashed">
        <color theme="9" tint="-0.499984740745262"/>
      </right>
      <top/>
      <bottom style="thin">
        <color rgb="FFC00000"/>
      </bottom>
      <diagonal/>
    </border>
    <border>
      <left style="dashed">
        <color theme="9" tint="-0.499984740745262"/>
      </left>
      <right style="thin">
        <color rgb="FFC00000"/>
      </right>
      <top/>
      <bottom style="thin">
        <color rgb="FFC00000"/>
      </bottom>
      <diagonal/>
    </border>
    <border>
      <left style="thin">
        <color rgb="FFC00000"/>
      </left>
      <right style="dashed">
        <color theme="4"/>
      </right>
      <top style="thin">
        <color rgb="FFC00000"/>
      </top>
      <bottom/>
      <diagonal/>
    </border>
    <border>
      <left style="dashed">
        <color theme="4"/>
      </left>
      <right style="dashed">
        <color theme="4"/>
      </right>
      <top style="thin">
        <color rgb="FFC00000"/>
      </top>
      <bottom/>
      <diagonal/>
    </border>
    <border>
      <left style="dashed">
        <color theme="4"/>
      </left>
      <right style="thin">
        <color rgb="FFC00000"/>
      </right>
      <top style="thin">
        <color rgb="FFC00000"/>
      </top>
      <bottom/>
      <diagonal/>
    </border>
    <border>
      <left style="dashed">
        <color theme="5"/>
      </left>
      <right style="dashed">
        <color theme="4"/>
      </right>
      <top style="dashed">
        <color theme="4"/>
      </top>
      <bottom style="dashed">
        <color theme="4"/>
      </bottom>
      <diagonal/>
    </border>
    <border>
      <left style="dashed">
        <color theme="4"/>
      </left>
      <right style="thin">
        <color rgb="FFC00000"/>
      </right>
      <top/>
      <bottom style="dashed">
        <color theme="9" tint="-0.499984740745262"/>
      </bottom>
      <diagonal/>
    </border>
    <border>
      <left style="dashed">
        <color rgb="FFFFC000"/>
      </left>
      <right style="dashed">
        <color theme="4"/>
      </right>
      <top style="dashed">
        <color theme="4"/>
      </top>
      <bottom style="dashed">
        <color theme="4"/>
      </bottom>
      <diagonal/>
    </border>
    <border>
      <left style="dashed">
        <color rgb="FFFFC000"/>
      </left>
      <right style="dashed">
        <color theme="4"/>
      </right>
      <top style="dashed">
        <color theme="4"/>
      </top>
      <bottom style="dashed">
        <color theme="9" tint="-0.499984740745262"/>
      </bottom>
      <diagonal/>
    </border>
    <border>
      <left style="dashed">
        <color rgb="FFFFC000"/>
      </left>
      <right/>
      <top style="dashed">
        <color rgb="FFFFC000"/>
      </top>
      <bottom/>
      <diagonal/>
    </border>
    <border>
      <left style="thin">
        <color rgb="FFC00000"/>
      </left>
      <right/>
      <top/>
      <bottom style="dashed">
        <color theme="9" tint="-0.499984740745262"/>
      </bottom>
      <diagonal/>
    </border>
    <border>
      <left/>
      <right/>
      <top/>
      <bottom style="dashed">
        <color theme="9" tint="-0.499984740745262"/>
      </bottom>
      <diagonal/>
    </border>
    <border>
      <left/>
      <right style="dashed">
        <color theme="9" tint="-0.499984740745262"/>
      </right>
      <top/>
      <bottom style="dashed">
        <color theme="9" tint="-0.499984740745262"/>
      </bottom>
      <diagonal/>
    </border>
    <border>
      <left style="dashed">
        <color theme="9" tint="-0.499984740745262"/>
      </left>
      <right/>
      <top/>
      <bottom style="dashed">
        <color theme="9" tint="-0.499984740745262"/>
      </bottom>
      <diagonal/>
    </border>
    <border>
      <left/>
      <right style="thin">
        <color rgb="FFC00000"/>
      </right>
      <top/>
      <bottom style="dashed">
        <color theme="9" tint="-0.499984740745262"/>
      </bottom>
      <diagonal/>
    </border>
  </borders>
  <cellStyleXfs count="5">
    <xf numFmtId="0" fontId="0" fillId="0" borderId="0"/>
    <xf numFmtId="0" fontId="18" fillId="2" borderId="0" applyNumberFormat="0" applyBorder="0" applyAlignment="0" applyProtection="0"/>
    <xf numFmtId="0" fontId="2" fillId="0" borderId="0"/>
    <xf numFmtId="9" fontId="2" fillId="0" borderId="0" applyFont="0">
      <protection locked="0"/>
    </xf>
    <xf numFmtId="0" fontId="1" fillId="0" borderId="0"/>
  </cellStyleXfs>
  <cellXfs count="636">
    <xf numFmtId="0" fontId="0" fillId="0" borderId="0" xfId="0" applyProtection="1">
      <protection locked="0"/>
    </xf>
    <xf numFmtId="0" fontId="6" fillId="0" borderId="1"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0" fontId="4" fillId="3" borderId="3" xfId="0" applyFont="1" applyFill="1" applyBorder="1" applyAlignment="1" applyProtection="1">
      <alignment horizontal="center" vertical="center"/>
      <protection locked="0"/>
    </xf>
    <xf numFmtId="0" fontId="4" fillId="3" borderId="0" xfId="0" applyFont="1" applyFill="1" applyAlignment="1" applyProtection="1">
      <alignment horizontal="center" vertical="center"/>
      <protection locked="0"/>
    </xf>
    <xf numFmtId="0" fontId="5" fillId="3" borderId="4" xfId="0" applyFont="1" applyFill="1" applyBorder="1" applyAlignment="1" applyProtection="1">
      <alignment vertical="center"/>
      <protection locked="0"/>
    </xf>
    <xf numFmtId="0" fontId="7" fillId="4" borderId="1" xfId="0" applyFont="1" applyFill="1" applyBorder="1" applyAlignment="1" applyProtection="1">
      <alignment horizontal="center" vertical="center" wrapText="1"/>
      <protection locked="0"/>
    </xf>
    <xf numFmtId="0" fontId="7" fillId="4" borderId="2" xfId="0" applyFont="1" applyFill="1" applyBorder="1" applyAlignment="1" applyProtection="1">
      <alignment horizontal="center" vertical="center" wrapText="1"/>
      <protection locked="0"/>
    </xf>
    <xf numFmtId="0" fontId="6" fillId="3" borderId="1" xfId="0" applyFont="1" applyFill="1" applyBorder="1" applyAlignment="1" applyProtection="1">
      <alignment horizontal="center" vertical="center"/>
      <protection locked="0"/>
    </xf>
    <xf numFmtId="20" fontId="6" fillId="3" borderId="1" xfId="0" applyNumberFormat="1" applyFont="1" applyFill="1" applyBorder="1" applyAlignment="1" applyProtection="1">
      <alignment horizontal="center" vertical="center"/>
      <protection locked="0"/>
    </xf>
    <xf numFmtId="0" fontId="6" fillId="0" borderId="1" xfId="0" applyFont="1" applyBorder="1" applyAlignment="1" applyProtection="1">
      <alignment horizontal="center" vertical="center"/>
      <protection hidden="1"/>
    </xf>
    <xf numFmtId="0" fontId="6" fillId="3" borderId="1" xfId="0" applyFont="1" applyFill="1" applyBorder="1" applyAlignment="1" applyProtection="1">
      <alignment horizontal="center" vertical="center"/>
      <protection hidden="1"/>
    </xf>
    <xf numFmtId="0" fontId="20" fillId="0" borderId="0" xfId="0" applyFont="1" applyProtection="1">
      <protection locked="0"/>
    </xf>
    <xf numFmtId="0" fontId="12" fillId="5" borderId="5" xfId="0" applyFont="1" applyFill="1" applyBorder="1" applyAlignment="1" applyProtection="1">
      <alignment horizontal="center" vertical="center"/>
      <protection locked="0"/>
    </xf>
    <xf numFmtId="0" fontId="12" fillId="6" borderId="5" xfId="0" applyFont="1" applyFill="1" applyBorder="1" applyAlignment="1" applyProtection="1">
      <alignment horizontal="center" vertical="center"/>
      <protection locked="0"/>
    </xf>
    <xf numFmtId="0" fontId="12" fillId="7" borderId="5" xfId="0" applyFont="1" applyFill="1" applyBorder="1" applyAlignment="1" applyProtection="1">
      <alignment horizontal="center" vertical="center"/>
      <protection locked="0"/>
    </xf>
    <xf numFmtId="0" fontId="12" fillId="8" borderId="6" xfId="0" applyFont="1" applyFill="1" applyBorder="1" applyAlignment="1" applyProtection="1">
      <alignment horizontal="center" vertical="center"/>
      <protection hidden="1"/>
    </xf>
    <xf numFmtId="0" fontId="12" fillId="5" borderId="7" xfId="0" applyFont="1" applyFill="1" applyBorder="1" applyAlignment="1" applyProtection="1">
      <alignment horizontal="center" vertical="center"/>
      <protection hidden="1"/>
    </xf>
    <xf numFmtId="0" fontId="12" fillId="5" borderId="5" xfId="0" applyFont="1" applyFill="1" applyBorder="1" applyAlignment="1" applyProtection="1">
      <alignment horizontal="center" vertical="center"/>
      <protection hidden="1"/>
    </xf>
    <xf numFmtId="0" fontId="12" fillId="6" borderId="5" xfId="0" applyFont="1" applyFill="1" applyBorder="1" applyAlignment="1" applyProtection="1">
      <alignment horizontal="center" vertical="center"/>
      <protection hidden="1"/>
    </xf>
    <xf numFmtId="0" fontId="12" fillId="6" borderId="8" xfId="0" applyFont="1" applyFill="1" applyBorder="1" applyAlignment="1" applyProtection="1">
      <alignment horizontal="center" vertical="center"/>
      <protection hidden="1"/>
    </xf>
    <xf numFmtId="0" fontId="12" fillId="8" borderId="9" xfId="0" applyFont="1" applyFill="1" applyBorder="1" applyAlignment="1" applyProtection="1">
      <alignment horizontal="center" vertical="center"/>
      <protection hidden="1"/>
    </xf>
    <xf numFmtId="0" fontId="12" fillId="7" borderId="7" xfId="0" applyFont="1" applyFill="1" applyBorder="1" applyAlignment="1" applyProtection="1">
      <alignment horizontal="center" vertical="center"/>
      <protection hidden="1"/>
    </xf>
    <xf numFmtId="0" fontId="12" fillId="7" borderId="5" xfId="0" applyFont="1" applyFill="1" applyBorder="1" applyAlignment="1" applyProtection="1">
      <alignment horizontal="center" vertical="center"/>
      <protection hidden="1"/>
    </xf>
    <xf numFmtId="0" fontId="12" fillId="7" borderId="8" xfId="0" applyFont="1" applyFill="1" applyBorder="1" applyAlignment="1" applyProtection="1">
      <alignment horizontal="center" vertical="center"/>
      <protection hidden="1"/>
    </xf>
    <xf numFmtId="0" fontId="21" fillId="9" borderId="10" xfId="0" applyFont="1" applyFill="1" applyBorder="1" applyAlignment="1" applyProtection="1">
      <alignment horizontal="center" vertical="center"/>
      <protection locked="0"/>
    </xf>
    <xf numFmtId="0" fontId="21" fillId="9" borderId="11" xfId="0" applyFont="1" applyFill="1" applyBorder="1" applyAlignment="1" applyProtection="1">
      <alignment horizontal="center" vertical="center"/>
      <protection locked="0"/>
    </xf>
    <xf numFmtId="0" fontId="21" fillId="9" borderId="12" xfId="0" applyFont="1" applyFill="1" applyBorder="1" applyAlignment="1" applyProtection="1">
      <alignment horizontal="center" vertical="center"/>
      <protection locked="0"/>
    </xf>
    <xf numFmtId="0" fontId="13" fillId="6" borderId="1" xfId="0" applyFont="1" applyFill="1" applyBorder="1" applyAlignment="1" applyProtection="1">
      <alignment horizontal="center" vertical="center"/>
      <protection hidden="1"/>
    </xf>
    <xf numFmtId="0" fontId="13" fillId="6" borderId="13" xfId="0" applyFont="1" applyFill="1" applyBorder="1" applyAlignment="1" applyProtection="1">
      <alignment horizontal="center" vertical="center"/>
      <protection hidden="1"/>
    </xf>
    <xf numFmtId="0" fontId="19" fillId="6" borderId="14" xfId="0" applyFont="1" applyFill="1" applyBorder="1" applyAlignment="1" applyProtection="1">
      <alignment horizontal="center"/>
      <protection hidden="1"/>
    </xf>
    <xf numFmtId="0" fontId="0" fillId="7" borderId="7" xfId="0" applyFill="1" applyBorder="1" applyAlignment="1" applyProtection="1">
      <alignment horizontal="center" vertical="center"/>
      <protection hidden="1"/>
    </xf>
    <xf numFmtId="0" fontId="0" fillId="7" borderId="5" xfId="0" applyFill="1" applyBorder="1" applyAlignment="1" applyProtection="1">
      <alignment horizontal="center" vertical="center"/>
      <protection hidden="1"/>
    </xf>
    <xf numFmtId="0" fontId="14" fillId="8" borderId="8" xfId="0" applyFont="1" applyFill="1" applyBorder="1" applyAlignment="1" applyProtection="1">
      <alignment horizontal="center" vertical="center"/>
      <protection hidden="1"/>
    </xf>
    <xf numFmtId="0" fontId="22" fillId="8" borderId="8" xfId="0" applyFont="1" applyFill="1" applyBorder="1" applyAlignment="1" applyProtection="1">
      <alignment horizontal="center" vertical="center"/>
      <protection hidden="1"/>
    </xf>
    <xf numFmtId="0" fontId="13" fillId="5" borderId="15" xfId="0" applyFont="1" applyFill="1" applyBorder="1" applyAlignment="1" applyProtection="1">
      <alignment horizontal="center" vertical="center"/>
      <protection hidden="1"/>
    </xf>
    <xf numFmtId="0" fontId="13" fillId="5" borderId="16" xfId="0" applyFont="1" applyFill="1" applyBorder="1" applyAlignment="1" applyProtection="1">
      <alignment horizontal="center" vertical="center"/>
      <protection hidden="1"/>
    </xf>
    <xf numFmtId="0" fontId="19" fillId="5" borderId="14" xfId="0" applyFont="1" applyFill="1" applyBorder="1" applyAlignment="1" applyProtection="1">
      <alignment horizontal="center"/>
      <protection hidden="1"/>
    </xf>
    <xf numFmtId="0" fontId="13" fillId="9" borderId="17" xfId="0" applyFont="1" applyFill="1" applyBorder="1" applyAlignment="1" applyProtection="1">
      <alignment horizontal="center" vertical="center"/>
      <protection hidden="1"/>
    </xf>
    <xf numFmtId="0" fontId="13" fillId="9" borderId="18" xfId="0" applyFont="1" applyFill="1" applyBorder="1" applyAlignment="1" applyProtection="1">
      <alignment horizontal="center" vertical="center"/>
      <protection hidden="1"/>
    </xf>
    <xf numFmtId="0" fontId="14" fillId="8" borderId="19" xfId="0" applyFont="1" applyFill="1" applyBorder="1" applyAlignment="1" applyProtection="1">
      <alignment horizontal="center" vertical="center"/>
      <protection hidden="1"/>
    </xf>
    <xf numFmtId="0" fontId="8" fillId="0" borderId="1" xfId="0" applyFont="1" applyBorder="1" applyAlignment="1" applyProtection="1">
      <alignment horizontal="center" vertical="center"/>
      <protection hidden="1"/>
    </xf>
    <xf numFmtId="0" fontId="2" fillId="0" borderId="0" xfId="2" applyProtection="1">
      <protection locked="0"/>
    </xf>
    <xf numFmtId="49" fontId="8" fillId="0" borderId="1" xfId="0" applyNumberFormat="1" applyFont="1" applyBorder="1" applyAlignment="1" applyProtection="1">
      <alignment horizontal="center" vertical="center"/>
      <protection hidden="1"/>
    </xf>
    <xf numFmtId="49" fontId="6" fillId="3" borderId="1" xfId="0" applyNumberFormat="1" applyFont="1" applyFill="1" applyBorder="1" applyAlignment="1" applyProtection="1">
      <alignment horizontal="center" vertical="center"/>
      <protection hidden="1"/>
    </xf>
    <xf numFmtId="0" fontId="6" fillId="0" borderId="2" xfId="0" applyFont="1" applyBorder="1" applyAlignment="1" applyProtection="1">
      <alignment horizontal="center" vertical="center"/>
      <protection locked="0"/>
    </xf>
    <xf numFmtId="0" fontId="6" fillId="0" borderId="1" xfId="1" applyNumberFormat="1" applyFont="1" applyFill="1" applyBorder="1" applyAlignment="1" applyProtection="1">
      <alignment horizontal="center" vertical="center"/>
      <protection locked="0"/>
    </xf>
    <xf numFmtId="0" fontId="6" fillId="0" borderId="2" xfId="1" applyNumberFormat="1" applyFont="1" applyFill="1" applyBorder="1" applyAlignment="1" applyProtection="1">
      <alignment horizontal="center" vertical="center"/>
      <protection locked="0"/>
    </xf>
    <xf numFmtId="0" fontId="6" fillId="0" borderId="2" xfId="1" applyNumberFormat="1" applyFont="1" applyFill="1" applyBorder="1" applyAlignment="1" applyProtection="1">
      <alignment horizontal="center" vertical="center"/>
      <protection hidden="1"/>
    </xf>
    <xf numFmtId="49" fontId="15" fillId="0" borderId="20" xfId="0" applyNumberFormat="1" applyFont="1" applyBorder="1" applyAlignment="1" applyProtection="1">
      <alignment horizontal="center" vertical="center"/>
      <protection locked="0"/>
    </xf>
    <xf numFmtId="49" fontId="15" fillId="9" borderId="21" xfId="0" applyNumberFormat="1" applyFont="1" applyFill="1" applyBorder="1" applyAlignment="1" applyProtection="1">
      <alignment horizontal="center" vertical="center"/>
      <protection locked="0"/>
    </xf>
    <xf numFmtId="0" fontId="15" fillId="5" borderId="22" xfId="0" applyFont="1" applyFill="1" applyBorder="1" applyAlignment="1" applyProtection="1">
      <alignment horizontal="center" vertical="center"/>
      <protection locked="0"/>
    </xf>
    <xf numFmtId="0" fontId="15" fillId="6" borderId="22" xfId="0" applyFont="1" applyFill="1" applyBorder="1" applyAlignment="1" applyProtection="1">
      <alignment horizontal="center" vertical="center"/>
      <protection locked="0"/>
    </xf>
    <xf numFmtId="0" fontId="15" fillId="8" borderId="22" xfId="0" applyFont="1" applyFill="1" applyBorder="1" applyAlignment="1" applyProtection="1">
      <alignment horizontal="center" vertical="center"/>
      <protection hidden="1"/>
    </xf>
    <xf numFmtId="0" fontId="15" fillId="7" borderId="22" xfId="0" applyFont="1" applyFill="1" applyBorder="1" applyAlignment="1" applyProtection="1">
      <alignment horizontal="center" vertical="center"/>
      <protection locked="0"/>
    </xf>
    <xf numFmtId="0" fontId="15" fillId="8" borderId="12" xfId="0" applyFont="1" applyFill="1" applyBorder="1" applyAlignment="1" applyProtection="1">
      <alignment horizontal="center" vertical="center"/>
      <protection hidden="1"/>
    </xf>
    <xf numFmtId="0" fontId="15" fillId="5" borderId="1" xfId="0" applyFont="1" applyFill="1" applyBorder="1" applyAlignment="1" applyProtection="1">
      <alignment horizontal="center" vertical="center"/>
      <protection locked="0"/>
    </xf>
    <xf numFmtId="0" fontId="15" fillId="6" borderId="1" xfId="0" applyFont="1" applyFill="1" applyBorder="1" applyAlignment="1" applyProtection="1">
      <alignment horizontal="center" vertical="center"/>
      <protection locked="0"/>
    </xf>
    <xf numFmtId="0" fontId="15" fillId="8" borderId="1" xfId="0" applyFont="1" applyFill="1" applyBorder="1" applyAlignment="1" applyProtection="1">
      <alignment horizontal="center" vertical="center"/>
      <protection hidden="1"/>
    </xf>
    <xf numFmtId="0" fontId="15" fillId="7" borderId="1" xfId="0" applyFont="1" applyFill="1" applyBorder="1" applyAlignment="1" applyProtection="1">
      <alignment horizontal="center" vertical="center"/>
      <protection locked="0"/>
    </xf>
    <xf numFmtId="0" fontId="15" fillId="8" borderId="23" xfId="0" applyFont="1" applyFill="1" applyBorder="1" applyAlignment="1" applyProtection="1">
      <alignment horizontal="center" vertical="center"/>
      <protection hidden="1"/>
    </xf>
    <xf numFmtId="49" fontId="15" fillId="9" borderId="24" xfId="0" applyNumberFormat="1" applyFont="1" applyFill="1" applyBorder="1" applyAlignment="1" applyProtection="1">
      <alignment horizontal="center" vertical="center"/>
      <protection locked="0"/>
    </xf>
    <xf numFmtId="49" fontId="15" fillId="0" borderId="2" xfId="0" applyNumberFormat="1" applyFont="1" applyBorder="1" applyAlignment="1" applyProtection="1">
      <alignment horizontal="center" vertical="center"/>
      <protection locked="0"/>
    </xf>
    <xf numFmtId="0" fontId="8" fillId="3" borderId="1" xfId="2" applyFont="1" applyFill="1" applyBorder="1" applyAlignment="1" applyProtection="1">
      <alignment horizontal="center"/>
      <protection locked="0"/>
    </xf>
    <xf numFmtId="0" fontId="8" fillId="3" borderId="1" xfId="2" applyFont="1" applyFill="1" applyBorder="1" applyAlignment="1" applyProtection="1">
      <alignment horizontal="center"/>
      <protection hidden="1"/>
    </xf>
    <xf numFmtId="49" fontId="6" fillId="0" borderId="1" xfId="2" applyNumberFormat="1" applyFont="1" applyBorder="1" applyAlignment="1" applyProtection="1">
      <alignment horizontal="center" vertical="center"/>
      <protection locked="0"/>
    </xf>
    <xf numFmtId="0" fontId="6" fillId="3" borderId="1" xfId="2" applyFont="1" applyFill="1" applyBorder="1" applyAlignment="1" applyProtection="1">
      <alignment horizontal="center" vertical="center"/>
      <protection locked="0"/>
    </xf>
    <xf numFmtId="49" fontId="6" fillId="3" borderId="1" xfId="2" applyNumberFormat="1" applyFont="1" applyFill="1" applyBorder="1" applyAlignment="1" applyProtection="1">
      <alignment horizontal="center" vertical="top"/>
      <protection locked="0"/>
    </xf>
    <xf numFmtId="0" fontId="15" fillId="10" borderId="1" xfId="2" applyFont="1" applyFill="1" applyBorder="1" applyAlignment="1" applyProtection="1">
      <alignment horizontal="center"/>
      <protection locked="0"/>
    </xf>
    <xf numFmtId="0" fontId="7" fillId="9" borderId="1" xfId="0" applyFont="1" applyFill="1" applyBorder="1" applyAlignment="1" applyProtection="1">
      <alignment horizontal="center" vertical="center" wrapText="1"/>
      <protection locked="0"/>
    </xf>
    <xf numFmtId="0" fontId="6" fillId="9" borderId="1" xfId="0" applyFont="1" applyFill="1" applyBorder="1" applyAlignment="1" applyProtection="1">
      <alignment horizontal="center" vertical="center"/>
      <protection hidden="1"/>
    </xf>
    <xf numFmtId="0" fontId="23" fillId="0" borderId="1" xfId="0" applyFont="1" applyBorder="1" applyAlignment="1" applyProtection="1">
      <alignment horizontal="center" vertical="center"/>
      <protection locked="0"/>
    </xf>
    <xf numFmtId="2" fontId="23" fillId="0" borderId="1" xfId="0" applyNumberFormat="1" applyFont="1" applyBorder="1" applyAlignment="1" applyProtection="1">
      <alignment horizontal="center" vertical="center"/>
      <protection hidden="1"/>
    </xf>
    <xf numFmtId="0" fontId="21" fillId="9" borderId="21" xfId="0" applyFont="1" applyFill="1" applyBorder="1" applyAlignment="1" applyProtection="1">
      <alignment horizontal="center" vertical="center"/>
      <protection locked="0"/>
    </xf>
    <xf numFmtId="0" fontId="21" fillId="9" borderId="22" xfId="0" applyFont="1" applyFill="1" applyBorder="1" applyAlignment="1" applyProtection="1">
      <alignment horizontal="center" vertical="center"/>
      <protection locked="0"/>
    </xf>
    <xf numFmtId="49" fontId="8" fillId="0" borderId="1" xfId="0" applyNumberFormat="1" applyFont="1" applyBorder="1" applyAlignment="1" applyProtection="1">
      <alignment horizontal="center" vertical="center"/>
      <protection locked="0"/>
    </xf>
    <xf numFmtId="164" fontId="24" fillId="0" borderId="1" xfId="0" applyNumberFormat="1" applyFont="1" applyBorder="1" applyAlignment="1" applyProtection="1">
      <alignment horizontal="center" vertical="center"/>
      <protection hidden="1"/>
    </xf>
    <xf numFmtId="0" fontId="6" fillId="9" borderId="1" xfId="0" applyFont="1" applyFill="1" applyBorder="1" applyAlignment="1" applyProtection="1">
      <alignment horizontal="center" vertical="center"/>
      <protection locked="0"/>
    </xf>
    <xf numFmtId="0" fontId="15" fillId="6" borderId="1" xfId="2" applyFont="1" applyFill="1" applyBorder="1" applyAlignment="1" applyProtection="1">
      <alignment horizontal="center"/>
      <protection locked="0"/>
    </xf>
    <xf numFmtId="0" fontId="15" fillId="7" borderId="1" xfId="2" applyFont="1" applyFill="1" applyBorder="1" applyAlignment="1" applyProtection="1">
      <alignment horizontal="center"/>
      <protection locked="0"/>
    </xf>
    <xf numFmtId="0" fontId="15" fillId="12" borderId="1" xfId="2" applyFont="1" applyFill="1" applyBorder="1" applyAlignment="1" applyProtection="1">
      <alignment horizontal="center"/>
      <protection locked="0"/>
    </xf>
    <xf numFmtId="0" fontId="0" fillId="0" borderId="1" xfId="0" applyBorder="1" applyProtection="1">
      <protection locked="0"/>
    </xf>
    <xf numFmtId="9" fontId="8" fillId="0" borderId="0" xfId="3" applyFont="1" applyAlignment="1" applyProtection="1">
      <alignment horizontal="center" vertical="center"/>
      <protection hidden="1"/>
    </xf>
    <xf numFmtId="0" fontId="7" fillId="4" borderId="1" xfId="0" applyFont="1" applyFill="1"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16" fillId="0" borderId="0" xfId="0" applyFont="1" applyAlignment="1" applyProtection="1">
      <alignment horizontal="center" vertical="center"/>
      <protection locked="0"/>
    </xf>
    <xf numFmtId="0" fontId="27" fillId="13" borderId="25" xfId="0" applyFont="1" applyFill="1" applyBorder="1" applyAlignment="1" applyProtection="1">
      <alignment horizontal="left" vertical="center" wrapText="1"/>
      <protection hidden="1"/>
    </xf>
    <xf numFmtId="0" fontId="27" fillId="13" borderId="26" xfId="0" applyFont="1" applyFill="1" applyBorder="1" applyAlignment="1" applyProtection="1">
      <alignment horizontal="left" vertical="center" wrapText="1"/>
      <protection hidden="1"/>
    </xf>
    <xf numFmtId="0" fontId="27" fillId="13" borderId="27" xfId="0" applyFont="1" applyFill="1" applyBorder="1" applyAlignment="1" applyProtection="1">
      <alignment horizontal="center" vertical="center" wrapText="1"/>
      <protection hidden="1"/>
    </xf>
    <xf numFmtId="0" fontId="27" fillId="13" borderId="26" xfId="0" applyFont="1" applyFill="1" applyBorder="1" applyAlignment="1" applyProtection="1">
      <alignment horizontal="center" vertical="center" wrapText="1"/>
      <protection hidden="1"/>
    </xf>
    <xf numFmtId="0" fontId="27" fillId="13" borderId="28" xfId="0" applyFont="1" applyFill="1" applyBorder="1" applyAlignment="1" applyProtection="1">
      <alignment horizontal="center" vertical="center" wrapText="1"/>
      <protection hidden="1"/>
    </xf>
    <xf numFmtId="0" fontId="27" fillId="13" borderId="29" xfId="0" applyFont="1" applyFill="1" applyBorder="1" applyAlignment="1" applyProtection="1">
      <alignment horizontal="center" vertical="center" wrapText="1"/>
      <protection hidden="1"/>
    </xf>
    <xf numFmtId="0" fontId="0" fillId="0" borderId="0" xfId="0" applyProtection="1">
      <protection hidden="1"/>
    </xf>
    <xf numFmtId="0" fontId="28" fillId="13" borderId="30" xfId="0" applyFont="1" applyFill="1" applyBorder="1" applyAlignment="1" applyProtection="1">
      <alignment vertical="center"/>
      <protection hidden="1"/>
    </xf>
    <xf numFmtId="0" fontId="28" fillId="13" borderId="0" xfId="0" applyFont="1" applyFill="1" applyAlignment="1" applyProtection="1">
      <alignment vertical="center"/>
      <protection hidden="1"/>
    </xf>
    <xf numFmtId="0" fontId="28" fillId="5" borderId="0" xfId="0" applyFont="1" applyFill="1" applyAlignment="1" applyProtection="1">
      <alignment horizontal="center" vertical="center" wrapText="1"/>
      <protection hidden="1"/>
    </xf>
    <xf numFmtId="20" fontId="28" fillId="13" borderId="0" xfId="0" applyNumberFormat="1" applyFont="1" applyFill="1" applyAlignment="1" applyProtection="1">
      <alignment horizontal="center" vertical="center"/>
      <protection hidden="1"/>
    </xf>
    <xf numFmtId="15" fontId="29" fillId="5" borderId="0" xfId="0" applyNumberFormat="1" applyFont="1" applyFill="1" applyAlignment="1" applyProtection="1">
      <alignment horizontal="center"/>
      <protection hidden="1"/>
    </xf>
    <xf numFmtId="0" fontId="29" fillId="0" borderId="3" xfId="0" applyFont="1" applyBorder="1" applyAlignment="1" applyProtection="1">
      <alignment horizontal="center"/>
      <protection hidden="1"/>
    </xf>
    <xf numFmtId="0" fontId="29" fillId="0" borderId="0" xfId="0" applyFont="1" applyAlignment="1" applyProtection="1">
      <alignment horizontal="center"/>
      <protection hidden="1"/>
    </xf>
    <xf numFmtId="0" fontId="29" fillId="0" borderId="31" xfId="0" applyFont="1" applyBorder="1" applyAlignment="1" applyProtection="1">
      <alignment horizontal="center"/>
      <protection hidden="1"/>
    </xf>
    <xf numFmtId="20" fontId="30" fillId="0" borderId="32" xfId="0" applyNumberFormat="1" applyFont="1" applyBorder="1" applyAlignment="1" applyProtection="1">
      <alignment horizontal="center" vertical="center"/>
      <protection hidden="1"/>
    </xf>
    <xf numFmtId="0" fontId="31" fillId="0" borderId="32" xfId="0" applyFont="1" applyBorder="1" applyAlignment="1" applyProtection="1">
      <alignment horizontal="center" vertical="center" wrapText="1"/>
      <protection hidden="1"/>
    </xf>
    <xf numFmtId="0" fontId="32" fillId="13" borderId="33" xfId="0" applyFont="1" applyFill="1" applyBorder="1" applyAlignment="1" applyProtection="1">
      <alignment vertical="center"/>
      <protection hidden="1"/>
    </xf>
    <xf numFmtId="0" fontId="28" fillId="13" borderId="34" xfId="0" applyFont="1" applyFill="1" applyBorder="1" applyAlignment="1" applyProtection="1">
      <alignment vertical="center"/>
      <protection hidden="1"/>
    </xf>
    <xf numFmtId="0" fontId="28" fillId="5" borderId="34" xfId="0" applyFont="1" applyFill="1" applyBorder="1" applyAlignment="1" applyProtection="1">
      <alignment horizontal="center" vertical="center" wrapText="1"/>
      <protection hidden="1"/>
    </xf>
    <xf numFmtId="20" fontId="28" fillId="13" borderId="34" xfId="0" applyNumberFormat="1" applyFont="1" applyFill="1" applyBorder="1" applyAlignment="1" applyProtection="1">
      <alignment horizontal="center" vertical="center"/>
      <protection hidden="1"/>
    </xf>
    <xf numFmtId="15" fontId="29" fillId="5" borderId="34" xfId="0" applyNumberFormat="1" applyFont="1" applyFill="1" applyBorder="1" applyAlignment="1" applyProtection="1">
      <alignment horizontal="center"/>
      <protection hidden="1"/>
    </xf>
    <xf numFmtId="0" fontId="29" fillId="0" borderId="35" xfId="0" applyFont="1" applyBorder="1" applyAlignment="1" applyProtection="1">
      <alignment horizontal="center"/>
      <protection hidden="1"/>
    </xf>
    <xf numFmtId="0" fontId="29" fillId="0" borderId="34" xfId="0" applyFont="1" applyBorder="1" applyAlignment="1" applyProtection="1">
      <alignment horizontal="center"/>
      <protection hidden="1"/>
    </xf>
    <xf numFmtId="0" fontId="29" fillId="0" borderId="36" xfId="0" applyFont="1" applyBorder="1" applyAlignment="1" applyProtection="1">
      <alignment horizontal="center"/>
      <protection hidden="1"/>
    </xf>
    <xf numFmtId="0" fontId="31" fillId="0" borderId="37" xfId="0" applyFont="1" applyBorder="1" applyAlignment="1" applyProtection="1">
      <alignment horizontal="center" vertical="center" wrapText="1"/>
      <protection hidden="1"/>
    </xf>
    <xf numFmtId="0" fontId="32" fillId="14" borderId="33" xfId="0" applyFont="1" applyFill="1" applyBorder="1" applyAlignment="1" applyProtection="1">
      <alignment vertical="center"/>
      <protection hidden="1"/>
    </xf>
    <xf numFmtId="0" fontId="32" fillId="14" borderId="34" xfId="0" applyFont="1" applyFill="1" applyBorder="1" applyAlignment="1" applyProtection="1">
      <alignment vertical="center"/>
      <protection hidden="1"/>
    </xf>
    <xf numFmtId="0" fontId="33" fillId="14" borderId="34" xfId="0" applyFont="1" applyFill="1" applyBorder="1" applyAlignment="1" applyProtection="1">
      <alignment horizontal="center" vertical="center"/>
      <protection hidden="1"/>
    </xf>
    <xf numFmtId="0" fontId="33" fillId="14" borderId="34" xfId="0" applyFont="1" applyFill="1" applyBorder="1" applyAlignment="1" applyProtection="1">
      <alignment vertical="center"/>
      <protection hidden="1"/>
    </xf>
    <xf numFmtId="0" fontId="19" fillId="13" borderId="34" xfId="0" applyFont="1" applyFill="1" applyBorder="1" applyAlignment="1" applyProtection="1">
      <alignment horizontal="center" vertical="center"/>
      <protection hidden="1"/>
    </xf>
    <xf numFmtId="0" fontId="0" fillId="13" borderId="37" xfId="0" applyFill="1" applyBorder="1" applyProtection="1">
      <protection hidden="1"/>
    </xf>
    <xf numFmtId="0" fontId="32" fillId="14" borderId="38" xfId="0" applyFont="1" applyFill="1" applyBorder="1" applyAlignment="1" applyProtection="1">
      <alignment vertical="center"/>
      <protection hidden="1"/>
    </xf>
    <xf numFmtId="0" fontId="32" fillId="14" borderId="39" xfId="0" applyFont="1" applyFill="1" applyBorder="1" applyAlignment="1" applyProtection="1">
      <alignment vertical="center"/>
      <protection hidden="1"/>
    </xf>
    <xf numFmtId="0" fontId="33" fillId="14" borderId="39" xfId="0" applyFont="1" applyFill="1" applyBorder="1" applyAlignment="1" applyProtection="1">
      <alignment horizontal="center" vertical="center"/>
      <protection hidden="1"/>
    </xf>
    <xf numFmtId="0" fontId="33" fillId="14" borderId="39" xfId="0" applyFont="1" applyFill="1" applyBorder="1" applyAlignment="1" applyProtection="1">
      <alignment vertical="center"/>
      <protection hidden="1"/>
    </xf>
    <xf numFmtId="0" fontId="34" fillId="14" borderId="38" xfId="0" applyFont="1" applyFill="1" applyBorder="1" applyAlignment="1" applyProtection="1">
      <alignment vertical="center" wrapText="1"/>
      <protection hidden="1"/>
    </xf>
    <xf numFmtId="0" fontId="34" fillId="14" borderId="39" xfId="0" applyFont="1" applyFill="1" applyBorder="1" applyAlignment="1" applyProtection="1">
      <alignment vertical="center" wrapText="1"/>
      <protection hidden="1"/>
    </xf>
    <xf numFmtId="0" fontId="34" fillId="14" borderId="39" xfId="0" applyFont="1" applyFill="1" applyBorder="1" applyAlignment="1" applyProtection="1">
      <alignment horizontal="center" vertical="center" wrapText="1"/>
      <protection hidden="1"/>
    </xf>
    <xf numFmtId="0" fontId="34" fillId="14" borderId="40" xfId="0" applyFont="1" applyFill="1" applyBorder="1" applyAlignment="1" applyProtection="1">
      <alignment horizontal="center" vertical="center" wrapText="1"/>
      <protection hidden="1"/>
    </xf>
    <xf numFmtId="0" fontId="34" fillId="14" borderId="19" xfId="0" applyFont="1" applyFill="1" applyBorder="1" applyAlignment="1" applyProtection="1">
      <alignment horizontal="center" vertical="center" wrapText="1"/>
      <protection hidden="1"/>
    </xf>
    <xf numFmtId="0" fontId="28" fillId="14" borderId="30" xfId="0" applyFont="1" applyFill="1" applyBorder="1" applyAlignment="1" applyProtection="1">
      <alignment vertical="center"/>
      <protection hidden="1"/>
    </xf>
    <xf numFmtId="0" fontId="28" fillId="14" borderId="0" xfId="0" applyFont="1" applyFill="1" applyAlignment="1" applyProtection="1">
      <alignment vertical="center"/>
      <protection hidden="1"/>
    </xf>
    <xf numFmtId="0" fontId="28" fillId="6" borderId="0" xfId="0" applyFont="1" applyFill="1" applyAlignment="1" applyProtection="1">
      <alignment horizontal="center" vertical="center"/>
      <protection hidden="1"/>
    </xf>
    <xf numFmtId="20" fontId="28" fillId="14" borderId="0" xfId="0" applyNumberFormat="1" applyFont="1" applyFill="1" applyAlignment="1" applyProtection="1">
      <alignment horizontal="center" vertical="center"/>
      <protection hidden="1"/>
    </xf>
    <xf numFmtId="0" fontId="28" fillId="6" borderId="32" xfId="0" applyFont="1" applyFill="1" applyBorder="1" applyAlignment="1" applyProtection="1">
      <alignment horizontal="center" vertical="center"/>
      <protection hidden="1"/>
    </xf>
    <xf numFmtId="0" fontId="28" fillId="0" borderId="0" xfId="0" applyFont="1" applyAlignment="1" applyProtection="1">
      <alignment horizontal="center" vertical="center"/>
      <protection hidden="1"/>
    </xf>
    <xf numFmtId="0" fontId="28" fillId="0" borderId="32" xfId="0" applyFont="1" applyBorder="1" applyAlignment="1" applyProtection="1">
      <alignment horizontal="center" vertical="center"/>
      <protection hidden="1"/>
    </xf>
    <xf numFmtId="0" fontId="32" fillId="15" borderId="32" xfId="0" applyFont="1" applyFill="1" applyBorder="1" applyAlignment="1" applyProtection="1">
      <alignment horizontal="center" vertical="center"/>
      <protection hidden="1"/>
    </xf>
    <xf numFmtId="0" fontId="35" fillId="14" borderId="39" xfId="0" applyFont="1" applyFill="1" applyBorder="1" applyAlignment="1" applyProtection="1">
      <alignment horizontal="center" vertical="center"/>
      <protection hidden="1"/>
    </xf>
    <xf numFmtId="0" fontId="33" fillId="14" borderId="40" xfId="0" applyFont="1" applyFill="1" applyBorder="1" applyAlignment="1" applyProtection="1">
      <alignment vertical="center"/>
      <protection hidden="1"/>
    </xf>
    <xf numFmtId="0" fontId="36" fillId="0" borderId="0" xfId="0" applyFont="1" applyAlignment="1" applyProtection="1">
      <alignment vertical="center"/>
      <protection hidden="1"/>
    </xf>
    <xf numFmtId="0" fontId="34" fillId="14" borderId="38" xfId="0" applyFont="1" applyFill="1" applyBorder="1" applyAlignment="1" applyProtection="1">
      <alignment horizontal="center" vertical="center" wrapText="1"/>
      <protection hidden="1"/>
    </xf>
    <xf numFmtId="0" fontId="28" fillId="16" borderId="0" xfId="0" applyFont="1" applyFill="1" applyAlignment="1" applyProtection="1">
      <alignment horizontal="center" vertical="center"/>
      <protection hidden="1"/>
    </xf>
    <xf numFmtId="0" fontId="28" fillId="0" borderId="30" xfId="0" applyFont="1" applyBorder="1" applyAlignment="1" applyProtection="1">
      <alignment horizontal="center" vertical="center"/>
      <protection hidden="1"/>
    </xf>
    <xf numFmtId="0" fontId="32" fillId="0" borderId="32" xfId="0" applyFont="1" applyBorder="1" applyAlignment="1" applyProtection="1">
      <alignment horizontal="center" vertical="center"/>
      <protection hidden="1"/>
    </xf>
    <xf numFmtId="0" fontId="28" fillId="16" borderId="32" xfId="0" applyFont="1" applyFill="1" applyBorder="1" applyAlignment="1" applyProtection="1">
      <alignment horizontal="center" vertical="center"/>
      <protection hidden="1"/>
    </xf>
    <xf numFmtId="0" fontId="8" fillId="17" borderId="1" xfId="0" applyFont="1" applyFill="1" applyBorder="1" applyAlignment="1" applyProtection="1">
      <alignment horizontal="center" vertical="center"/>
      <protection locked="0"/>
    </xf>
    <xf numFmtId="0" fontId="6" fillId="17" borderId="1" xfId="0" applyFont="1" applyFill="1" applyBorder="1" applyAlignment="1" applyProtection="1">
      <alignment horizontal="center" vertical="center"/>
      <protection locked="0"/>
    </xf>
    <xf numFmtId="49" fontId="6" fillId="17" borderId="1" xfId="0" applyNumberFormat="1" applyFont="1" applyFill="1" applyBorder="1" applyAlignment="1" applyProtection="1">
      <alignment horizontal="center" vertical="center"/>
      <protection locked="0"/>
    </xf>
    <xf numFmtId="49" fontId="8" fillId="17" borderId="1" xfId="0" applyNumberFormat="1" applyFont="1" applyFill="1" applyBorder="1" applyAlignment="1" applyProtection="1">
      <alignment horizontal="center" vertical="center"/>
      <protection locked="0"/>
    </xf>
    <xf numFmtId="0" fontId="8" fillId="9" borderId="13" xfId="0" applyFont="1" applyFill="1" applyBorder="1" applyAlignment="1" applyProtection="1">
      <alignment horizontal="center" vertical="center"/>
      <protection locked="0"/>
    </xf>
    <xf numFmtId="0" fontId="8" fillId="9" borderId="2" xfId="0" applyFont="1" applyFill="1" applyBorder="1" applyAlignment="1" applyProtection="1">
      <alignment horizontal="center" vertical="center"/>
      <protection locked="0"/>
    </xf>
    <xf numFmtId="0" fontId="25" fillId="11" borderId="1" xfId="0" applyFont="1" applyFill="1" applyBorder="1" applyAlignment="1" applyProtection="1">
      <alignment horizontal="center" vertical="center"/>
      <protection locked="0"/>
    </xf>
    <xf numFmtId="1" fontId="0" fillId="0" borderId="0" xfId="0" applyNumberFormat="1" applyProtection="1">
      <protection locked="0"/>
    </xf>
    <xf numFmtId="0" fontId="7" fillId="0" borderId="1" xfId="0" applyFont="1" applyBorder="1" applyAlignment="1" applyProtection="1">
      <alignment vertical="center"/>
      <protection locked="0"/>
    </xf>
    <xf numFmtId="0" fontId="41" fillId="9" borderId="57" xfId="0" applyFont="1" applyFill="1" applyBorder="1" applyAlignment="1" applyProtection="1">
      <alignment horizontal="center" vertical="center" wrapText="1"/>
      <protection hidden="1"/>
    </xf>
    <xf numFmtId="0" fontId="16" fillId="0" borderId="57" xfId="0" applyFont="1" applyBorder="1" applyAlignment="1" applyProtection="1">
      <alignment horizontal="center" vertical="center"/>
      <protection hidden="1"/>
    </xf>
    <xf numFmtId="16" fontId="16" fillId="0" borderId="57" xfId="0" applyNumberFormat="1" applyFont="1" applyBorder="1" applyAlignment="1" applyProtection="1">
      <alignment horizontal="center" vertical="center"/>
      <protection hidden="1"/>
    </xf>
    <xf numFmtId="1" fontId="16" fillId="0" borderId="57" xfId="0" applyNumberFormat="1" applyFont="1" applyBorder="1" applyAlignment="1" applyProtection="1">
      <alignment horizontal="center" vertical="center"/>
      <protection hidden="1"/>
    </xf>
    <xf numFmtId="2" fontId="16" fillId="0" borderId="57" xfId="0" applyNumberFormat="1" applyFont="1" applyBorder="1" applyAlignment="1" applyProtection="1">
      <alignment horizontal="center" vertical="center"/>
      <protection hidden="1"/>
    </xf>
    <xf numFmtId="0" fontId="41" fillId="9" borderId="64" xfId="0" applyFont="1" applyFill="1" applyBorder="1" applyAlignment="1" applyProtection="1">
      <alignment horizontal="center" vertical="center" wrapText="1"/>
      <protection hidden="1"/>
    </xf>
    <xf numFmtId="0" fontId="16" fillId="0" borderId="63" xfId="0" applyFont="1" applyBorder="1" applyAlignment="1" applyProtection="1">
      <alignment horizontal="center" vertical="center"/>
      <protection hidden="1"/>
    </xf>
    <xf numFmtId="1" fontId="16" fillId="0" borderId="64" xfId="0" applyNumberFormat="1" applyFont="1" applyBorder="1" applyAlignment="1" applyProtection="1">
      <alignment horizontal="center" vertical="center"/>
      <protection hidden="1"/>
    </xf>
    <xf numFmtId="0" fontId="16" fillId="0" borderId="65" xfId="0" applyFont="1" applyBorder="1" applyAlignment="1" applyProtection="1">
      <alignment horizontal="center" vertical="center"/>
      <protection hidden="1"/>
    </xf>
    <xf numFmtId="16" fontId="16" fillId="0" borderId="66" xfId="0" applyNumberFormat="1" applyFont="1" applyBorder="1" applyAlignment="1" applyProtection="1">
      <alignment horizontal="center" vertical="center"/>
      <protection hidden="1"/>
    </xf>
    <xf numFmtId="0" fontId="16" fillId="0" borderId="66" xfId="0" applyFont="1" applyBorder="1" applyAlignment="1" applyProtection="1">
      <alignment horizontal="center" vertical="center"/>
      <protection hidden="1"/>
    </xf>
    <xf numFmtId="1" fontId="16" fillId="0" borderId="66" xfId="0" applyNumberFormat="1" applyFont="1" applyBorder="1" applyAlignment="1" applyProtection="1">
      <alignment horizontal="center" vertical="center"/>
      <protection hidden="1"/>
    </xf>
    <xf numFmtId="2" fontId="16" fillId="0" borderId="66" xfId="0" applyNumberFormat="1" applyFont="1" applyBorder="1" applyAlignment="1" applyProtection="1">
      <alignment horizontal="center" vertical="center"/>
      <protection hidden="1"/>
    </xf>
    <xf numFmtId="1" fontId="16" fillId="0" borderId="67" xfId="0" applyNumberFormat="1" applyFont="1" applyBorder="1" applyAlignment="1" applyProtection="1">
      <alignment horizontal="center" vertical="center"/>
      <protection hidden="1"/>
    </xf>
    <xf numFmtId="16" fontId="0" fillId="0" borderId="0" xfId="0" applyNumberFormat="1" applyProtection="1">
      <protection hidden="1"/>
    </xf>
    <xf numFmtId="0" fontId="48" fillId="21" borderId="57" xfId="0" applyFont="1" applyFill="1" applyBorder="1" applyAlignment="1" applyProtection="1">
      <alignment horizontal="center" vertical="center" wrapText="1"/>
      <protection hidden="1"/>
    </xf>
    <xf numFmtId="1" fontId="0" fillId="0" borderId="0" xfId="0" applyNumberFormat="1" applyProtection="1">
      <protection hidden="1"/>
    </xf>
    <xf numFmtId="0" fontId="6" fillId="0" borderId="69" xfId="0" applyFont="1" applyBorder="1" applyAlignment="1" applyProtection="1">
      <alignment horizontal="center" vertical="center" wrapText="1"/>
      <protection hidden="1"/>
    </xf>
    <xf numFmtId="0" fontId="6" fillId="3" borderId="69" xfId="0" applyFont="1" applyFill="1" applyBorder="1" applyAlignment="1" applyProtection="1">
      <alignment horizontal="center" vertical="center" wrapText="1"/>
      <protection hidden="1"/>
    </xf>
    <xf numFmtId="0" fontId="1" fillId="0" borderId="0" xfId="4"/>
    <xf numFmtId="0" fontId="1" fillId="0" borderId="0" xfId="4" applyProtection="1">
      <protection hidden="1"/>
    </xf>
    <xf numFmtId="0" fontId="49" fillId="22" borderId="84" xfId="4" applyFont="1" applyFill="1" applyBorder="1" applyAlignment="1" applyProtection="1">
      <alignment horizontal="center" vertical="center" wrapText="1"/>
      <protection hidden="1"/>
    </xf>
    <xf numFmtId="0" fontId="49" fillId="22" borderId="85" xfId="4" applyFont="1" applyFill="1" applyBorder="1" applyAlignment="1" applyProtection="1">
      <alignment horizontal="center" vertical="center" wrapText="1"/>
      <protection hidden="1"/>
    </xf>
    <xf numFmtId="0" fontId="49" fillId="23" borderId="85" xfId="4" applyFont="1" applyFill="1" applyBorder="1" applyAlignment="1" applyProtection="1">
      <alignment horizontal="center" vertical="center" wrapText="1"/>
      <protection hidden="1"/>
    </xf>
    <xf numFmtId="0" fontId="50" fillId="24" borderId="85" xfId="4" applyFont="1" applyFill="1" applyBorder="1" applyAlignment="1" applyProtection="1">
      <alignment horizontal="center" vertical="center" wrapText="1"/>
      <protection hidden="1"/>
    </xf>
    <xf numFmtId="0" fontId="51" fillId="7" borderId="85" xfId="4" applyFont="1" applyFill="1" applyBorder="1" applyAlignment="1" applyProtection="1">
      <alignment horizontal="center" vertical="center" wrapText="1"/>
      <protection hidden="1"/>
    </xf>
    <xf numFmtId="0" fontId="49" fillId="22" borderId="86" xfId="4" applyFont="1" applyFill="1" applyBorder="1" applyAlignment="1" applyProtection="1">
      <alignment horizontal="center" vertical="center" wrapText="1"/>
      <protection hidden="1"/>
    </xf>
    <xf numFmtId="0" fontId="49" fillId="22" borderId="87" xfId="4" applyFont="1" applyFill="1" applyBorder="1" applyAlignment="1" applyProtection="1">
      <alignment horizontal="center" vertical="center" wrapText="1"/>
      <protection hidden="1"/>
    </xf>
    <xf numFmtId="0" fontId="49" fillId="22" borderId="87" xfId="4" applyFont="1" applyFill="1" applyBorder="1" applyAlignment="1" applyProtection="1">
      <alignment horizontal="center" vertical="center" wrapText="1" indent="1"/>
      <protection hidden="1"/>
    </xf>
    <xf numFmtId="0" fontId="49" fillId="22" borderId="88" xfId="4" applyFont="1" applyFill="1" applyBorder="1" applyAlignment="1" applyProtection="1">
      <alignment horizontal="center" vertical="center" wrapText="1"/>
      <protection hidden="1"/>
    </xf>
    <xf numFmtId="0" fontId="49" fillId="22" borderId="89" xfId="4" applyFont="1" applyFill="1" applyBorder="1" applyAlignment="1" applyProtection="1">
      <alignment horizontal="center" vertical="center" wrapText="1" indent="1"/>
      <protection hidden="1"/>
    </xf>
    <xf numFmtId="0" fontId="1" fillId="0" borderId="0" xfId="4" applyAlignment="1" applyProtection="1">
      <alignment wrapText="1"/>
      <protection hidden="1"/>
    </xf>
    <xf numFmtId="15" fontId="52" fillId="7" borderId="22" xfId="4" applyNumberFormat="1" applyFont="1" applyFill="1" applyBorder="1" applyAlignment="1" applyProtection="1">
      <alignment horizontal="center" vertical="center"/>
      <protection hidden="1"/>
    </xf>
    <xf numFmtId="0" fontId="52" fillId="3" borderId="22" xfId="4" applyFont="1" applyFill="1" applyBorder="1" applyAlignment="1" applyProtection="1">
      <alignment horizontal="center" vertical="center"/>
      <protection hidden="1"/>
    </xf>
    <xf numFmtId="0" fontId="52" fillId="16" borderId="22" xfId="4" applyFont="1" applyFill="1" applyBorder="1" applyAlignment="1" applyProtection="1">
      <alignment horizontal="center" vertical="center"/>
      <protection hidden="1"/>
    </xf>
    <xf numFmtId="0" fontId="53" fillId="25" borderId="22" xfId="4" applyFont="1" applyFill="1" applyBorder="1" applyAlignment="1" applyProtection="1">
      <alignment horizontal="center" vertical="center"/>
      <protection hidden="1"/>
    </xf>
    <xf numFmtId="0" fontId="53" fillId="26" borderId="22" xfId="4" applyFont="1" applyFill="1" applyBorder="1" applyAlignment="1" applyProtection="1">
      <alignment horizontal="center" vertical="center"/>
      <protection hidden="1"/>
    </xf>
    <xf numFmtId="0" fontId="52" fillId="27" borderId="22" xfId="4" applyFont="1" applyFill="1" applyBorder="1" applyAlignment="1" applyProtection="1">
      <alignment horizontal="center" vertical="center"/>
      <protection hidden="1"/>
    </xf>
    <xf numFmtId="0" fontId="54" fillId="25" borderId="22" xfId="4" applyFont="1" applyFill="1" applyBorder="1" applyAlignment="1" applyProtection="1">
      <alignment horizontal="center"/>
      <protection hidden="1"/>
    </xf>
    <xf numFmtId="0" fontId="54" fillId="24" borderId="22" xfId="4" applyFont="1" applyFill="1" applyBorder="1" applyAlignment="1" applyProtection="1">
      <alignment horizontal="center"/>
      <protection hidden="1"/>
    </xf>
    <xf numFmtId="0" fontId="54" fillId="7" borderId="22" xfId="4" applyFont="1" applyFill="1" applyBorder="1" applyAlignment="1" applyProtection="1">
      <alignment horizontal="center"/>
      <protection hidden="1"/>
    </xf>
    <xf numFmtId="0" fontId="54" fillId="25" borderId="10" xfId="4" applyFont="1" applyFill="1" applyBorder="1" applyAlignment="1" applyProtection="1">
      <alignment horizontal="center"/>
      <protection hidden="1"/>
    </xf>
    <xf numFmtId="0" fontId="54" fillId="25" borderId="90" xfId="4" applyFont="1" applyFill="1" applyBorder="1" applyAlignment="1" applyProtection="1">
      <alignment horizontal="center"/>
      <protection hidden="1"/>
    </xf>
    <xf numFmtId="15" fontId="52" fillId="16" borderId="20" xfId="4" applyNumberFormat="1" applyFont="1" applyFill="1" applyBorder="1" applyAlignment="1" applyProtection="1">
      <alignment horizontal="center" vertical="center"/>
      <protection hidden="1"/>
    </xf>
    <xf numFmtId="0" fontId="52" fillId="28" borderId="22" xfId="4" applyFont="1" applyFill="1" applyBorder="1" applyAlignment="1" applyProtection="1">
      <alignment horizontal="center" vertical="center"/>
      <protection hidden="1"/>
    </xf>
    <xf numFmtId="0" fontId="54" fillId="29" borderId="22" xfId="4" applyFont="1" applyFill="1" applyBorder="1" applyAlignment="1" applyProtection="1">
      <alignment horizontal="center"/>
      <protection hidden="1"/>
    </xf>
    <xf numFmtId="0" fontId="1" fillId="0" borderId="90" xfId="4" applyBorder="1" applyAlignment="1" applyProtection="1">
      <alignment horizontal="center" vertical="center" indent="1"/>
      <protection hidden="1"/>
    </xf>
    <xf numFmtId="15" fontId="52" fillId="7" borderId="1" xfId="4" applyNumberFormat="1" applyFont="1" applyFill="1" applyBorder="1" applyAlignment="1" applyProtection="1">
      <alignment horizontal="center" vertical="center"/>
      <protection hidden="1"/>
    </xf>
    <xf numFmtId="0" fontId="52" fillId="3" borderId="1" xfId="4" applyFont="1" applyFill="1" applyBorder="1" applyAlignment="1" applyProtection="1">
      <alignment horizontal="center" vertical="center"/>
      <protection hidden="1"/>
    </xf>
    <xf numFmtId="0" fontId="52" fillId="16" borderId="1" xfId="4" applyFont="1" applyFill="1" applyBorder="1" applyAlignment="1" applyProtection="1">
      <alignment horizontal="center" vertical="center"/>
      <protection hidden="1"/>
    </xf>
    <xf numFmtId="0" fontId="53" fillId="25" borderId="1" xfId="4" applyFont="1" applyFill="1" applyBorder="1" applyAlignment="1" applyProtection="1">
      <alignment horizontal="center" vertical="center"/>
      <protection hidden="1"/>
    </xf>
    <xf numFmtId="0" fontId="53" fillId="26" borderId="1" xfId="4" applyFont="1" applyFill="1" applyBorder="1" applyAlignment="1" applyProtection="1">
      <alignment horizontal="center" vertical="center"/>
      <protection hidden="1"/>
    </xf>
    <xf numFmtId="0" fontId="52" fillId="27" borderId="1" xfId="4" applyFont="1" applyFill="1" applyBorder="1" applyAlignment="1" applyProtection="1">
      <alignment horizontal="center" vertical="center"/>
      <protection hidden="1"/>
    </xf>
    <xf numFmtId="0" fontId="54" fillId="25" borderId="1" xfId="4" applyFont="1" applyFill="1" applyBorder="1" applyAlignment="1" applyProtection="1">
      <alignment horizontal="center"/>
      <protection hidden="1"/>
    </xf>
    <xf numFmtId="0" fontId="54" fillId="24" borderId="1" xfId="4" applyFont="1" applyFill="1" applyBorder="1" applyAlignment="1" applyProtection="1">
      <alignment horizontal="center"/>
      <protection hidden="1"/>
    </xf>
    <xf numFmtId="0" fontId="54" fillId="7" borderId="1" xfId="4" applyFont="1" applyFill="1" applyBorder="1" applyAlignment="1" applyProtection="1">
      <alignment horizontal="center"/>
      <protection hidden="1"/>
    </xf>
    <xf numFmtId="0" fontId="54" fillId="25" borderId="13" xfId="4" applyFont="1" applyFill="1" applyBorder="1" applyAlignment="1" applyProtection="1">
      <alignment horizontal="center"/>
      <protection hidden="1"/>
    </xf>
    <xf numFmtId="0" fontId="54" fillId="25" borderId="91" xfId="4" applyFont="1" applyFill="1" applyBorder="1" applyAlignment="1" applyProtection="1">
      <alignment horizontal="center"/>
      <protection hidden="1"/>
    </xf>
    <xf numFmtId="15" fontId="52" fillId="16" borderId="2" xfId="4" applyNumberFormat="1" applyFont="1" applyFill="1" applyBorder="1" applyAlignment="1" applyProtection="1">
      <alignment horizontal="center" vertical="center"/>
      <protection hidden="1"/>
    </xf>
    <xf numFmtId="0" fontId="52" fillId="28" borderId="1" xfId="4" applyFont="1" applyFill="1" applyBorder="1" applyAlignment="1" applyProtection="1">
      <alignment horizontal="center" vertical="center"/>
      <protection hidden="1"/>
    </xf>
    <xf numFmtId="0" fontId="54" fillId="29" borderId="1" xfId="4" applyFont="1" applyFill="1" applyBorder="1" applyAlignment="1" applyProtection="1">
      <alignment horizontal="center"/>
      <protection hidden="1"/>
    </xf>
    <xf numFmtId="0" fontId="1" fillId="0" borderId="91" xfId="4" applyBorder="1" applyAlignment="1" applyProtection="1">
      <alignment horizontal="center" vertical="center" indent="1"/>
      <protection hidden="1"/>
    </xf>
    <xf numFmtId="15" fontId="55" fillId="7" borderId="1" xfId="4" applyNumberFormat="1" applyFont="1" applyFill="1" applyBorder="1" applyAlignment="1" applyProtection="1">
      <alignment horizontal="center"/>
      <protection hidden="1"/>
    </xf>
    <xf numFmtId="0" fontId="55" fillId="3" borderId="1" xfId="4" applyFont="1" applyFill="1" applyBorder="1" applyAlignment="1" applyProtection="1">
      <alignment horizontal="center"/>
      <protection hidden="1"/>
    </xf>
    <xf numFmtId="0" fontId="55" fillId="27" borderId="1" xfId="4" applyFont="1" applyFill="1" applyBorder="1" applyAlignment="1" applyProtection="1">
      <alignment horizontal="center"/>
      <protection hidden="1"/>
    </xf>
    <xf numFmtId="0" fontId="52" fillId="30" borderId="1" xfId="4" applyFont="1" applyFill="1" applyBorder="1" applyAlignment="1" applyProtection="1">
      <alignment horizontal="center" vertical="center"/>
      <protection hidden="1"/>
    </xf>
    <xf numFmtId="0" fontId="52" fillId="3" borderId="13" xfId="4" applyFont="1" applyFill="1" applyBorder="1" applyAlignment="1" applyProtection="1">
      <alignment horizontal="center" vertical="center"/>
      <protection hidden="1"/>
    </xf>
    <xf numFmtId="0" fontId="52" fillId="3" borderId="91" xfId="4" applyFont="1" applyFill="1" applyBorder="1" applyAlignment="1" applyProtection="1">
      <alignment horizontal="center" vertical="center"/>
      <protection hidden="1"/>
    </xf>
    <xf numFmtId="15" fontId="55" fillId="16" borderId="2" xfId="4" applyNumberFormat="1" applyFont="1" applyFill="1" applyBorder="1" applyAlignment="1" applyProtection="1">
      <alignment horizontal="center"/>
      <protection hidden="1"/>
    </xf>
    <xf numFmtId="0" fontId="55" fillId="28" borderId="1" xfId="4" applyFont="1" applyFill="1" applyBorder="1" applyAlignment="1" applyProtection="1">
      <alignment horizontal="center"/>
      <protection hidden="1"/>
    </xf>
    <xf numFmtId="0" fontId="55" fillId="0" borderId="1" xfId="4" applyFont="1" applyBorder="1" applyAlignment="1" applyProtection="1">
      <alignment horizontal="center"/>
      <protection hidden="1"/>
    </xf>
    <xf numFmtId="0" fontId="52" fillId="0" borderId="1" xfId="4" applyFont="1" applyBorder="1" applyAlignment="1" applyProtection="1">
      <alignment horizontal="center" vertical="center"/>
      <protection hidden="1"/>
    </xf>
    <xf numFmtId="0" fontId="52" fillId="0" borderId="13" xfId="4" applyFont="1" applyBorder="1" applyAlignment="1" applyProtection="1">
      <alignment horizontal="center" vertical="center"/>
      <protection hidden="1"/>
    </xf>
    <xf numFmtId="0" fontId="52" fillId="0" borderId="91" xfId="4" applyFont="1" applyBorder="1" applyAlignment="1" applyProtection="1">
      <alignment horizontal="center" vertical="center"/>
      <protection hidden="1"/>
    </xf>
    <xf numFmtId="0" fontId="52" fillId="31" borderId="1" xfId="4" applyFont="1" applyFill="1" applyBorder="1" applyAlignment="1" applyProtection="1">
      <alignment horizontal="center" vertical="center"/>
      <protection hidden="1"/>
    </xf>
    <xf numFmtId="0" fontId="52" fillId="24" borderId="1" xfId="4" applyFont="1" applyFill="1" applyBorder="1" applyAlignment="1" applyProtection="1">
      <alignment horizontal="center" vertical="center"/>
      <protection hidden="1"/>
    </xf>
    <xf numFmtId="0" fontId="52" fillId="31" borderId="13" xfId="4" applyFont="1" applyFill="1" applyBorder="1" applyAlignment="1" applyProtection="1">
      <alignment horizontal="center" vertical="center"/>
      <protection hidden="1"/>
    </xf>
    <xf numFmtId="0" fontId="52" fillId="31" borderId="91" xfId="4" applyFont="1" applyFill="1" applyBorder="1" applyAlignment="1" applyProtection="1">
      <alignment horizontal="center" vertical="center"/>
      <protection hidden="1"/>
    </xf>
    <xf numFmtId="0" fontId="54" fillId="31" borderId="1" xfId="4" applyFont="1" applyFill="1" applyBorder="1" applyAlignment="1" applyProtection="1">
      <alignment horizontal="center"/>
      <protection hidden="1"/>
    </xf>
    <xf numFmtId="0" fontId="54" fillId="31" borderId="13" xfId="4" applyFont="1" applyFill="1" applyBorder="1" applyAlignment="1" applyProtection="1">
      <alignment horizontal="center"/>
      <protection hidden="1"/>
    </xf>
    <xf numFmtId="0" fontId="54" fillId="31" borderId="91" xfId="4" applyFont="1" applyFill="1" applyBorder="1" applyAlignment="1" applyProtection="1">
      <alignment horizontal="center"/>
      <protection hidden="1"/>
    </xf>
    <xf numFmtId="0" fontId="56" fillId="31" borderId="1" xfId="4" applyFont="1" applyFill="1" applyBorder="1" applyAlignment="1" applyProtection="1">
      <alignment horizontal="center"/>
      <protection hidden="1"/>
    </xf>
    <xf numFmtId="0" fontId="56" fillId="24" borderId="1" xfId="4" applyFont="1" applyFill="1" applyBorder="1" applyAlignment="1" applyProtection="1">
      <alignment horizontal="center" vertical="center"/>
      <protection hidden="1"/>
    </xf>
    <xf numFmtId="0" fontId="54" fillId="31" borderId="16" xfId="4" applyFont="1" applyFill="1" applyBorder="1" applyAlignment="1" applyProtection="1">
      <alignment horizontal="center"/>
      <protection hidden="1"/>
    </xf>
    <xf numFmtId="0" fontId="54" fillId="31" borderId="92" xfId="4" applyFont="1" applyFill="1" applyBorder="1" applyAlignment="1" applyProtection="1">
      <alignment horizontal="center"/>
      <protection hidden="1"/>
    </xf>
    <xf numFmtId="0" fontId="54" fillId="25" borderId="92" xfId="4" applyFont="1" applyFill="1" applyBorder="1" applyAlignment="1" applyProtection="1">
      <alignment horizontal="center"/>
      <protection hidden="1"/>
    </xf>
    <xf numFmtId="0" fontId="1" fillId="0" borderId="0" xfId="4" applyAlignment="1" applyProtection="1">
      <alignment horizontal="center" vertical="center" indent="1"/>
      <protection hidden="1"/>
    </xf>
    <xf numFmtId="0" fontId="0" fillId="0" borderId="0" xfId="0" pivotButton="1" applyProtection="1">
      <protection locked="0" hidden="1"/>
    </xf>
    <xf numFmtId="0" fontId="0" fillId="0" borderId="0" xfId="0" applyProtection="1">
      <protection locked="0" hidden="1"/>
    </xf>
    <xf numFmtId="0" fontId="0" fillId="0" borderId="0" xfId="0" applyAlignment="1" applyProtection="1">
      <alignment horizontal="left"/>
      <protection locked="0" hidden="1"/>
    </xf>
    <xf numFmtId="1" fontId="0" fillId="0" borderId="0" xfId="0" applyNumberFormat="1" applyAlignment="1" applyProtection="1">
      <alignment horizontal="center" vertical="center"/>
      <protection locked="0" hidden="1"/>
    </xf>
    <xf numFmtId="0" fontId="58" fillId="0" borderId="0" xfId="0" applyFont="1" applyAlignment="1" applyProtection="1">
      <alignment vertical="top" wrapText="1"/>
      <protection hidden="1"/>
    </xf>
    <xf numFmtId="0" fontId="59" fillId="0" borderId="57" xfId="0" applyFont="1" applyBorder="1" applyAlignment="1" applyProtection="1">
      <alignment horizontal="center" vertical="center"/>
      <protection hidden="1"/>
    </xf>
    <xf numFmtId="0" fontId="59" fillId="0" borderId="57" xfId="0" applyFont="1" applyBorder="1" applyAlignment="1" applyProtection="1">
      <alignment horizontal="center" vertical="center" wrapText="1"/>
      <protection hidden="1"/>
    </xf>
    <xf numFmtId="0" fontId="17" fillId="0" borderId="57" xfId="0" applyFont="1" applyBorder="1" applyAlignment="1" applyProtection="1">
      <alignment horizontal="left" vertical="center"/>
      <protection hidden="1"/>
    </xf>
    <xf numFmtId="0" fontId="43" fillId="0" borderId="57" xfId="0" applyFont="1" applyBorder="1" applyAlignment="1" applyProtection="1">
      <alignment horizontal="center" vertical="center"/>
      <protection hidden="1"/>
    </xf>
    <xf numFmtId="0" fontId="43" fillId="9" borderId="57" xfId="0" applyFont="1" applyFill="1" applyBorder="1" applyAlignment="1" applyProtection="1">
      <alignment horizontal="center" vertical="center"/>
      <protection hidden="1"/>
    </xf>
    <xf numFmtId="0" fontId="6" fillId="0" borderId="69" xfId="0" applyFont="1" applyBorder="1" applyAlignment="1" applyProtection="1">
      <alignment horizontal="center" vertical="center"/>
      <protection hidden="1"/>
    </xf>
    <xf numFmtId="0" fontId="24" fillId="0" borderId="1" xfId="0" applyFont="1" applyBorder="1" applyAlignment="1" applyProtection="1">
      <alignment horizontal="center" vertical="center"/>
      <protection locked="0"/>
    </xf>
    <xf numFmtId="9" fontId="24" fillId="0" borderId="0" xfId="3" applyFont="1" applyAlignment="1" applyProtection="1">
      <alignment horizontal="center" vertical="center"/>
      <protection hidden="1"/>
    </xf>
    <xf numFmtId="0" fontId="6" fillId="0" borderId="69" xfId="0" applyFont="1" applyBorder="1" applyAlignment="1" applyProtection="1">
      <alignment horizontal="left" vertical="center" wrapText="1"/>
      <protection hidden="1"/>
    </xf>
    <xf numFmtId="0" fontId="6" fillId="0" borderId="69" xfId="0" applyFont="1" applyBorder="1" applyAlignment="1" applyProtection="1">
      <alignment horizontal="left" vertical="center"/>
      <protection hidden="1"/>
    </xf>
    <xf numFmtId="1" fontId="6" fillId="0" borderId="69" xfId="0" applyNumberFormat="1" applyFont="1" applyBorder="1" applyAlignment="1" applyProtection="1">
      <alignment horizontal="center" vertical="center"/>
      <protection hidden="1"/>
    </xf>
    <xf numFmtId="0" fontId="6" fillId="0" borderId="71" xfId="0" applyFont="1" applyBorder="1" applyAlignment="1" applyProtection="1">
      <alignment horizontal="left" vertical="center"/>
      <protection hidden="1"/>
    </xf>
    <xf numFmtId="2" fontId="6" fillId="0" borderId="69" xfId="0" applyNumberFormat="1" applyFont="1" applyBorder="1" applyAlignment="1" applyProtection="1">
      <alignment horizontal="center" vertical="center"/>
      <protection hidden="1"/>
    </xf>
    <xf numFmtId="0" fontId="6" fillId="0" borderId="69" xfId="0" applyFont="1" applyBorder="1" applyAlignment="1" applyProtection="1">
      <alignment vertical="center" wrapText="1"/>
      <protection hidden="1"/>
    </xf>
    <xf numFmtId="0" fontId="6" fillId="0" borderId="70" xfId="0" applyFont="1" applyBorder="1" applyAlignment="1" applyProtection="1">
      <alignment horizontal="center" vertical="center"/>
      <protection hidden="1"/>
    </xf>
    <xf numFmtId="1" fontId="6" fillId="0" borderId="70" xfId="0" applyNumberFormat="1" applyFont="1" applyBorder="1" applyAlignment="1" applyProtection="1">
      <alignment horizontal="center" vertical="center"/>
      <protection hidden="1"/>
    </xf>
    <xf numFmtId="0" fontId="6" fillId="0" borderId="57" xfId="0" applyFont="1" applyBorder="1" applyAlignment="1" applyProtection="1">
      <alignment horizontal="left" vertical="center"/>
      <protection hidden="1"/>
    </xf>
    <xf numFmtId="0" fontId="6" fillId="0" borderId="57" xfId="0" applyFont="1" applyBorder="1" applyAlignment="1" applyProtection="1">
      <alignment horizontal="center" vertical="center"/>
      <protection hidden="1"/>
    </xf>
    <xf numFmtId="1" fontId="6" fillId="5" borderId="68" xfId="0" applyNumberFormat="1" applyFont="1" applyFill="1" applyBorder="1" applyAlignment="1" applyProtection="1">
      <alignment horizontal="center" vertical="center"/>
      <protection hidden="1"/>
    </xf>
    <xf numFmtId="0" fontId="6" fillId="0" borderId="57" xfId="0" applyFont="1" applyBorder="1" applyAlignment="1" applyProtection="1">
      <alignment horizontal="left" vertical="center" wrapText="1"/>
      <protection hidden="1"/>
    </xf>
    <xf numFmtId="0" fontId="6" fillId="5" borderId="68" xfId="0" applyFont="1" applyFill="1" applyBorder="1" applyAlignment="1" applyProtection="1">
      <alignment vertical="center" wrapText="1"/>
      <protection hidden="1"/>
    </xf>
    <xf numFmtId="0" fontId="6" fillId="0" borderId="81" xfId="0" applyFont="1" applyBorder="1" applyAlignment="1" applyProtection="1">
      <alignment horizontal="left" vertical="center"/>
      <protection hidden="1"/>
    </xf>
    <xf numFmtId="1" fontId="6" fillId="0" borderId="81" xfId="0" applyNumberFormat="1" applyFont="1" applyBorder="1" applyAlignment="1" applyProtection="1">
      <alignment horizontal="center" vertical="center"/>
      <protection hidden="1"/>
    </xf>
    <xf numFmtId="2" fontId="6" fillId="0" borderId="81" xfId="0" applyNumberFormat="1" applyFont="1" applyBorder="1" applyAlignment="1" applyProtection="1">
      <alignment horizontal="center" vertical="center"/>
      <protection hidden="1"/>
    </xf>
    <xf numFmtId="0" fontId="6" fillId="0" borderId="81" xfId="0" applyFont="1" applyBorder="1" applyAlignment="1" applyProtection="1">
      <alignment horizontal="center" vertical="center"/>
      <protection hidden="1"/>
    </xf>
    <xf numFmtId="0" fontId="6" fillId="0" borderId="81" xfId="0" applyFont="1" applyBorder="1" applyAlignment="1" applyProtection="1">
      <alignment vertical="center"/>
      <protection hidden="1"/>
    </xf>
    <xf numFmtId="0" fontId="6" fillId="0" borderId="81" xfId="0" applyFont="1" applyBorder="1" applyAlignment="1" applyProtection="1">
      <alignment horizontal="left" vertical="center" wrapText="1"/>
      <protection hidden="1"/>
    </xf>
    <xf numFmtId="0" fontId="6" fillId="0" borderId="81" xfId="0" applyFont="1" applyBorder="1" applyAlignment="1" applyProtection="1">
      <alignment vertical="center" wrapText="1"/>
      <protection hidden="1"/>
    </xf>
    <xf numFmtId="0" fontId="6" fillId="0" borderId="82" xfId="0" applyFont="1" applyBorder="1" applyAlignment="1" applyProtection="1">
      <alignment horizontal="center" vertical="center"/>
      <protection hidden="1"/>
    </xf>
    <xf numFmtId="0" fontId="6" fillId="6" borderId="83" xfId="0" applyFont="1" applyFill="1" applyBorder="1" applyAlignment="1" applyProtection="1">
      <alignment horizontal="center" vertical="center"/>
      <protection hidden="1"/>
    </xf>
    <xf numFmtId="0" fontId="6" fillId="0" borderId="82" xfId="0" applyFont="1" applyBorder="1" applyAlignment="1" applyProtection="1">
      <alignment horizontal="left" vertical="center" wrapText="1"/>
      <protection hidden="1"/>
    </xf>
    <xf numFmtId="0" fontId="6" fillId="6" borderId="83" xfId="0" applyFont="1" applyFill="1" applyBorder="1" applyAlignment="1" applyProtection="1">
      <alignment horizontal="left" vertical="center" wrapText="1"/>
      <protection hidden="1"/>
    </xf>
    <xf numFmtId="0" fontId="6" fillId="0" borderId="82" xfId="0" applyFont="1" applyBorder="1" applyAlignment="1" applyProtection="1">
      <alignment horizontal="left" vertical="center"/>
      <protection hidden="1"/>
    </xf>
    <xf numFmtId="0" fontId="25" fillId="3" borderId="1" xfId="0" applyFont="1" applyFill="1" applyBorder="1" applyAlignment="1" applyProtection="1">
      <alignment horizontal="center" vertical="center"/>
      <protection hidden="1"/>
    </xf>
    <xf numFmtId="0" fontId="25" fillId="11" borderId="24" xfId="0" applyFont="1" applyFill="1" applyBorder="1" applyAlignment="1" applyProtection="1">
      <alignment horizontal="center" vertical="center"/>
      <protection locked="0"/>
    </xf>
    <xf numFmtId="0" fontId="25" fillId="17" borderId="1" xfId="0" applyFont="1" applyFill="1" applyBorder="1" applyAlignment="1" applyProtection="1">
      <alignment horizontal="center" vertical="center"/>
      <protection locked="0"/>
    </xf>
    <xf numFmtId="0" fontId="26" fillId="11" borderId="24" xfId="0" applyFont="1" applyFill="1" applyBorder="1" applyAlignment="1" applyProtection="1">
      <alignment horizontal="center" vertical="center"/>
      <protection hidden="1"/>
    </xf>
    <xf numFmtId="0" fontId="26" fillId="3" borderId="1" xfId="0" applyFont="1" applyFill="1" applyBorder="1" applyAlignment="1" applyProtection="1">
      <alignment horizontal="center" vertical="center"/>
      <protection hidden="1"/>
    </xf>
    <xf numFmtId="0" fontId="26" fillId="11" borderId="24" xfId="0" applyFont="1" applyFill="1" applyBorder="1" applyAlignment="1" applyProtection="1">
      <alignment horizontal="center" vertical="center"/>
      <protection locked="0"/>
    </xf>
    <xf numFmtId="0" fontId="26" fillId="12" borderId="7" xfId="0" applyFont="1" applyFill="1" applyBorder="1" applyAlignment="1" applyProtection="1">
      <alignment horizontal="center" vertical="center"/>
      <protection locked="0"/>
    </xf>
    <xf numFmtId="0" fontId="26" fillId="12" borderId="5" xfId="0" applyFont="1" applyFill="1" applyBorder="1" applyAlignment="1" applyProtection="1">
      <alignment horizontal="center" vertical="center"/>
      <protection hidden="1"/>
    </xf>
    <xf numFmtId="0" fontId="6" fillId="0" borderId="1" xfId="0" applyFont="1" applyBorder="1" applyAlignment="1" applyProtection="1">
      <alignment horizontal="left" vertical="center"/>
      <protection hidden="1"/>
    </xf>
    <xf numFmtId="0" fontId="64" fillId="0" borderId="1" xfId="0" applyFont="1" applyBorder="1" applyAlignment="1" applyProtection="1">
      <alignment horizontal="left" vertical="center"/>
      <protection hidden="1"/>
    </xf>
    <xf numFmtId="0" fontId="8" fillId="0" borderId="1" xfId="0" applyFont="1" applyBorder="1" applyAlignment="1" applyProtection="1">
      <alignment horizontal="left" vertical="center"/>
      <protection hidden="1"/>
    </xf>
    <xf numFmtId="0" fontId="65" fillId="0" borderId="1" xfId="0" applyFont="1" applyBorder="1" applyAlignment="1" applyProtection="1">
      <alignment horizontal="center" vertical="center"/>
      <protection hidden="1"/>
    </xf>
    <xf numFmtId="2" fontId="65" fillId="0" borderId="1" xfId="0" applyNumberFormat="1" applyFont="1" applyBorder="1" applyAlignment="1" applyProtection="1">
      <alignment horizontal="center" vertical="center"/>
      <protection hidden="1"/>
    </xf>
    <xf numFmtId="9" fontId="6" fillId="0" borderId="1" xfId="0" applyNumberFormat="1" applyFont="1" applyBorder="1" applyAlignment="1" applyProtection="1">
      <alignment horizontal="center" vertical="center"/>
      <protection hidden="1"/>
    </xf>
    <xf numFmtId="1" fontId="8" fillId="0" borderId="1" xfId="0" applyNumberFormat="1" applyFont="1" applyBorder="1" applyAlignment="1" applyProtection="1">
      <alignment horizontal="center" vertical="center"/>
      <protection hidden="1"/>
    </xf>
    <xf numFmtId="1" fontId="6" fillId="0" borderId="1" xfId="0" applyNumberFormat="1" applyFont="1" applyBorder="1" applyAlignment="1" applyProtection="1">
      <alignment horizontal="center" vertical="center"/>
      <protection hidden="1"/>
    </xf>
    <xf numFmtId="9" fontId="8" fillId="0" borderId="1" xfId="3" applyFont="1" applyBorder="1" applyAlignment="1" applyProtection="1">
      <alignment horizontal="center" vertical="center"/>
      <protection hidden="1"/>
    </xf>
    <xf numFmtId="0" fontId="66" fillId="11" borderId="1" xfId="0" applyFont="1" applyFill="1" applyBorder="1" applyAlignment="1" applyProtection="1">
      <alignment horizontal="center" vertical="center"/>
      <protection locked="0"/>
    </xf>
    <xf numFmtId="0" fontId="66" fillId="11" borderId="24" xfId="0" applyFont="1" applyFill="1" applyBorder="1" applyAlignment="1" applyProtection="1">
      <alignment horizontal="center" vertical="center"/>
      <protection locked="0"/>
    </xf>
    <xf numFmtId="0" fontId="66" fillId="17" borderId="1" xfId="0" applyFont="1" applyFill="1" applyBorder="1" applyAlignment="1" applyProtection="1">
      <alignment horizontal="center" vertical="center"/>
      <protection locked="0"/>
    </xf>
    <xf numFmtId="0" fontId="66" fillId="3" borderId="1" xfId="0" applyFont="1" applyFill="1" applyBorder="1" applyAlignment="1" applyProtection="1">
      <alignment horizontal="center" vertical="center"/>
      <protection hidden="1"/>
    </xf>
    <xf numFmtId="0" fontId="66" fillId="11" borderId="24" xfId="0" applyFont="1" applyFill="1" applyBorder="1" applyAlignment="1" applyProtection="1">
      <alignment horizontal="center" vertical="center"/>
      <protection hidden="1"/>
    </xf>
    <xf numFmtId="0" fontId="66" fillId="12" borderId="7" xfId="0" applyFont="1" applyFill="1" applyBorder="1" applyAlignment="1" applyProtection="1">
      <alignment horizontal="center" vertical="center"/>
      <protection locked="0"/>
    </xf>
    <xf numFmtId="0" fontId="66" fillId="12" borderId="5" xfId="0" applyFont="1" applyFill="1" applyBorder="1" applyAlignment="1" applyProtection="1">
      <alignment horizontal="center" vertical="center"/>
      <protection hidden="1"/>
    </xf>
    <xf numFmtId="0" fontId="23" fillId="0" borderId="1" xfId="0" applyFont="1" applyBorder="1" applyAlignment="1" applyProtection="1">
      <alignment horizontal="center" vertical="center"/>
      <protection hidden="1"/>
    </xf>
    <xf numFmtId="2" fontId="61" fillId="0" borderId="1" xfId="0" applyNumberFormat="1" applyFont="1" applyBorder="1" applyAlignment="1" applyProtection="1">
      <alignment horizontal="center" vertical="center"/>
      <protection hidden="1"/>
    </xf>
    <xf numFmtId="2" fontId="63" fillId="0" borderId="1" xfId="0" applyNumberFormat="1" applyFont="1" applyBorder="1" applyAlignment="1" applyProtection="1">
      <alignment horizontal="center" vertical="center"/>
      <protection hidden="1"/>
    </xf>
    <xf numFmtId="14" fontId="47" fillId="20" borderId="99" xfId="0" applyNumberFormat="1" applyFont="1" applyFill="1" applyBorder="1" applyAlignment="1" applyProtection="1">
      <alignment vertical="center"/>
      <protection hidden="1"/>
    </xf>
    <xf numFmtId="14" fontId="47" fillId="20" borderId="101" xfId="0" applyNumberFormat="1" applyFont="1" applyFill="1" applyBorder="1" applyAlignment="1" applyProtection="1">
      <alignment vertical="center"/>
      <protection hidden="1"/>
    </xf>
    <xf numFmtId="0" fontId="6" fillId="0" borderId="104" xfId="0" applyFont="1" applyBorder="1" applyAlignment="1" applyProtection="1">
      <alignment horizontal="center" vertical="center"/>
      <protection hidden="1"/>
    </xf>
    <xf numFmtId="0" fontId="6" fillId="0" borderId="105" xfId="0" applyFont="1" applyBorder="1" applyAlignment="1" applyProtection="1">
      <alignment horizontal="center" vertical="center"/>
      <protection hidden="1"/>
    </xf>
    <xf numFmtId="0" fontId="6" fillId="0" borderId="105" xfId="0" applyFont="1" applyBorder="1" applyAlignment="1" applyProtection="1">
      <alignment horizontal="center" vertical="center" wrapText="1"/>
      <protection hidden="1"/>
    </xf>
    <xf numFmtId="1" fontId="6" fillId="0" borderId="105" xfId="0" applyNumberFormat="1" applyFont="1" applyBorder="1" applyAlignment="1" applyProtection="1">
      <alignment horizontal="center" vertical="center"/>
      <protection hidden="1"/>
    </xf>
    <xf numFmtId="0" fontId="6" fillId="0" borderId="104" xfId="0" applyFont="1" applyBorder="1" applyAlignment="1" applyProtection="1">
      <alignment horizontal="left" vertical="center" wrapText="1"/>
      <protection hidden="1"/>
    </xf>
    <xf numFmtId="0" fontId="6" fillId="0" borderId="104" xfId="0" applyFont="1" applyBorder="1" applyAlignment="1" applyProtection="1">
      <alignment horizontal="left" vertical="center"/>
      <protection hidden="1"/>
    </xf>
    <xf numFmtId="0" fontId="6" fillId="0" borderId="104" xfId="0" applyFont="1" applyBorder="1" applyAlignment="1" applyProtection="1">
      <alignment vertical="center" wrapText="1"/>
      <protection hidden="1"/>
    </xf>
    <xf numFmtId="14" fontId="47" fillId="20" borderId="113" xfId="0" applyNumberFormat="1" applyFont="1" applyFill="1" applyBorder="1" applyAlignment="1" applyProtection="1">
      <alignment vertical="center"/>
      <protection hidden="1"/>
    </xf>
    <xf numFmtId="0" fontId="6" fillId="0" borderId="114" xfId="0" applyFont="1" applyBorder="1" applyAlignment="1" applyProtection="1">
      <alignment horizontal="left" vertical="center"/>
      <protection hidden="1"/>
    </xf>
    <xf numFmtId="0" fontId="41" fillId="9" borderId="0" xfId="0" applyFont="1" applyFill="1" applyAlignment="1" applyProtection="1">
      <alignment vertical="center"/>
      <protection hidden="1"/>
    </xf>
    <xf numFmtId="2" fontId="6" fillId="0" borderId="115" xfId="0" applyNumberFormat="1" applyFont="1" applyBorder="1" applyAlignment="1" applyProtection="1">
      <alignment horizontal="center" vertical="center"/>
      <protection hidden="1"/>
    </xf>
    <xf numFmtId="1" fontId="6" fillId="0" borderId="115" xfId="0" applyNumberFormat="1" applyFont="1" applyBorder="1" applyAlignment="1" applyProtection="1">
      <alignment horizontal="center" vertical="center"/>
      <protection hidden="1"/>
    </xf>
    <xf numFmtId="0" fontId="6" fillId="0" borderId="114" xfId="0" applyFont="1" applyBorder="1" applyAlignment="1" applyProtection="1">
      <alignment horizontal="left" vertical="center" wrapText="1"/>
      <protection hidden="1"/>
    </xf>
    <xf numFmtId="0" fontId="6" fillId="0" borderId="109" xfId="0" applyFont="1" applyBorder="1" applyAlignment="1" applyProtection="1">
      <alignment horizontal="left" vertical="center"/>
      <protection hidden="1"/>
    </xf>
    <xf numFmtId="1" fontId="6" fillId="0" borderId="110" xfId="0" applyNumberFormat="1" applyFont="1" applyBorder="1" applyAlignment="1" applyProtection="1">
      <alignment horizontal="center" vertical="center"/>
      <protection hidden="1"/>
    </xf>
    <xf numFmtId="0" fontId="41" fillId="9" borderId="112" xfId="0" applyFont="1" applyFill="1" applyBorder="1" applyAlignment="1" applyProtection="1">
      <alignment vertical="center"/>
      <protection hidden="1"/>
    </xf>
    <xf numFmtId="0" fontId="6" fillId="0" borderId="110" xfId="0" applyFont="1" applyBorder="1" applyAlignment="1" applyProtection="1">
      <alignment horizontal="left" vertical="center"/>
      <protection hidden="1"/>
    </xf>
    <xf numFmtId="0" fontId="6" fillId="0" borderId="114" xfId="0" applyFont="1" applyBorder="1" applyAlignment="1" applyProtection="1">
      <alignment vertical="center"/>
      <protection hidden="1"/>
    </xf>
    <xf numFmtId="0" fontId="6" fillId="0" borderId="115" xfId="0" applyFont="1" applyBorder="1" applyAlignment="1" applyProtection="1">
      <alignment horizontal="center" vertical="center"/>
      <protection hidden="1"/>
    </xf>
    <xf numFmtId="0" fontId="6" fillId="0" borderId="114" xfId="0" applyFont="1" applyBorder="1" applyAlignment="1" applyProtection="1">
      <alignment vertical="center" wrapText="1"/>
      <protection hidden="1"/>
    </xf>
    <xf numFmtId="14" fontId="47" fillId="20" borderId="98" xfId="0" applyNumberFormat="1" applyFont="1" applyFill="1" applyBorder="1" applyAlignment="1" applyProtection="1">
      <alignment vertical="center"/>
      <protection hidden="1"/>
    </xf>
    <xf numFmtId="0" fontId="47" fillId="20" borderId="0" xfId="0" applyFont="1" applyFill="1" applyAlignment="1" applyProtection="1">
      <alignment vertical="center"/>
      <protection hidden="1"/>
    </xf>
    <xf numFmtId="0" fontId="47" fillId="20" borderId="101" xfId="0" applyFont="1" applyFill="1" applyBorder="1" applyAlignment="1" applyProtection="1">
      <alignment vertical="center"/>
      <protection hidden="1"/>
    </xf>
    <xf numFmtId="0" fontId="47" fillId="20" borderId="112" xfId="0" applyFont="1" applyFill="1" applyBorder="1" applyAlignment="1" applyProtection="1">
      <alignment vertical="center"/>
      <protection hidden="1"/>
    </xf>
    <xf numFmtId="0" fontId="47" fillId="20" borderId="113" xfId="0" applyFont="1" applyFill="1" applyBorder="1" applyAlignment="1" applyProtection="1">
      <alignment vertical="center"/>
      <protection hidden="1"/>
    </xf>
    <xf numFmtId="0" fontId="6" fillId="3" borderId="105" xfId="0" applyFont="1" applyFill="1" applyBorder="1" applyAlignment="1" applyProtection="1">
      <alignment horizontal="center" vertical="center"/>
      <protection hidden="1"/>
    </xf>
    <xf numFmtId="0" fontId="6" fillId="3" borderId="105" xfId="0" applyFont="1" applyFill="1" applyBorder="1" applyAlignment="1" applyProtection="1">
      <alignment horizontal="center" vertical="center" wrapText="1"/>
      <protection hidden="1"/>
    </xf>
    <xf numFmtId="0" fontId="6" fillId="0" borderId="104" xfId="0" applyFont="1" applyBorder="1" applyProtection="1">
      <protection hidden="1"/>
    </xf>
    <xf numFmtId="0" fontId="42" fillId="0" borderId="1" xfId="0" applyFont="1" applyBorder="1" applyAlignment="1" applyProtection="1">
      <alignment horizontal="center" vertical="center"/>
      <protection locked="0"/>
    </xf>
    <xf numFmtId="0" fontId="8" fillId="9" borderId="1" xfId="0" applyFont="1" applyFill="1" applyBorder="1" applyAlignment="1" applyProtection="1">
      <alignment horizontal="center" vertical="center"/>
      <protection hidden="1"/>
    </xf>
    <xf numFmtId="0" fontId="6" fillId="5" borderId="1" xfId="0" applyFont="1" applyFill="1" applyBorder="1" applyAlignment="1" applyProtection="1">
      <alignment horizontal="center" vertical="center"/>
      <protection hidden="1"/>
    </xf>
    <xf numFmtId="9" fontId="6" fillId="0" borderId="108" xfId="3" applyFont="1" applyBorder="1" applyAlignment="1" applyProtection="1">
      <alignment vertical="center"/>
      <protection hidden="1"/>
    </xf>
    <xf numFmtId="0" fontId="6" fillId="0" borderId="122" xfId="0" applyFont="1" applyBorder="1" applyAlignment="1" applyProtection="1">
      <alignment horizontal="left" vertical="center"/>
      <protection hidden="1"/>
    </xf>
    <xf numFmtId="9" fontId="6" fillId="0" borderId="105" xfId="3" applyFont="1" applyBorder="1" applyAlignment="1" applyProtection="1">
      <alignment vertical="center"/>
      <protection hidden="1"/>
    </xf>
    <xf numFmtId="9" fontId="6" fillId="0" borderId="123" xfId="3" applyFont="1" applyBorder="1" applyAlignment="1" applyProtection="1">
      <alignment vertical="center"/>
      <protection hidden="1"/>
    </xf>
    <xf numFmtId="0" fontId="6" fillId="0" borderId="124" xfId="0" applyFont="1" applyBorder="1" applyAlignment="1" applyProtection="1">
      <alignment vertical="center"/>
      <protection hidden="1"/>
    </xf>
    <xf numFmtId="0" fontId="67" fillId="32" borderId="80" xfId="0" applyFont="1" applyFill="1" applyBorder="1" applyAlignment="1" applyProtection="1">
      <alignment horizontal="left" vertical="center" wrapText="1"/>
      <protection hidden="1"/>
    </xf>
    <xf numFmtId="0" fontId="67" fillId="32" borderId="125" xfId="0" applyFont="1" applyFill="1" applyBorder="1" applyAlignment="1" applyProtection="1">
      <alignment horizontal="left" vertical="center" wrapText="1"/>
      <protection hidden="1"/>
    </xf>
    <xf numFmtId="0" fontId="6" fillId="9" borderId="0" xfId="0" applyFont="1" applyFill="1" applyAlignment="1" applyProtection="1">
      <alignment horizontal="center" vertical="center"/>
      <protection hidden="1"/>
    </xf>
    <xf numFmtId="0" fontId="6" fillId="5" borderId="2" xfId="1" applyNumberFormat="1" applyFont="1" applyFill="1" applyBorder="1" applyAlignment="1" applyProtection="1">
      <alignment horizontal="center" vertical="center"/>
      <protection hidden="1"/>
    </xf>
    <xf numFmtId="0" fontId="6" fillId="5" borderId="1" xfId="1" applyNumberFormat="1" applyFont="1" applyFill="1" applyBorder="1" applyAlignment="1" applyProtection="1">
      <alignment horizontal="center" vertical="center"/>
      <protection hidden="1"/>
    </xf>
    <xf numFmtId="0" fontId="8" fillId="17" borderId="1" xfId="3" applyNumberFormat="1" applyFont="1" applyFill="1" applyBorder="1" applyAlignment="1">
      <alignment horizontal="center" vertical="center"/>
      <protection locked="0"/>
    </xf>
    <xf numFmtId="0" fontId="7" fillId="5" borderId="13" xfId="0" applyFont="1" applyFill="1" applyBorder="1" applyAlignment="1" applyProtection="1">
      <alignment horizontal="center" vertical="center"/>
      <protection locked="0"/>
    </xf>
    <xf numFmtId="0" fontId="7" fillId="5" borderId="2"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protection locked="0"/>
    </xf>
    <xf numFmtId="0" fontId="6" fillId="0" borderId="91" xfId="0" applyFont="1" applyBorder="1" applyAlignment="1" applyProtection="1">
      <alignment horizontal="center" vertical="center"/>
      <protection locked="0"/>
    </xf>
    <xf numFmtId="0" fontId="6" fillId="17" borderId="13" xfId="0" applyFont="1" applyFill="1" applyBorder="1" applyAlignment="1" applyProtection="1">
      <alignment horizontal="center" vertical="center"/>
      <protection locked="0"/>
    </xf>
    <xf numFmtId="0" fontId="6" fillId="3" borderId="15" xfId="0" applyFont="1" applyFill="1" applyBorder="1" applyAlignment="1" applyProtection="1">
      <alignment horizontal="center" vertical="center"/>
      <protection hidden="1"/>
    </xf>
    <xf numFmtId="0" fontId="6" fillId="0" borderId="22" xfId="0" applyFont="1" applyBorder="1" applyAlignment="1" applyProtection="1">
      <alignment horizontal="center" vertical="center"/>
      <protection locked="0"/>
    </xf>
    <xf numFmtId="0" fontId="61" fillId="5" borderId="1" xfId="0" applyFont="1" applyFill="1" applyBorder="1" applyAlignment="1" applyProtection="1">
      <alignment horizontal="center" vertical="center"/>
      <protection hidden="1"/>
    </xf>
    <xf numFmtId="0" fontId="8" fillId="5" borderId="13" xfId="0" applyFont="1" applyFill="1" applyBorder="1" applyAlignment="1" applyProtection="1">
      <alignment horizontal="center" vertical="center"/>
      <protection hidden="1"/>
    </xf>
    <xf numFmtId="0" fontId="8" fillId="5" borderId="41" xfId="0" applyFont="1" applyFill="1" applyBorder="1" applyAlignment="1" applyProtection="1">
      <alignment horizontal="center" vertical="center"/>
      <protection hidden="1"/>
    </xf>
    <xf numFmtId="0" fontId="8" fillId="5" borderId="2" xfId="0" applyFont="1" applyFill="1" applyBorder="1" applyAlignment="1" applyProtection="1">
      <alignment horizontal="center" vertical="center"/>
      <protection hidden="1"/>
    </xf>
    <xf numFmtId="0" fontId="6" fillId="5" borderId="13" xfId="0" applyFont="1" applyFill="1" applyBorder="1" applyAlignment="1" applyProtection="1">
      <alignment horizontal="center" vertical="center"/>
      <protection hidden="1"/>
    </xf>
    <xf numFmtId="0" fontId="6" fillId="5" borderId="41" xfId="0" applyFont="1" applyFill="1" applyBorder="1" applyAlignment="1" applyProtection="1">
      <alignment horizontal="center" vertical="center"/>
      <protection hidden="1"/>
    </xf>
    <xf numFmtId="0" fontId="6" fillId="5" borderId="2" xfId="0" applyFont="1" applyFill="1" applyBorder="1" applyAlignment="1" applyProtection="1">
      <alignment horizontal="center" vertical="center"/>
      <protection hidden="1"/>
    </xf>
    <xf numFmtId="0" fontId="61" fillId="5" borderId="13" xfId="0" applyFont="1" applyFill="1" applyBorder="1" applyAlignment="1" applyProtection="1">
      <alignment horizontal="center" vertical="center"/>
      <protection hidden="1"/>
    </xf>
    <xf numFmtId="0" fontId="61" fillId="5" borderId="41" xfId="0" applyFont="1" applyFill="1" applyBorder="1" applyAlignment="1" applyProtection="1">
      <alignment horizontal="center" vertical="center"/>
      <protection hidden="1"/>
    </xf>
    <xf numFmtId="0" fontId="61" fillId="5" borderId="2" xfId="0" applyFont="1" applyFill="1" applyBorder="1" applyAlignment="1" applyProtection="1">
      <alignment horizontal="center" vertical="center"/>
      <protection hidden="1"/>
    </xf>
    <xf numFmtId="0" fontId="8" fillId="5" borderId="1" xfId="0" applyFont="1" applyFill="1" applyBorder="1" applyAlignment="1" applyProtection="1">
      <alignment horizontal="center" vertical="center"/>
      <protection hidden="1"/>
    </xf>
    <xf numFmtId="0" fontId="3" fillId="5" borderId="13" xfId="0" applyFont="1" applyFill="1" applyBorder="1" applyAlignment="1" applyProtection="1">
      <alignment horizontal="center" vertical="center"/>
      <protection locked="0"/>
    </xf>
    <xf numFmtId="0" fontId="3" fillId="5" borderId="41" xfId="0" applyFont="1" applyFill="1" applyBorder="1" applyAlignment="1" applyProtection="1">
      <alignment horizontal="center" vertical="center"/>
      <protection locked="0"/>
    </xf>
    <xf numFmtId="0" fontId="3" fillId="5" borderId="2" xfId="0" applyFont="1" applyFill="1" applyBorder="1" applyAlignment="1" applyProtection="1">
      <alignment horizontal="center" vertical="center"/>
      <protection locked="0"/>
    </xf>
    <xf numFmtId="0" fontId="62" fillId="5" borderId="13" xfId="0" applyFont="1" applyFill="1" applyBorder="1" applyAlignment="1" applyProtection="1">
      <alignment horizontal="center" vertical="center"/>
      <protection locked="0"/>
    </xf>
    <xf numFmtId="0" fontId="62" fillId="5" borderId="2" xfId="0" applyFont="1" applyFill="1" applyBorder="1" applyAlignment="1" applyProtection="1">
      <alignment horizontal="center" vertical="center"/>
      <protection locked="0"/>
    </xf>
    <xf numFmtId="0" fontId="7" fillId="5" borderId="13" xfId="0" applyFont="1" applyFill="1" applyBorder="1" applyAlignment="1" applyProtection="1">
      <alignment horizontal="center" vertical="center"/>
      <protection locked="0"/>
    </xf>
    <xf numFmtId="0" fontId="7" fillId="5" borderId="2" xfId="0" applyFont="1" applyFill="1" applyBorder="1" applyAlignment="1" applyProtection="1">
      <alignment horizontal="center" vertical="center"/>
      <protection locked="0"/>
    </xf>
    <xf numFmtId="0" fontId="8" fillId="9" borderId="13" xfId="0" applyFont="1" applyFill="1" applyBorder="1" applyAlignment="1" applyProtection="1">
      <alignment horizontal="center" vertical="center"/>
      <protection locked="0"/>
    </xf>
    <xf numFmtId="0" fontId="8" fillId="9" borderId="2" xfId="0" applyFont="1" applyFill="1" applyBorder="1" applyAlignment="1" applyProtection="1">
      <alignment horizontal="center" vertical="center"/>
      <protection locked="0"/>
    </xf>
    <xf numFmtId="0" fontId="7" fillId="5" borderId="13" xfId="0" applyFont="1" applyFill="1" applyBorder="1" applyAlignment="1" applyProtection="1">
      <alignment horizontal="center" vertical="center"/>
      <protection hidden="1"/>
    </xf>
    <xf numFmtId="0" fontId="7" fillId="5" borderId="2" xfId="0" applyFont="1" applyFill="1" applyBorder="1" applyAlignment="1" applyProtection="1">
      <alignment horizontal="center" vertical="center"/>
      <protection hidden="1"/>
    </xf>
    <xf numFmtId="0" fontId="4" fillId="4" borderId="15" xfId="0" applyFont="1" applyFill="1" applyBorder="1" applyAlignment="1" applyProtection="1">
      <alignment horizontal="center" vertical="center"/>
      <protection locked="0"/>
    </xf>
    <xf numFmtId="0" fontId="9" fillId="3" borderId="16" xfId="0" applyFont="1" applyFill="1" applyBorder="1" applyAlignment="1" applyProtection="1">
      <alignment horizontal="center" vertical="center"/>
      <protection locked="0"/>
    </xf>
    <xf numFmtId="0" fontId="9" fillId="3" borderId="42" xfId="0" applyFont="1" applyFill="1" applyBorder="1" applyAlignment="1" applyProtection="1">
      <alignment horizontal="center" vertical="center"/>
      <protection locked="0"/>
    </xf>
    <xf numFmtId="0" fontId="9" fillId="3" borderId="43" xfId="0" applyFont="1" applyFill="1" applyBorder="1" applyAlignment="1" applyProtection="1">
      <alignment horizontal="center" vertical="center"/>
      <protection locked="0"/>
    </xf>
    <xf numFmtId="0" fontId="9" fillId="3" borderId="3" xfId="0" applyFont="1" applyFill="1" applyBorder="1" applyAlignment="1" applyProtection="1">
      <alignment horizontal="center" vertical="center"/>
      <protection locked="0"/>
    </xf>
    <xf numFmtId="0" fontId="9" fillId="3" borderId="0" xfId="0" applyFont="1" applyFill="1" applyAlignment="1" applyProtection="1">
      <alignment horizontal="center" vertical="center"/>
      <protection locked="0"/>
    </xf>
    <xf numFmtId="0" fontId="9" fillId="3" borderId="31" xfId="0" applyFont="1" applyFill="1" applyBorder="1" applyAlignment="1" applyProtection="1">
      <alignment horizontal="center" vertical="center"/>
      <protection locked="0"/>
    </xf>
    <xf numFmtId="0" fontId="9" fillId="3" borderId="10" xfId="0" applyFont="1" applyFill="1" applyBorder="1" applyAlignment="1" applyProtection="1">
      <alignment horizontal="center" vertical="center"/>
      <protection locked="0"/>
    </xf>
    <xf numFmtId="0" fontId="9" fillId="3" borderId="4" xfId="0" applyFont="1" applyFill="1" applyBorder="1" applyAlignment="1" applyProtection="1">
      <alignment horizontal="center" vertical="center"/>
      <protection locked="0"/>
    </xf>
    <xf numFmtId="0" fontId="9" fillId="3" borderId="20" xfId="0" applyFont="1" applyFill="1" applyBorder="1" applyAlignment="1" applyProtection="1">
      <alignment horizontal="center" vertical="center"/>
      <protection locked="0"/>
    </xf>
    <xf numFmtId="0" fontId="10" fillId="3" borderId="3" xfId="0" applyFont="1" applyFill="1" applyBorder="1" applyAlignment="1" applyProtection="1">
      <alignment horizontal="center" vertical="center"/>
      <protection locked="0"/>
    </xf>
    <xf numFmtId="0" fontId="10" fillId="3" borderId="0" xfId="0" applyFont="1" applyFill="1" applyAlignment="1" applyProtection="1">
      <alignment horizontal="center" vertical="center"/>
      <protection locked="0"/>
    </xf>
    <xf numFmtId="0" fontId="4" fillId="3" borderId="10" xfId="0" applyFont="1" applyFill="1" applyBorder="1" applyAlignment="1" applyProtection="1">
      <alignment horizontal="center" vertical="center"/>
      <protection locked="0"/>
    </xf>
    <xf numFmtId="0" fontId="4" fillId="3" borderId="4" xfId="0" applyFont="1" applyFill="1" applyBorder="1" applyAlignment="1" applyProtection="1">
      <alignment horizontal="center" vertical="center"/>
      <protection locked="0"/>
    </xf>
    <xf numFmtId="0" fontId="3" fillId="3" borderId="13" xfId="0" applyFont="1" applyFill="1" applyBorder="1" applyAlignment="1" applyProtection="1">
      <alignment horizontal="center" vertical="center"/>
      <protection locked="0"/>
    </xf>
    <xf numFmtId="0" fontId="3" fillId="3" borderId="41" xfId="0" applyFont="1" applyFill="1" applyBorder="1" applyAlignment="1" applyProtection="1">
      <alignment horizontal="center" vertical="center"/>
      <protection locked="0"/>
    </xf>
    <xf numFmtId="0" fontId="3" fillId="3" borderId="42" xfId="0" applyFont="1" applyFill="1" applyBorder="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7" borderId="16" xfId="0" applyFont="1" applyFill="1" applyBorder="1" applyAlignment="1" applyProtection="1">
      <alignment horizontal="center" vertical="center"/>
      <protection locked="0"/>
    </xf>
    <xf numFmtId="0" fontId="3" fillId="7" borderId="42" xfId="0" applyFont="1" applyFill="1" applyBorder="1" applyAlignment="1" applyProtection="1">
      <alignment horizontal="center" vertical="center"/>
      <protection locked="0"/>
    </xf>
    <xf numFmtId="0" fontId="3" fillId="7" borderId="43" xfId="0" applyFont="1" applyFill="1" applyBorder="1" applyAlignment="1" applyProtection="1">
      <alignment horizontal="center" vertical="center"/>
      <protection locked="0"/>
    </xf>
    <xf numFmtId="0" fontId="3" fillId="7" borderId="10" xfId="0" applyFont="1" applyFill="1" applyBorder="1" applyAlignment="1" applyProtection="1">
      <alignment horizontal="center" vertical="center"/>
      <protection locked="0"/>
    </xf>
    <xf numFmtId="0" fontId="3" fillId="7" borderId="4" xfId="0" applyFont="1" applyFill="1" applyBorder="1" applyAlignment="1" applyProtection="1">
      <alignment horizontal="center" vertical="center"/>
      <protection locked="0"/>
    </xf>
    <xf numFmtId="0" fontId="3" fillId="7" borderId="20" xfId="0" applyFont="1" applyFill="1" applyBorder="1" applyAlignment="1" applyProtection="1">
      <alignment horizontal="center" vertical="center"/>
      <protection locked="0"/>
    </xf>
    <xf numFmtId="0" fontId="3" fillId="9" borderId="13" xfId="0" applyFont="1" applyFill="1" applyBorder="1" applyAlignment="1" applyProtection="1">
      <alignment horizontal="center" vertical="center"/>
      <protection locked="0"/>
    </xf>
    <xf numFmtId="0" fontId="3" fillId="9" borderId="41" xfId="0" applyFont="1" applyFill="1" applyBorder="1" applyAlignment="1" applyProtection="1">
      <alignment horizontal="center" vertical="center"/>
      <protection locked="0"/>
    </xf>
    <xf numFmtId="0" fontId="3" fillId="9" borderId="2" xfId="0" applyFont="1" applyFill="1" applyBorder="1" applyAlignment="1" applyProtection="1">
      <alignment horizontal="center" vertical="center"/>
      <protection locked="0"/>
    </xf>
    <xf numFmtId="0" fontId="3" fillId="5" borderId="16" xfId="0" applyFont="1" applyFill="1" applyBorder="1" applyAlignment="1" applyProtection="1">
      <alignment horizontal="center" vertical="center"/>
      <protection locked="0"/>
    </xf>
    <xf numFmtId="0" fontId="3" fillId="5" borderId="42" xfId="0" applyFont="1" applyFill="1" applyBorder="1" applyAlignment="1" applyProtection="1">
      <alignment horizontal="center" vertical="center"/>
      <protection locked="0"/>
    </xf>
    <xf numFmtId="0" fontId="3" fillId="5" borderId="43" xfId="0" applyFont="1" applyFill="1" applyBorder="1" applyAlignment="1" applyProtection="1">
      <alignment horizontal="center" vertical="center"/>
      <protection locked="0"/>
    </xf>
    <xf numFmtId="0" fontId="3" fillId="5" borderId="10" xfId="0" applyFont="1" applyFill="1" applyBorder="1" applyAlignment="1" applyProtection="1">
      <alignment horizontal="center" vertical="center"/>
      <protection locked="0"/>
    </xf>
    <xf numFmtId="0" fontId="3" fillId="5" borderId="4" xfId="0" applyFont="1" applyFill="1" applyBorder="1" applyAlignment="1" applyProtection="1">
      <alignment horizontal="center" vertical="center"/>
      <protection locked="0"/>
    </xf>
    <xf numFmtId="0" fontId="3" fillId="5" borderId="20" xfId="0" applyFont="1" applyFill="1" applyBorder="1" applyAlignment="1" applyProtection="1">
      <alignment horizontal="center" vertical="center"/>
      <protection locked="0"/>
    </xf>
    <xf numFmtId="0" fontId="7" fillId="9" borderId="15" xfId="0" applyFont="1" applyFill="1" applyBorder="1" applyAlignment="1" applyProtection="1">
      <alignment horizontal="center" vertical="center" wrapText="1"/>
      <protection locked="0"/>
    </xf>
    <xf numFmtId="0" fontId="7" fillId="9" borderId="22"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protection locked="0"/>
    </xf>
    <xf numFmtId="0" fontId="3" fillId="5" borderId="13" xfId="1" applyNumberFormat="1" applyFont="1" applyFill="1" applyBorder="1" applyAlignment="1" applyProtection="1">
      <alignment horizontal="center" vertical="center"/>
      <protection locked="0"/>
    </xf>
    <xf numFmtId="0" fontId="3" fillId="5" borderId="41" xfId="1" applyNumberFormat="1" applyFont="1" applyFill="1" applyBorder="1" applyAlignment="1" applyProtection="1">
      <alignment horizontal="center" vertical="center"/>
      <protection locked="0"/>
    </xf>
    <xf numFmtId="0" fontId="3" fillId="5" borderId="2" xfId="1" applyNumberFormat="1" applyFont="1" applyFill="1" applyBorder="1" applyAlignment="1" applyProtection="1">
      <alignment horizontal="center" vertical="center"/>
      <protection locked="0"/>
    </xf>
    <xf numFmtId="0" fontId="7" fillId="4" borderId="15" xfId="0" applyFont="1" applyFill="1" applyBorder="1" applyAlignment="1" applyProtection="1">
      <alignment horizontal="center" vertical="center"/>
      <protection locked="0"/>
    </xf>
    <xf numFmtId="0" fontId="7" fillId="4" borderId="22" xfId="0" applyFont="1" applyFill="1" applyBorder="1" applyAlignment="1" applyProtection="1">
      <alignment horizontal="center" vertical="center"/>
      <protection locked="0"/>
    </xf>
    <xf numFmtId="49" fontId="8" fillId="9" borderId="1" xfId="0" applyNumberFormat="1" applyFont="1" applyFill="1" applyBorder="1" applyAlignment="1" applyProtection="1">
      <alignment horizontal="center" vertical="center"/>
      <protection locked="0"/>
    </xf>
    <xf numFmtId="0" fontId="6" fillId="9" borderId="1"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protection hidden="1"/>
    </xf>
    <xf numFmtId="0" fontId="6" fillId="9" borderId="13" xfId="0" applyFont="1" applyFill="1" applyBorder="1" applyAlignment="1" applyProtection="1">
      <alignment horizontal="center" vertical="center"/>
      <protection locked="0"/>
    </xf>
    <xf numFmtId="0" fontId="6" fillId="9" borderId="41" xfId="0" applyFont="1" applyFill="1" applyBorder="1" applyAlignment="1" applyProtection="1">
      <alignment horizontal="center" vertical="center"/>
      <protection locked="0"/>
    </xf>
    <xf numFmtId="0" fontId="6" fillId="9" borderId="2" xfId="0" applyFont="1" applyFill="1" applyBorder="1" applyAlignment="1" applyProtection="1">
      <alignment horizontal="center" vertical="center"/>
      <protection locked="0"/>
    </xf>
    <xf numFmtId="0" fontId="62" fillId="5" borderId="1" xfId="0" applyFont="1" applyFill="1" applyBorder="1" applyAlignment="1" applyProtection="1">
      <alignment horizontal="center" vertical="center"/>
      <protection locked="0"/>
    </xf>
    <xf numFmtId="0" fontId="6" fillId="5" borderId="1" xfId="0" applyFont="1" applyFill="1" applyBorder="1" applyAlignment="1" applyProtection="1">
      <alignment horizontal="center" vertical="center"/>
      <protection hidden="1"/>
    </xf>
    <xf numFmtId="49" fontId="6" fillId="3" borderId="13" xfId="2" applyNumberFormat="1" applyFont="1" applyFill="1" applyBorder="1" applyAlignment="1" applyProtection="1">
      <alignment horizontal="center" vertical="top"/>
      <protection locked="0"/>
    </xf>
    <xf numFmtId="49" fontId="6" fillId="3" borderId="41" xfId="2" applyNumberFormat="1" applyFont="1" applyFill="1" applyBorder="1" applyAlignment="1" applyProtection="1">
      <alignment horizontal="center" vertical="top"/>
      <protection locked="0"/>
    </xf>
    <xf numFmtId="49" fontId="6" fillId="3" borderId="2" xfId="2" applyNumberFormat="1" applyFont="1" applyFill="1" applyBorder="1" applyAlignment="1" applyProtection="1">
      <alignment horizontal="center" vertical="top"/>
      <protection locked="0"/>
    </xf>
    <xf numFmtId="49" fontId="6" fillId="12" borderId="13" xfId="2" applyNumberFormat="1" applyFont="1" applyFill="1" applyBorder="1" applyAlignment="1" applyProtection="1">
      <alignment horizontal="center" vertical="top"/>
      <protection locked="0"/>
    </xf>
    <xf numFmtId="49" fontId="6" fillId="12" borderId="41" xfId="2" applyNumberFormat="1" applyFont="1" applyFill="1" applyBorder="1" applyAlignment="1" applyProtection="1">
      <alignment horizontal="center" vertical="top"/>
      <protection locked="0"/>
    </xf>
    <xf numFmtId="49" fontId="6" fillId="12" borderId="2" xfId="2" applyNumberFormat="1" applyFont="1" applyFill="1" applyBorder="1" applyAlignment="1" applyProtection="1">
      <alignment horizontal="center" vertical="top"/>
      <protection locked="0"/>
    </xf>
    <xf numFmtId="0" fontId="12" fillId="8" borderId="12" xfId="0" applyFont="1" applyFill="1" applyBorder="1" applyAlignment="1" applyProtection="1">
      <alignment horizontal="center" vertical="center"/>
      <protection locked="0"/>
    </xf>
    <xf numFmtId="0" fontId="12" fillId="8" borderId="8" xfId="0" applyFont="1" applyFill="1" applyBorder="1" applyAlignment="1" applyProtection="1">
      <alignment horizontal="center" vertical="center"/>
      <protection locked="0"/>
    </xf>
    <xf numFmtId="0" fontId="11" fillId="9" borderId="44" xfId="0" applyFont="1" applyFill="1" applyBorder="1" applyAlignment="1" applyProtection="1">
      <alignment horizontal="center" vertical="center"/>
      <protection locked="0"/>
    </xf>
    <xf numFmtId="0" fontId="11" fillId="9" borderId="45" xfId="0" applyFont="1" applyFill="1" applyBorder="1" applyAlignment="1" applyProtection="1">
      <alignment horizontal="center" vertical="center"/>
      <protection locked="0"/>
    </xf>
    <xf numFmtId="0" fontId="11" fillId="9" borderId="17" xfId="0" applyFont="1" applyFill="1" applyBorder="1" applyAlignment="1" applyProtection="1">
      <alignment horizontal="center" vertical="center"/>
      <protection locked="0"/>
    </xf>
    <xf numFmtId="0" fontId="11" fillId="9" borderId="49" xfId="0" applyFont="1" applyFill="1" applyBorder="1" applyAlignment="1" applyProtection="1">
      <alignment horizontal="center" vertical="center"/>
      <protection locked="0"/>
    </xf>
    <xf numFmtId="0" fontId="12" fillId="9" borderId="21" xfId="0" applyFont="1" applyFill="1" applyBorder="1" applyAlignment="1" applyProtection="1">
      <alignment horizontal="center" vertical="center" wrapText="1"/>
      <protection locked="0"/>
    </xf>
    <xf numFmtId="0" fontId="12" fillId="9" borderId="7" xfId="0" applyFont="1" applyFill="1" applyBorder="1" applyAlignment="1" applyProtection="1">
      <alignment horizontal="center" vertical="center" wrapText="1"/>
      <protection locked="0"/>
    </xf>
    <xf numFmtId="0" fontId="12" fillId="9" borderId="55" xfId="0" applyFont="1" applyFill="1" applyBorder="1" applyAlignment="1" applyProtection="1">
      <alignment horizontal="center" vertical="center" wrapText="1"/>
      <protection locked="0"/>
    </xf>
    <xf numFmtId="0" fontId="12" fillId="9" borderId="56" xfId="0" applyFont="1" applyFill="1" applyBorder="1" applyAlignment="1" applyProtection="1">
      <alignment horizontal="center" vertical="center" wrapText="1"/>
      <protection locked="0"/>
    </xf>
    <xf numFmtId="0" fontId="12" fillId="5" borderId="22" xfId="0" applyFont="1" applyFill="1" applyBorder="1" applyAlignment="1" applyProtection="1">
      <alignment horizontal="center" vertical="center"/>
      <protection locked="0"/>
    </xf>
    <xf numFmtId="0" fontId="12" fillId="6" borderId="22" xfId="0" applyFont="1" applyFill="1" applyBorder="1" applyAlignment="1" applyProtection="1">
      <alignment horizontal="center" vertical="center"/>
      <protection locked="0"/>
    </xf>
    <xf numFmtId="0" fontId="12" fillId="8" borderId="22" xfId="0" applyFont="1" applyFill="1" applyBorder="1" applyAlignment="1" applyProtection="1">
      <alignment horizontal="center" vertical="center"/>
      <protection locked="0"/>
    </xf>
    <xf numFmtId="0" fontId="12" fillId="8" borderId="5" xfId="0" applyFont="1" applyFill="1" applyBorder="1" applyAlignment="1" applyProtection="1">
      <alignment horizontal="center" vertical="center"/>
      <protection locked="0"/>
    </xf>
    <xf numFmtId="0" fontId="12" fillId="7" borderId="22" xfId="0" applyFont="1" applyFill="1" applyBorder="1" applyAlignment="1" applyProtection="1">
      <alignment horizontal="center" vertical="center"/>
      <protection locked="0"/>
    </xf>
    <xf numFmtId="0" fontId="12" fillId="9" borderId="25" xfId="0" applyFont="1" applyFill="1" applyBorder="1" applyAlignment="1" applyProtection="1">
      <alignment horizontal="center" vertical="center" wrapText="1"/>
      <protection locked="0"/>
    </xf>
    <xf numFmtId="0" fontId="12" fillId="9" borderId="52" xfId="0" applyFont="1" applyFill="1" applyBorder="1" applyAlignment="1" applyProtection="1">
      <alignment horizontal="center" vertical="center" wrapText="1"/>
      <protection locked="0"/>
    </xf>
    <xf numFmtId="0" fontId="12" fillId="9" borderId="53" xfId="0" applyFont="1" applyFill="1" applyBorder="1" applyAlignment="1" applyProtection="1">
      <alignment horizontal="center" vertical="center" wrapText="1"/>
      <protection locked="0"/>
    </xf>
    <xf numFmtId="0" fontId="12" fillId="9" borderId="54" xfId="0" applyFont="1" applyFill="1" applyBorder="1" applyAlignment="1" applyProtection="1">
      <alignment horizontal="center" vertical="center" wrapText="1"/>
      <protection locked="0"/>
    </xf>
    <xf numFmtId="0" fontId="12" fillId="9" borderId="11" xfId="0" applyFont="1" applyFill="1" applyBorder="1" applyAlignment="1" applyProtection="1">
      <alignment horizontal="center" vertical="center" wrapText="1"/>
      <protection locked="0"/>
    </xf>
    <xf numFmtId="0" fontId="12" fillId="5" borderId="46" xfId="0" applyFont="1" applyFill="1" applyBorder="1" applyAlignment="1" applyProtection="1">
      <alignment horizontal="center" vertical="center"/>
      <protection locked="0"/>
    </xf>
    <xf numFmtId="0" fontId="12" fillId="5" borderId="47" xfId="0" applyFont="1" applyFill="1" applyBorder="1" applyAlignment="1" applyProtection="1">
      <alignment horizontal="center" vertical="center"/>
      <protection locked="0"/>
    </xf>
    <xf numFmtId="0" fontId="12" fillId="6" borderId="47" xfId="0" applyFont="1" applyFill="1" applyBorder="1" applyAlignment="1" applyProtection="1">
      <alignment horizontal="center" vertical="center"/>
      <protection locked="0"/>
    </xf>
    <xf numFmtId="0" fontId="12" fillId="6" borderId="29" xfId="0" applyFont="1" applyFill="1" applyBorder="1" applyAlignment="1" applyProtection="1">
      <alignment horizontal="center" vertical="center"/>
      <protection locked="0"/>
    </xf>
    <xf numFmtId="0" fontId="12" fillId="8" borderId="50" xfId="0" applyFont="1" applyFill="1" applyBorder="1" applyAlignment="1" applyProtection="1">
      <alignment horizontal="center" vertical="center"/>
      <protection locked="0"/>
    </xf>
    <xf numFmtId="0" fontId="12" fillId="8" borderId="51" xfId="0" applyFont="1" applyFill="1" applyBorder="1" applyAlignment="1" applyProtection="1">
      <alignment horizontal="center" vertical="center"/>
      <protection locked="0"/>
    </xf>
    <xf numFmtId="0" fontId="12" fillId="5" borderId="1" xfId="0" applyFont="1" applyFill="1" applyBorder="1" applyAlignment="1" applyProtection="1">
      <alignment horizontal="center" vertical="center"/>
      <protection locked="0"/>
    </xf>
    <xf numFmtId="0" fontId="12" fillId="6" borderId="1" xfId="0" applyFont="1" applyFill="1" applyBorder="1" applyAlignment="1" applyProtection="1">
      <alignment horizontal="center" vertical="center"/>
      <protection locked="0"/>
    </xf>
    <xf numFmtId="0" fontId="12" fillId="6" borderId="23" xfId="0" applyFont="1" applyFill="1" applyBorder="1" applyAlignment="1" applyProtection="1">
      <alignment horizontal="center" vertical="center"/>
      <protection locked="0"/>
    </xf>
    <xf numFmtId="0" fontId="12" fillId="7" borderId="23" xfId="0" applyFont="1" applyFill="1" applyBorder="1" applyAlignment="1" applyProtection="1">
      <alignment horizontal="center" vertical="center"/>
      <protection locked="0"/>
    </xf>
    <xf numFmtId="0" fontId="12" fillId="7" borderId="24" xfId="0" applyFont="1" applyFill="1" applyBorder="1" applyAlignment="1" applyProtection="1">
      <alignment horizontal="center" vertical="center"/>
      <protection locked="0"/>
    </xf>
    <xf numFmtId="0" fontId="12" fillId="7" borderId="1" xfId="0" applyFont="1" applyFill="1" applyBorder="1" applyAlignment="1" applyProtection="1">
      <alignment horizontal="center" vertical="center"/>
      <protection locked="0"/>
    </xf>
    <xf numFmtId="0" fontId="12" fillId="5" borderId="24" xfId="0" applyFont="1" applyFill="1" applyBorder="1" applyAlignment="1" applyProtection="1">
      <alignment horizontal="center" vertical="center"/>
      <protection locked="0"/>
    </xf>
    <xf numFmtId="0" fontId="12" fillId="9" borderId="44" xfId="0" applyFont="1" applyFill="1" applyBorder="1" applyAlignment="1" applyProtection="1">
      <alignment horizontal="center" vertical="center"/>
      <protection locked="0"/>
    </xf>
    <xf numFmtId="0" fontId="12" fillId="9" borderId="45" xfId="0" applyFont="1" applyFill="1" applyBorder="1" applyAlignment="1" applyProtection="1">
      <alignment horizontal="center" vertical="center"/>
      <protection locked="0"/>
    </xf>
    <xf numFmtId="0" fontId="12" fillId="9" borderId="17" xfId="0" applyFont="1" applyFill="1" applyBorder="1" applyAlignment="1" applyProtection="1">
      <alignment horizontal="center" vertical="center"/>
      <protection locked="0"/>
    </xf>
    <xf numFmtId="0" fontId="12" fillId="9" borderId="49" xfId="0" applyFont="1" applyFill="1" applyBorder="1" applyAlignment="1" applyProtection="1">
      <alignment horizontal="center" vertical="center"/>
      <protection locked="0"/>
    </xf>
    <xf numFmtId="0" fontId="21" fillId="9" borderId="44" xfId="0" applyFont="1" applyFill="1" applyBorder="1" applyAlignment="1" applyProtection="1">
      <alignment horizontal="center" vertical="center"/>
      <protection locked="0"/>
    </xf>
    <xf numFmtId="0" fontId="21" fillId="9" borderId="17" xfId="0" applyFont="1" applyFill="1" applyBorder="1" applyAlignment="1" applyProtection="1">
      <alignment horizontal="center" vertical="center"/>
      <protection locked="0"/>
    </xf>
    <xf numFmtId="0" fontId="21" fillId="9" borderId="49" xfId="0" applyFont="1" applyFill="1" applyBorder="1" applyAlignment="1" applyProtection="1">
      <alignment horizontal="center" vertical="center"/>
      <protection locked="0"/>
    </xf>
    <xf numFmtId="0" fontId="12" fillId="7" borderId="46" xfId="0" applyFont="1" applyFill="1" applyBorder="1" applyAlignment="1" applyProtection="1">
      <alignment horizontal="center" vertical="center"/>
      <protection locked="0"/>
    </xf>
    <xf numFmtId="0" fontId="12" fillId="7" borderId="47" xfId="0" applyFont="1" applyFill="1" applyBorder="1" applyAlignment="1" applyProtection="1">
      <alignment horizontal="center" vertical="center"/>
      <protection locked="0"/>
    </xf>
    <xf numFmtId="0" fontId="12" fillId="7" borderId="29" xfId="0" applyFont="1" applyFill="1" applyBorder="1" applyAlignment="1" applyProtection="1">
      <alignment horizontal="center" vertical="center"/>
      <protection locked="0"/>
    </xf>
    <xf numFmtId="0" fontId="21" fillId="9" borderId="21" xfId="0" applyFont="1" applyFill="1" applyBorder="1" applyAlignment="1" applyProtection="1">
      <alignment horizontal="center" vertical="center"/>
      <protection locked="0"/>
    </xf>
    <xf numFmtId="0" fontId="21" fillId="9" borderId="20" xfId="0" applyFont="1" applyFill="1" applyBorder="1" applyAlignment="1" applyProtection="1">
      <alignment horizontal="center" vertical="center"/>
      <protection locked="0"/>
    </xf>
    <xf numFmtId="0" fontId="21" fillId="9" borderId="22" xfId="0" applyFont="1" applyFill="1" applyBorder="1" applyAlignment="1" applyProtection="1">
      <alignment horizontal="center" vertical="center"/>
      <protection locked="0"/>
    </xf>
    <xf numFmtId="0" fontId="26" fillId="6" borderId="24" xfId="0" applyFont="1" applyFill="1" applyBorder="1" applyAlignment="1" applyProtection="1">
      <alignment horizontal="center" vertical="center"/>
      <protection locked="0"/>
    </xf>
    <xf numFmtId="0" fontId="26" fillId="6" borderId="2" xfId="0" applyFont="1" applyFill="1" applyBorder="1" applyAlignment="1" applyProtection="1">
      <alignment horizontal="center" vertical="center"/>
      <protection locked="0"/>
    </xf>
    <xf numFmtId="0" fontId="26" fillId="6" borderId="1" xfId="0" applyFont="1" applyFill="1" applyBorder="1" applyAlignment="1" applyProtection="1">
      <alignment horizontal="center" vertical="center"/>
      <protection locked="0"/>
    </xf>
    <xf numFmtId="0" fontId="26" fillId="5" borderId="48" xfId="0" applyFont="1" applyFill="1" applyBorder="1" applyAlignment="1" applyProtection="1">
      <alignment horizontal="center" vertical="center"/>
      <protection locked="0"/>
    </xf>
    <xf numFmtId="0" fontId="26" fillId="5" borderId="43" xfId="0" applyFont="1" applyFill="1" applyBorder="1" applyAlignment="1" applyProtection="1">
      <alignment horizontal="center" vertical="center"/>
      <protection locked="0"/>
    </xf>
    <xf numFmtId="0" fontId="26" fillId="5" borderId="15" xfId="0" applyFont="1" applyFill="1" applyBorder="1" applyAlignment="1" applyProtection="1">
      <alignment horizontal="center" vertical="center"/>
      <protection locked="0"/>
    </xf>
    <xf numFmtId="0" fontId="13" fillId="9" borderId="44" xfId="0" applyFont="1" applyFill="1" applyBorder="1" applyAlignment="1" applyProtection="1">
      <alignment horizontal="center" vertical="center"/>
      <protection locked="0"/>
    </xf>
    <xf numFmtId="0" fontId="13" fillId="9" borderId="45" xfId="0" applyFont="1" applyFill="1" applyBorder="1" applyAlignment="1" applyProtection="1">
      <alignment horizontal="center" vertical="center"/>
      <protection locked="0"/>
    </xf>
    <xf numFmtId="0" fontId="13" fillId="9" borderId="17" xfId="0" applyFont="1" applyFill="1" applyBorder="1" applyAlignment="1" applyProtection="1">
      <alignment horizontal="center" vertical="center"/>
      <protection locked="0"/>
    </xf>
    <xf numFmtId="0" fontId="21" fillId="9" borderId="46" xfId="0" applyFont="1" applyFill="1" applyBorder="1" applyAlignment="1" applyProtection="1">
      <alignment horizontal="center" vertical="center"/>
      <protection locked="0"/>
    </xf>
    <xf numFmtId="0" fontId="21" fillId="9" borderId="47" xfId="0" applyFont="1" applyFill="1" applyBorder="1" applyAlignment="1" applyProtection="1">
      <alignment horizontal="center" vertical="center"/>
      <protection locked="0"/>
    </xf>
    <xf numFmtId="0" fontId="21" fillId="9" borderId="7" xfId="0" applyFont="1" applyFill="1" applyBorder="1" applyAlignment="1" applyProtection="1">
      <alignment horizontal="center" vertical="center"/>
      <protection locked="0"/>
    </xf>
    <xf numFmtId="0" fontId="21" fillId="9" borderId="5" xfId="0" applyFont="1" applyFill="1" applyBorder="1" applyAlignment="1" applyProtection="1">
      <alignment horizontal="center" vertical="center"/>
      <protection locked="0"/>
    </xf>
    <xf numFmtId="0" fontId="37" fillId="8" borderId="29" xfId="0" applyFont="1" applyFill="1" applyBorder="1" applyAlignment="1" applyProtection="1">
      <alignment horizontal="center" vertical="center"/>
      <protection hidden="1"/>
    </xf>
    <xf numFmtId="0" fontId="37" fillId="8" borderId="8" xfId="0" applyFont="1" applyFill="1" applyBorder="1" applyAlignment="1" applyProtection="1">
      <alignment horizontal="center" vertical="center"/>
      <protection hidden="1"/>
    </xf>
    <xf numFmtId="0" fontId="6" fillId="0" borderId="93" xfId="0" applyFont="1" applyBorder="1" applyAlignment="1" applyProtection="1">
      <alignment horizontal="left" vertical="center"/>
      <protection hidden="1"/>
    </xf>
    <xf numFmtId="0" fontId="6" fillId="0" borderId="117" xfId="0" applyFont="1" applyBorder="1" applyAlignment="1" applyProtection="1">
      <alignment horizontal="left" vertical="center"/>
      <protection hidden="1"/>
    </xf>
    <xf numFmtId="1" fontId="6" fillId="0" borderId="116" xfId="0" applyNumberFormat="1" applyFont="1" applyBorder="1" applyAlignment="1" applyProtection="1">
      <alignment horizontal="center" vertical="center"/>
      <protection hidden="1"/>
    </xf>
    <xf numFmtId="1" fontId="6" fillId="0" borderId="118" xfId="0" applyNumberFormat="1" applyFont="1" applyBorder="1" applyAlignment="1" applyProtection="1">
      <alignment horizontal="center" vertical="center"/>
      <protection hidden="1"/>
    </xf>
    <xf numFmtId="0" fontId="7" fillId="9" borderId="114" xfId="0" applyFont="1" applyFill="1" applyBorder="1" applyAlignment="1" applyProtection="1">
      <alignment horizontal="center" vertical="center"/>
      <protection hidden="1"/>
    </xf>
    <xf numFmtId="0" fontId="7" fillId="9" borderId="81" xfId="0" applyFont="1" applyFill="1" applyBorder="1" applyAlignment="1" applyProtection="1">
      <alignment horizontal="center" vertical="center"/>
      <protection hidden="1"/>
    </xf>
    <xf numFmtId="0" fontId="7" fillId="9" borderId="115" xfId="0" applyFont="1" applyFill="1" applyBorder="1" applyAlignment="1" applyProtection="1">
      <alignment horizontal="center" vertical="center"/>
      <protection hidden="1"/>
    </xf>
    <xf numFmtId="1" fontId="6" fillId="0" borderId="93" xfId="0" applyNumberFormat="1" applyFont="1" applyBorder="1" applyAlignment="1" applyProtection="1">
      <alignment horizontal="center" vertical="center"/>
      <protection hidden="1"/>
    </xf>
    <xf numFmtId="1" fontId="6" fillId="0" borderId="117" xfId="0" applyNumberFormat="1" applyFont="1" applyBorder="1" applyAlignment="1" applyProtection="1">
      <alignment horizontal="center" vertical="center"/>
      <protection hidden="1"/>
    </xf>
    <xf numFmtId="0" fontId="6" fillId="5" borderId="127" xfId="0" applyFont="1" applyFill="1" applyBorder="1" applyAlignment="1" applyProtection="1">
      <alignment horizontal="center" vertical="center"/>
      <protection hidden="1"/>
    </xf>
    <xf numFmtId="0" fontId="6" fillId="5" borderId="128" xfId="0" applyFont="1" applyFill="1" applyBorder="1" applyAlignment="1" applyProtection="1">
      <alignment horizontal="center" vertical="center"/>
      <protection hidden="1"/>
    </xf>
    <xf numFmtId="0" fontId="6" fillId="5" borderId="129" xfId="0" applyFont="1" applyFill="1" applyBorder="1" applyAlignment="1" applyProtection="1">
      <alignment horizontal="center" vertical="center"/>
      <protection hidden="1"/>
    </xf>
    <xf numFmtId="0" fontId="6" fillId="6" borderId="130" xfId="0" applyFont="1" applyFill="1" applyBorder="1" applyAlignment="1" applyProtection="1">
      <alignment horizontal="center" vertical="center"/>
      <protection hidden="1"/>
    </xf>
    <xf numFmtId="0" fontId="6" fillId="6" borderId="128" xfId="0" applyFont="1" applyFill="1" applyBorder="1" applyAlignment="1" applyProtection="1">
      <alignment horizontal="center" vertical="center"/>
      <protection hidden="1"/>
    </xf>
    <xf numFmtId="0" fontId="6" fillId="6" borderId="131" xfId="0" applyFont="1" applyFill="1" applyBorder="1" applyAlignment="1" applyProtection="1">
      <alignment horizontal="center" vertical="center"/>
      <protection hidden="1"/>
    </xf>
    <xf numFmtId="0" fontId="6" fillId="6" borderId="127" xfId="0" applyFont="1" applyFill="1" applyBorder="1" applyAlignment="1" applyProtection="1">
      <alignment horizontal="center" vertical="center"/>
      <protection hidden="1"/>
    </xf>
    <xf numFmtId="0" fontId="6" fillId="6" borderId="129" xfId="0" applyFont="1" applyFill="1" applyBorder="1" applyAlignment="1" applyProtection="1">
      <alignment horizontal="center" vertical="center"/>
      <protection hidden="1"/>
    </xf>
    <xf numFmtId="0" fontId="6" fillId="5" borderId="130" xfId="0" applyFont="1" applyFill="1" applyBorder="1" applyAlignment="1" applyProtection="1">
      <alignment horizontal="center" vertical="center"/>
      <protection hidden="1"/>
    </xf>
    <xf numFmtId="0" fontId="6" fillId="5" borderId="131" xfId="0" applyFont="1" applyFill="1" applyBorder="1" applyAlignment="1" applyProtection="1">
      <alignment horizontal="center" vertical="center"/>
      <protection hidden="1"/>
    </xf>
    <xf numFmtId="0" fontId="6" fillId="9" borderId="104" xfId="0" applyFont="1" applyFill="1" applyBorder="1" applyAlignment="1" applyProtection="1">
      <alignment horizontal="center" vertical="center"/>
      <protection hidden="1"/>
    </xf>
    <xf numFmtId="0" fontId="6" fillId="9" borderId="70" xfId="0" applyFont="1" applyFill="1" applyBorder="1" applyAlignment="1" applyProtection="1">
      <alignment horizontal="center" vertical="center"/>
      <protection hidden="1"/>
    </xf>
    <xf numFmtId="0" fontId="68" fillId="0" borderId="72" xfId="0" applyFont="1" applyBorder="1" applyAlignment="1" applyProtection="1">
      <alignment horizontal="center" vertical="center"/>
      <protection hidden="1"/>
    </xf>
    <xf numFmtId="0" fontId="68" fillId="0" borderId="73" xfId="0" applyFont="1" applyBorder="1" applyAlignment="1" applyProtection="1">
      <alignment horizontal="center" vertical="center"/>
      <protection hidden="1"/>
    </xf>
    <xf numFmtId="0" fontId="6" fillId="0" borderId="82" xfId="0" applyFont="1" applyBorder="1" applyAlignment="1" applyProtection="1">
      <alignment horizontal="center" vertical="center"/>
      <protection hidden="1"/>
    </xf>
    <xf numFmtId="0" fontId="6" fillId="9" borderId="82" xfId="0" applyFont="1" applyFill="1" applyBorder="1" applyAlignment="1" applyProtection="1">
      <alignment horizontal="center" vertical="center"/>
      <protection hidden="1"/>
    </xf>
    <xf numFmtId="0" fontId="6" fillId="0" borderId="71" xfId="0" applyFont="1" applyBorder="1" applyAlignment="1" applyProtection="1">
      <alignment horizontal="left" vertical="center"/>
      <protection hidden="1"/>
    </xf>
    <xf numFmtId="0" fontId="6" fillId="0" borderId="77" xfId="0" applyFont="1" applyBorder="1" applyAlignment="1" applyProtection="1">
      <alignment horizontal="left" vertical="center"/>
      <protection hidden="1"/>
    </xf>
    <xf numFmtId="0" fontId="6" fillId="0" borderId="69" xfId="0" applyFont="1" applyBorder="1" applyAlignment="1" applyProtection="1">
      <alignment horizontal="center" vertical="center"/>
      <protection hidden="1"/>
    </xf>
    <xf numFmtId="0" fontId="6" fillId="0" borderId="72" xfId="0" applyFont="1" applyBorder="1" applyAlignment="1" applyProtection="1">
      <alignment horizontal="center" vertical="center"/>
      <protection hidden="1"/>
    </xf>
    <xf numFmtId="0" fontId="7" fillId="6" borderId="82" xfId="0" applyFont="1" applyFill="1" applyBorder="1" applyAlignment="1" applyProtection="1">
      <alignment horizontal="center" vertical="center"/>
      <protection hidden="1"/>
    </xf>
    <xf numFmtId="1" fontId="6" fillId="6" borderId="83" xfId="0" applyNumberFormat="1" applyFont="1" applyFill="1" applyBorder="1" applyAlignment="1" applyProtection="1">
      <alignment horizontal="center" vertical="center"/>
      <protection hidden="1"/>
    </xf>
    <xf numFmtId="1" fontId="6" fillId="6" borderId="126" xfId="0" applyNumberFormat="1" applyFont="1" applyFill="1" applyBorder="1" applyAlignment="1" applyProtection="1">
      <alignment horizontal="center" vertical="center"/>
      <protection hidden="1"/>
    </xf>
    <xf numFmtId="0" fontId="6" fillId="0" borderId="106" xfId="0" applyFont="1" applyBorder="1" applyAlignment="1" applyProtection="1">
      <alignment horizontal="left" vertical="center" wrapText="1"/>
      <protection hidden="1"/>
    </xf>
    <xf numFmtId="0" fontId="6" fillId="0" borderId="107" xfId="0" applyFont="1" applyBorder="1" applyAlignment="1" applyProtection="1">
      <alignment horizontal="left" vertical="center" wrapText="1"/>
      <protection hidden="1"/>
    </xf>
    <xf numFmtId="0" fontId="6" fillId="0" borderId="73" xfId="0" applyFont="1" applyBorder="1" applyAlignment="1" applyProtection="1">
      <alignment horizontal="center" vertical="center"/>
      <protection hidden="1"/>
    </xf>
    <xf numFmtId="0" fontId="6" fillId="0" borderId="78" xfId="0" applyFont="1" applyBorder="1" applyAlignment="1" applyProtection="1">
      <alignment horizontal="center" vertical="center"/>
      <protection hidden="1"/>
    </xf>
    <xf numFmtId="0" fontId="47" fillId="20" borderId="97" xfId="0" applyFont="1" applyFill="1" applyBorder="1" applyAlignment="1" applyProtection="1">
      <alignment horizontal="center" vertical="center"/>
      <protection hidden="1"/>
    </xf>
    <xf numFmtId="0" fontId="47" fillId="20" borderId="98" xfId="0" applyFont="1" applyFill="1" applyBorder="1" applyAlignment="1" applyProtection="1">
      <alignment horizontal="center" vertical="center"/>
      <protection hidden="1"/>
    </xf>
    <xf numFmtId="0" fontId="47" fillId="20" borderId="100" xfId="0" applyFont="1" applyFill="1" applyBorder="1" applyAlignment="1" applyProtection="1">
      <alignment horizontal="center" vertical="center"/>
      <protection hidden="1"/>
    </xf>
    <xf numFmtId="0" fontId="47" fillId="20" borderId="0" xfId="0" applyFont="1" applyFill="1" applyAlignment="1" applyProtection="1">
      <alignment horizontal="center" vertical="center"/>
      <protection hidden="1"/>
    </xf>
    <xf numFmtId="0" fontId="6" fillId="9" borderId="69" xfId="0" applyFont="1" applyFill="1" applyBorder="1" applyAlignment="1" applyProtection="1">
      <alignment horizontal="center" vertical="center"/>
      <protection hidden="1"/>
    </xf>
    <xf numFmtId="0" fontId="6" fillId="9" borderId="105" xfId="0" applyFont="1" applyFill="1" applyBorder="1" applyAlignment="1" applyProtection="1">
      <alignment horizontal="center" vertical="center"/>
      <protection hidden="1"/>
    </xf>
    <xf numFmtId="0" fontId="47" fillId="20" borderId="111" xfId="0" applyFont="1" applyFill="1" applyBorder="1" applyAlignment="1" applyProtection="1">
      <alignment horizontal="center" vertical="center"/>
      <protection hidden="1"/>
    </xf>
    <xf numFmtId="0" fontId="47" fillId="20" borderId="112" xfId="0" applyFont="1" applyFill="1" applyBorder="1" applyAlignment="1" applyProtection="1">
      <alignment horizontal="center" vertical="center"/>
      <protection hidden="1"/>
    </xf>
    <xf numFmtId="0" fontId="7" fillId="6" borderId="102" xfId="0" applyFont="1" applyFill="1" applyBorder="1" applyAlignment="1" applyProtection="1">
      <alignment horizontal="center" vertical="center"/>
      <protection hidden="1"/>
    </xf>
    <xf numFmtId="0" fontId="7" fillId="6" borderId="74" xfId="0" applyFont="1" applyFill="1" applyBorder="1" applyAlignment="1" applyProtection="1">
      <alignment horizontal="center" vertical="center"/>
      <protection hidden="1"/>
    </xf>
    <xf numFmtId="0" fontId="7" fillId="6" borderId="103" xfId="0" applyFont="1" applyFill="1" applyBorder="1" applyAlignment="1" applyProtection="1">
      <alignment horizontal="center" vertical="center"/>
      <protection hidden="1"/>
    </xf>
    <xf numFmtId="0" fontId="40" fillId="9" borderId="46" xfId="0" applyFont="1" applyFill="1" applyBorder="1" applyAlignment="1" applyProtection="1">
      <alignment horizontal="center" vertical="center"/>
      <protection locked="0"/>
    </xf>
    <xf numFmtId="0" fontId="40" fillId="9" borderId="47" xfId="0" applyFont="1" applyFill="1" applyBorder="1" applyAlignment="1" applyProtection="1">
      <alignment horizontal="center" vertical="center"/>
      <protection locked="0"/>
    </xf>
    <xf numFmtId="0" fontId="40" fillId="9" borderId="24" xfId="0" applyFont="1" applyFill="1" applyBorder="1" applyAlignment="1" applyProtection="1">
      <alignment horizontal="center" vertical="center"/>
      <protection locked="0"/>
    </xf>
    <xf numFmtId="0" fontId="40" fillId="9" borderId="1" xfId="0" applyFont="1" applyFill="1" applyBorder="1" applyAlignment="1" applyProtection="1">
      <alignment horizontal="center" vertical="center"/>
      <protection locked="0"/>
    </xf>
    <xf numFmtId="0" fontId="40" fillId="17" borderId="47" xfId="0" applyFont="1" applyFill="1" applyBorder="1" applyAlignment="1" applyProtection="1">
      <alignment horizontal="center" vertical="center"/>
      <protection locked="0"/>
    </xf>
    <xf numFmtId="0" fontId="40" fillId="17" borderId="29" xfId="0" applyFont="1" applyFill="1" applyBorder="1" applyAlignment="1" applyProtection="1">
      <alignment horizontal="center" vertical="center"/>
      <protection locked="0"/>
    </xf>
    <xf numFmtId="0" fontId="40" fillId="17" borderId="1" xfId="0" applyFont="1" applyFill="1" applyBorder="1" applyAlignment="1" applyProtection="1">
      <alignment horizontal="center" vertical="center"/>
      <protection locked="0"/>
    </xf>
    <xf numFmtId="0" fontId="40" fillId="17" borderId="23" xfId="0" applyFont="1" applyFill="1" applyBorder="1" applyAlignment="1" applyProtection="1">
      <alignment horizontal="center" vertical="center"/>
      <protection locked="0"/>
    </xf>
    <xf numFmtId="0" fontId="38" fillId="9" borderId="24" xfId="0" applyFont="1" applyFill="1" applyBorder="1" applyAlignment="1" applyProtection="1">
      <alignment horizontal="center" vertical="center"/>
      <protection locked="0"/>
    </xf>
    <xf numFmtId="0" fontId="38" fillId="9" borderId="1" xfId="0" applyFont="1" applyFill="1" applyBorder="1" applyAlignment="1" applyProtection="1">
      <alignment horizontal="center" vertical="center"/>
      <protection locked="0"/>
    </xf>
    <xf numFmtId="0" fontId="38" fillId="9" borderId="23" xfId="0" applyFont="1" applyFill="1" applyBorder="1" applyAlignment="1" applyProtection="1">
      <alignment horizontal="center" vertical="center"/>
      <protection locked="0"/>
    </xf>
    <xf numFmtId="0" fontId="66" fillId="11" borderId="1" xfId="0" applyFont="1" applyFill="1" applyBorder="1" applyAlignment="1" applyProtection="1">
      <alignment horizontal="center" vertical="center"/>
      <protection locked="0"/>
    </xf>
    <xf numFmtId="0" fontId="66" fillId="11" borderId="23" xfId="0" applyFont="1" applyFill="1" applyBorder="1" applyAlignment="1" applyProtection="1">
      <alignment horizontal="center" vertical="center"/>
      <protection locked="0"/>
    </xf>
    <xf numFmtId="0" fontId="66" fillId="3" borderId="1" xfId="0" applyFont="1" applyFill="1" applyBorder="1" applyAlignment="1" applyProtection="1">
      <alignment horizontal="center" vertical="center"/>
      <protection hidden="1"/>
    </xf>
    <xf numFmtId="0" fontId="66" fillId="3" borderId="23" xfId="0" applyFont="1" applyFill="1" applyBorder="1" applyAlignment="1" applyProtection="1">
      <alignment horizontal="center" vertical="center"/>
      <protection hidden="1"/>
    </xf>
    <xf numFmtId="0" fontId="6" fillId="0" borderId="57" xfId="0" applyFont="1" applyBorder="1" applyAlignment="1" applyProtection="1">
      <alignment horizontal="center" vertical="center"/>
      <protection hidden="1"/>
    </xf>
    <xf numFmtId="2" fontId="6" fillId="0" borderId="57" xfId="0" applyNumberFormat="1" applyFont="1" applyBorder="1" applyAlignment="1" applyProtection="1">
      <alignment horizontal="center" vertical="center"/>
      <protection hidden="1"/>
    </xf>
    <xf numFmtId="1" fontId="6" fillId="5" borderId="58" xfId="0" applyNumberFormat="1" applyFont="1" applyFill="1" applyBorder="1" applyAlignment="1" applyProtection="1">
      <alignment horizontal="center" vertical="center"/>
      <protection hidden="1"/>
    </xf>
    <xf numFmtId="1" fontId="6" fillId="5" borderId="59" xfId="0" applyNumberFormat="1" applyFont="1" applyFill="1" applyBorder="1" applyAlignment="1" applyProtection="1">
      <alignment horizontal="center" vertical="center"/>
      <protection hidden="1"/>
    </xf>
    <xf numFmtId="0" fontId="66" fillId="12" borderId="5" xfId="0" applyFont="1" applyFill="1" applyBorder="1" applyAlignment="1" applyProtection="1">
      <alignment horizontal="center" vertical="center"/>
      <protection hidden="1"/>
    </xf>
    <xf numFmtId="0" fontId="66" fillId="12" borderId="8" xfId="0" applyFont="1" applyFill="1" applyBorder="1" applyAlignment="1" applyProtection="1">
      <alignment horizontal="center" vertical="center"/>
      <protection hidden="1"/>
    </xf>
    <xf numFmtId="1" fontId="6" fillId="0" borderId="75" xfId="0" applyNumberFormat="1" applyFont="1" applyBorder="1" applyAlignment="1" applyProtection="1">
      <alignment horizontal="center" vertical="center"/>
      <protection hidden="1"/>
    </xf>
    <xf numFmtId="1" fontId="6" fillId="0" borderId="79" xfId="0" applyNumberFormat="1" applyFont="1" applyBorder="1" applyAlignment="1" applyProtection="1">
      <alignment horizontal="center" vertical="center"/>
      <protection hidden="1"/>
    </xf>
    <xf numFmtId="0" fontId="7" fillId="5" borderId="57" xfId="0" applyFont="1" applyFill="1" applyBorder="1" applyAlignment="1" applyProtection="1">
      <alignment horizontal="center" vertical="center"/>
      <protection hidden="1"/>
    </xf>
    <xf numFmtId="0" fontId="6" fillId="9" borderId="57" xfId="0" applyFont="1" applyFill="1" applyBorder="1" applyAlignment="1" applyProtection="1">
      <alignment horizontal="center" vertical="center"/>
      <protection hidden="1"/>
    </xf>
    <xf numFmtId="0" fontId="6" fillId="0" borderId="72" xfId="0" applyFont="1" applyBorder="1" applyAlignment="1" applyProtection="1">
      <alignment horizontal="left" vertical="center"/>
      <protection hidden="1"/>
    </xf>
    <xf numFmtId="0" fontId="6" fillId="0" borderId="76" xfId="0" applyFont="1" applyBorder="1" applyAlignment="1" applyProtection="1">
      <alignment horizontal="left" vertical="center"/>
      <protection hidden="1"/>
    </xf>
    <xf numFmtId="0" fontId="6" fillId="0" borderId="76" xfId="0" applyFont="1" applyBorder="1" applyAlignment="1" applyProtection="1">
      <alignment horizontal="center" vertical="center"/>
      <protection hidden="1"/>
    </xf>
    <xf numFmtId="0" fontId="7" fillId="5" borderId="119" xfId="0" applyFont="1" applyFill="1" applyBorder="1" applyAlignment="1" applyProtection="1">
      <alignment horizontal="center" vertical="center"/>
      <protection hidden="1"/>
    </xf>
    <xf numFmtId="0" fontId="7" fillId="5" borderId="120" xfId="0" applyFont="1" applyFill="1" applyBorder="1" applyAlignment="1" applyProtection="1">
      <alignment horizontal="center" vertical="center"/>
      <protection hidden="1"/>
    </xf>
    <xf numFmtId="0" fontId="7" fillId="5" borderId="121" xfId="0" applyFont="1" applyFill="1" applyBorder="1" applyAlignment="1" applyProtection="1">
      <alignment horizontal="center" vertical="center"/>
      <protection hidden="1"/>
    </xf>
    <xf numFmtId="0" fontId="6" fillId="3" borderId="69" xfId="0" applyFont="1" applyFill="1" applyBorder="1" applyAlignment="1" applyProtection="1">
      <alignment horizontal="center" vertical="center"/>
      <protection hidden="1"/>
    </xf>
    <xf numFmtId="14" fontId="47" fillId="20" borderId="98" xfId="0" applyNumberFormat="1" applyFont="1" applyFill="1" applyBorder="1" applyAlignment="1" applyProtection="1">
      <alignment horizontal="left" vertical="center"/>
      <protection locked="0"/>
    </xf>
    <xf numFmtId="0" fontId="47" fillId="20" borderId="0" xfId="0" applyFont="1" applyFill="1" applyAlignment="1" applyProtection="1">
      <alignment horizontal="left" vertical="center"/>
      <protection locked="0"/>
    </xf>
    <xf numFmtId="0" fontId="47" fillId="20" borderId="112" xfId="0" applyFont="1" applyFill="1" applyBorder="1" applyAlignment="1" applyProtection="1">
      <alignment horizontal="left" vertical="center"/>
      <protection locked="0"/>
    </xf>
    <xf numFmtId="14" fontId="47" fillId="20" borderId="98" xfId="0" applyNumberFormat="1" applyFont="1" applyFill="1" applyBorder="1" applyAlignment="1" applyProtection="1">
      <alignment horizontal="center" vertical="center"/>
      <protection hidden="1"/>
    </xf>
    <xf numFmtId="14" fontId="47" fillId="20" borderId="0" xfId="0" applyNumberFormat="1" applyFont="1" applyFill="1" applyAlignment="1" applyProtection="1">
      <alignment horizontal="center" vertical="center"/>
      <protection hidden="1"/>
    </xf>
    <xf numFmtId="14" fontId="47" fillId="20" borderId="112" xfId="0" applyNumberFormat="1" applyFont="1" applyFill="1" applyBorder="1" applyAlignment="1" applyProtection="1">
      <alignment horizontal="center" vertical="center"/>
      <protection hidden="1"/>
    </xf>
    <xf numFmtId="0" fontId="6" fillId="9" borderId="69" xfId="0" applyFont="1" applyFill="1" applyBorder="1" applyAlignment="1" applyProtection="1">
      <alignment horizontal="center" vertical="center" wrapText="1"/>
      <protection hidden="1"/>
    </xf>
    <xf numFmtId="0" fontId="6" fillId="0" borderId="69" xfId="0" applyFont="1" applyBorder="1" applyAlignment="1" applyProtection="1">
      <alignment horizontal="left" vertical="center" wrapText="1"/>
      <protection hidden="1"/>
    </xf>
    <xf numFmtId="0" fontId="8" fillId="4" borderId="1" xfId="0" applyFont="1" applyFill="1" applyBorder="1" applyAlignment="1" applyProtection="1">
      <alignment horizontal="center" vertical="center"/>
      <protection locked="0"/>
    </xf>
    <xf numFmtId="14" fontId="8" fillId="17" borderId="1" xfId="0" applyNumberFormat="1" applyFont="1" applyFill="1" applyBorder="1" applyAlignment="1" applyProtection="1">
      <alignment horizontal="center" vertical="center"/>
      <protection locked="0"/>
    </xf>
    <xf numFmtId="0" fontId="8" fillId="17" borderId="1" xfId="0" applyFont="1" applyFill="1" applyBorder="1" applyAlignment="1" applyProtection="1">
      <alignment horizontal="center" vertical="center"/>
      <protection locked="0"/>
    </xf>
    <xf numFmtId="0" fontId="6" fillId="4" borderId="1" xfId="0" applyFont="1" applyFill="1" applyBorder="1" applyAlignment="1" applyProtection="1">
      <alignment horizontal="center" vertical="center"/>
      <protection locked="0"/>
    </xf>
    <xf numFmtId="0" fontId="6" fillId="17" borderId="1" xfId="0" applyFont="1" applyFill="1" applyBorder="1" applyAlignment="1" applyProtection="1">
      <alignment horizontal="center" vertical="center"/>
      <protection locked="0"/>
    </xf>
    <xf numFmtId="0" fontId="25" fillId="3" borderId="1" xfId="0" applyFont="1" applyFill="1" applyBorder="1" applyAlignment="1" applyProtection="1">
      <alignment horizontal="center" vertical="center"/>
      <protection hidden="1"/>
    </xf>
    <xf numFmtId="0" fontId="25" fillId="3" borderId="23" xfId="0" applyFont="1" applyFill="1" applyBorder="1" applyAlignment="1" applyProtection="1">
      <alignment horizontal="center" vertical="center"/>
      <protection hidden="1"/>
    </xf>
    <xf numFmtId="0" fontId="6" fillId="4" borderId="1" xfId="0" applyFont="1" applyFill="1" applyBorder="1" applyAlignment="1" applyProtection="1">
      <alignment horizontal="center" vertical="center"/>
      <protection hidden="1"/>
    </xf>
    <xf numFmtId="0" fontId="6" fillId="9" borderId="1" xfId="0" applyFont="1" applyFill="1" applyBorder="1" applyAlignment="1" applyProtection="1">
      <alignment horizontal="center" vertical="center"/>
      <protection hidden="1"/>
    </xf>
    <xf numFmtId="14" fontId="6" fillId="17" borderId="1" xfId="0" applyNumberFormat="1" applyFont="1" applyFill="1" applyBorder="1" applyAlignment="1" applyProtection="1">
      <alignment horizontal="center" vertical="center"/>
      <protection locked="0"/>
    </xf>
    <xf numFmtId="0" fontId="8" fillId="9" borderId="1" xfId="0" applyFont="1" applyFill="1" applyBorder="1" applyAlignment="1" applyProtection="1">
      <alignment horizontal="center" vertical="center"/>
      <protection hidden="1"/>
    </xf>
    <xf numFmtId="0" fontId="25" fillId="11" borderId="1" xfId="0" applyFont="1" applyFill="1" applyBorder="1" applyAlignment="1" applyProtection="1">
      <alignment horizontal="center" vertical="center"/>
      <protection locked="0"/>
    </xf>
    <xf numFmtId="0" fontId="25" fillId="11" borderId="23" xfId="0" applyFont="1" applyFill="1" applyBorder="1" applyAlignment="1" applyProtection="1">
      <alignment horizontal="center" vertical="center"/>
      <protection locked="0"/>
    </xf>
    <xf numFmtId="0" fontId="6" fillId="18" borderId="1" xfId="0" applyFont="1" applyFill="1" applyBorder="1" applyAlignment="1" applyProtection="1">
      <alignment horizontal="center" vertical="center"/>
      <protection locked="0"/>
    </xf>
    <xf numFmtId="0" fontId="8" fillId="18" borderId="1"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hidden="1"/>
    </xf>
    <xf numFmtId="0" fontId="6" fillId="19" borderId="1" xfId="0" applyFont="1" applyFill="1" applyBorder="1" applyAlignment="1" applyProtection="1">
      <alignment horizontal="center" vertical="center"/>
      <protection hidden="1"/>
    </xf>
    <xf numFmtId="0" fontId="8" fillId="19" borderId="1" xfId="0" applyFont="1" applyFill="1" applyBorder="1" applyAlignment="1" applyProtection="1">
      <alignment horizontal="center" vertical="center"/>
      <protection hidden="1"/>
    </xf>
    <xf numFmtId="0" fontId="6" fillId="7" borderId="1" xfId="0" applyFont="1" applyFill="1" applyBorder="1" applyAlignment="1" applyProtection="1">
      <alignment horizontal="center" vertical="center"/>
      <protection hidden="1"/>
    </xf>
    <xf numFmtId="0" fontId="8" fillId="7" borderId="1" xfId="0" applyFont="1" applyFill="1" applyBorder="1" applyAlignment="1" applyProtection="1">
      <alignment horizontal="center" vertical="center"/>
      <protection hidden="1"/>
    </xf>
    <xf numFmtId="0" fontId="6" fillId="9" borderId="13" xfId="0" applyFont="1" applyFill="1" applyBorder="1" applyAlignment="1" applyProtection="1">
      <alignment horizontal="center" vertical="center"/>
      <protection hidden="1"/>
    </xf>
    <xf numFmtId="0" fontId="6" fillId="9" borderId="2" xfId="0" applyFont="1" applyFill="1" applyBorder="1" applyAlignment="1" applyProtection="1">
      <alignment horizontal="center" vertical="center"/>
      <protection hidden="1"/>
    </xf>
    <xf numFmtId="0" fontId="39" fillId="9" borderId="24" xfId="0" applyFont="1" applyFill="1" applyBorder="1" applyAlignment="1" applyProtection="1">
      <alignment horizontal="center" vertical="center"/>
      <protection locked="0"/>
    </xf>
    <xf numFmtId="0" fontId="39" fillId="9" borderId="1" xfId="0" applyFont="1" applyFill="1" applyBorder="1" applyAlignment="1" applyProtection="1">
      <alignment horizontal="center" vertical="center"/>
      <protection locked="0"/>
    </xf>
    <xf numFmtId="0" fontId="39" fillId="9" borderId="23" xfId="0" applyFont="1" applyFill="1" applyBorder="1" applyAlignment="1" applyProtection="1">
      <alignment horizontal="center" vertical="center"/>
      <protection locked="0"/>
    </xf>
    <xf numFmtId="0" fontId="6" fillId="9" borderId="13" xfId="0" applyFont="1" applyFill="1" applyBorder="1" applyAlignment="1" applyProtection="1">
      <alignment horizontal="center" vertical="center" wrapText="1"/>
      <protection hidden="1"/>
    </xf>
    <xf numFmtId="0" fontId="6" fillId="9" borderId="2" xfId="0" applyFont="1" applyFill="1" applyBorder="1" applyAlignment="1" applyProtection="1">
      <alignment horizontal="center" vertical="center" wrapText="1"/>
      <protection hidden="1"/>
    </xf>
    <xf numFmtId="0" fontId="26" fillId="3" borderId="1" xfId="0" applyFont="1" applyFill="1" applyBorder="1" applyAlignment="1" applyProtection="1">
      <alignment horizontal="center" vertical="center"/>
      <protection hidden="1"/>
    </xf>
    <xf numFmtId="0" fontId="26" fillId="3" borderId="23" xfId="0" applyFont="1" applyFill="1" applyBorder="1" applyAlignment="1" applyProtection="1">
      <alignment horizontal="center" vertical="center"/>
      <protection hidden="1"/>
    </xf>
    <xf numFmtId="0" fontId="8" fillId="0" borderId="1" xfId="0" applyFont="1" applyBorder="1" applyAlignment="1" applyProtection="1">
      <alignment horizontal="center" vertical="center"/>
      <protection hidden="1"/>
    </xf>
    <xf numFmtId="0" fontId="26" fillId="12" borderId="5" xfId="0" applyFont="1" applyFill="1" applyBorder="1" applyAlignment="1" applyProtection="1">
      <alignment horizontal="center" vertical="center"/>
      <protection hidden="1"/>
    </xf>
    <xf numFmtId="0" fontId="26" fillId="12" borderId="8" xfId="0" applyFont="1" applyFill="1" applyBorder="1" applyAlignment="1" applyProtection="1">
      <alignment horizontal="center" vertical="center"/>
      <protection hidden="1"/>
    </xf>
    <xf numFmtId="0" fontId="41" fillId="9" borderId="60" xfId="0" applyFont="1" applyFill="1" applyBorder="1" applyAlignment="1" applyProtection="1">
      <alignment horizontal="center" vertical="center"/>
      <protection hidden="1"/>
    </xf>
    <xf numFmtId="0" fontId="41" fillId="9" borderId="63" xfId="0" applyFont="1" applyFill="1" applyBorder="1" applyAlignment="1" applyProtection="1">
      <alignment horizontal="center" vertical="center"/>
      <protection hidden="1"/>
    </xf>
    <xf numFmtId="0" fontId="17" fillId="5" borderId="57" xfId="0" applyFont="1" applyFill="1" applyBorder="1" applyAlignment="1" applyProtection="1">
      <alignment horizontal="center" vertical="center"/>
      <protection hidden="1"/>
    </xf>
    <xf numFmtId="0" fontId="60" fillId="21" borderId="57" xfId="0" applyFont="1" applyFill="1" applyBorder="1" applyAlignment="1" applyProtection="1">
      <alignment horizontal="center" vertical="center"/>
      <protection hidden="1"/>
    </xf>
    <xf numFmtId="0" fontId="41" fillId="5" borderId="61" xfId="0" applyFont="1" applyFill="1" applyBorder="1" applyAlignment="1" applyProtection="1">
      <alignment horizontal="center"/>
      <protection hidden="1"/>
    </xf>
    <xf numFmtId="0" fontId="41" fillId="6" borderId="61" xfId="0" applyFont="1" applyFill="1" applyBorder="1" applyAlignment="1" applyProtection="1">
      <alignment horizontal="center"/>
      <protection hidden="1"/>
    </xf>
    <xf numFmtId="0" fontId="41" fillId="6" borderId="62" xfId="0" applyFont="1" applyFill="1" applyBorder="1" applyAlignment="1" applyProtection="1">
      <alignment horizontal="center"/>
      <protection hidden="1"/>
    </xf>
    <xf numFmtId="16" fontId="41" fillId="9" borderId="61" xfId="0" applyNumberFormat="1" applyFont="1" applyFill="1" applyBorder="1" applyAlignment="1" applyProtection="1">
      <alignment horizontal="center" vertical="center"/>
      <protection hidden="1"/>
    </xf>
    <xf numFmtId="16" fontId="41" fillId="9" borderId="57" xfId="0" applyNumberFormat="1" applyFont="1" applyFill="1" applyBorder="1" applyAlignment="1" applyProtection="1">
      <alignment horizontal="center" vertical="center"/>
      <protection hidden="1"/>
    </xf>
    <xf numFmtId="0" fontId="59" fillId="0" borderId="57" xfId="0" applyFont="1" applyBorder="1" applyAlignment="1" applyProtection="1">
      <alignment horizontal="center" vertical="center" wrapText="1"/>
      <protection hidden="1"/>
    </xf>
    <xf numFmtId="0" fontId="48" fillId="21" borderId="57" xfId="0" applyFont="1" applyFill="1" applyBorder="1" applyAlignment="1" applyProtection="1">
      <alignment horizontal="center" vertical="center"/>
      <protection hidden="1"/>
    </xf>
    <xf numFmtId="0" fontId="57" fillId="21" borderId="94" xfId="0" applyFont="1" applyFill="1" applyBorder="1" applyAlignment="1" applyProtection="1">
      <alignment horizontal="center"/>
      <protection hidden="1"/>
    </xf>
    <xf numFmtId="0" fontId="57" fillId="21" borderId="95" xfId="0" applyFont="1" applyFill="1" applyBorder="1" applyAlignment="1" applyProtection="1">
      <alignment horizontal="center"/>
      <protection hidden="1"/>
    </xf>
    <xf numFmtId="0" fontId="57" fillId="21" borderId="96" xfId="0" applyFont="1" applyFill="1" applyBorder="1" applyAlignment="1" applyProtection="1">
      <alignment horizontal="center"/>
      <protection hidden="1"/>
    </xf>
    <xf numFmtId="0" fontId="16" fillId="0" borderId="94" xfId="0" applyFont="1" applyBorder="1" applyAlignment="1" applyProtection="1">
      <alignment horizontal="left" vertical="center" wrapText="1"/>
      <protection hidden="1"/>
    </xf>
    <xf numFmtId="0" fontId="41" fillId="0" borderId="95" xfId="0" applyFont="1" applyBorder="1" applyAlignment="1" applyProtection="1">
      <alignment horizontal="left" vertical="center" wrapText="1"/>
      <protection hidden="1"/>
    </xf>
    <xf numFmtId="0" fontId="41" fillId="0" borderId="96" xfId="0" applyFont="1" applyBorder="1" applyAlignment="1" applyProtection="1">
      <alignment horizontal="left" vertical="center" wrapText="1"/>
      <protection hidden="1"/>
    </xf>
    <xf numFmtId="0" fontId="58" fillId="0" borderId="95" xfId="0" applyFont="1" applyBorder="1" applyAlignment="1" applyProtection="1">
      <alignment horizontal="left" vertical="center" wrapText="1"/>
      <protection hidden="1"/>
    </xf>
    <xf numFmtId="0" fontId="58" fillId="0" borderId="96" xfId="0" applyFont="1" applyBorder="1" applyAlignment="1" applyProtection="1">
      <alignment horizontal="left" vertical="center" wrapText="1"/>
      <protection hidden="1"/>
    </xf>
    <xf numFmtId="0" fontId="16" fillId="0" borderId="95" xfId="0" applyFont="1" applyBorder="1" applyAlignment="1" applyProtection="1">
      <alignment horizontal="left" vertical="center" wrapText="1"/>
      <protection hidden="1"/>
    </xf>
    <xf numFmtId="0" fontId="16" fillId="0" borderId="96" xfId="0" applyFont="1" applyBorder="1" applyAlignment="1" applyProtection="1">
      <alignment horizontal="left" vertical="center" wrapText="1"/>
      <protection hidden="1"/>
    </xf>
    <xf numFmtId="0" fontId="57" fillId="21" borderId="57" xfId="0" applyFont="1" applyFill="1" applyBorder="1" applyAlignment="1" applyProtection="1">
      <alignment horizontal="center"/>
      <protection hidden="1"/>
    </xf>
  </cellXfs>
  <cellStyles count="5">
    <cellStyle name="Neutral" xfId="1" builtinId="28"/>
    <cellStyle name="Normal" xfId="0" builtinId="0"/>
    <cellStyle name="Normal 2" xfId="2" xr:uid="{00000000-0005-0000-0000-000002000000}"/>
    <cellStyle name="Normal 3" xfId="4" xr:uid="{00000000-0005-0000-0000-000003000000}"/>
    <cellStyle name="Percent" xfId="3" builtinId="5"/>
  </cellStyles>
  <dxfs count="337">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ont>
        <b/>
        <i val="0"/>
        <color theme="0"/>
      </font>
      <fill>
        <patternFill>
          <bgColor rgb="FFFF0000"/>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rgb="FF92D050"/>
        </patternFill>
      </fill>
    </dxf>
    <dxf>
      <fill>
        <patternFill>
          <bgColor rgb="FFFFC000"/>
        </patternFill>
      </fill>
    </dxf>
    <dxf>
      <font>
        <b/>
        <i val="0"/>
        <color theme="0"/>
      </font>
      <fill>
        <patternFill>
          <bgColor rgb="FFFF0000"/>
        </patternFill>
      </fill>
    </dxf>
    <dxf>
      <font>
        <b/>
        <i val="0"/>
        <color theme="0"/>
      </font>
      <fill>
        <patternFill>
          <bgColor rgb="FFFF0000"/>
        </patternFill>
      </fill>
    </dxf>
    <dxf>
      <fill>
        <patternFill>
          <bgColor rgb="FF92D050"/>
        </patternFill>
      </fill>
    </dxf>
    <dxf>
      <fill>
        <patternFill>
          <bgColor rgb="FF92D050"/>
        </patternFill>
      </fill>
    </dxf>
    <dxf>
      <font>
        <b/>
        <i val="0"/>
        <color theme="0"/>
      </font>
      <fill>
        <patternFill>
          <bgColor rgb="FFFF0000"/>
        </patternFill>
      </fill>
    </dxf>
    <dxf>
      <fill>
        <patternFill>
          <bgColor rgb="FF92D050"/>
        </patternFill>
      </fill>
    </dxf>
    <dxf>
      <fill>
        <patternFill>
          <bgColor rgb="FFFFC000"/>
        </patternFill>
      </fill>
    </dxf>
    <dxf>
      <font>
        <b/>
        <i val="0"/>
        <color theme="0"/>
      </font>
      <fill>
        <patternFill>
          <bgColor rgb="FFFF0000"/>
        </patternFill>
      </fill>
    </dxf>
    <dxf>
      <font>
        <b/>
        <i val="0"/>
        <color theme="0"/>
      </font>
      <fill>
        <patternFill>
          <bgColor theme="6" tint="-0.499984740745262"/>
        </patternFill>
      </fill>
    </dxf>
    <dxf>
      <font>
        <b/>
        <i val="0"/>
        <color theme="0"/>
      </font>
      <fill>
        <patternFill>
          <bgColor theme="6" tint="-0.499984740745262"/>
        </patternFill>
      </fill>
    </dxf>
    <dxf>
      <font>
        <b/>
        <i val="0"/>
        <color theme="0"/>
      </font>
      <fill>
        <patternFill>
          <bgColor theme="6" tint="-0.499984740745262"/>
        </patternFill>
      </fill>
    </dxf>
    <dxf>
      <fill>
        <patternFill>
          <bgColor rgb="FF92D050"/>
        </patternFill>
      </fill>
    </dxf>
    <dxf>
      <fill>
        <patternFill>
          <bgColor rgb="FFFFC000"/>
        </patternFill>
      </fill>
    </dxf>
    <dxf>
      <font>
        <b/>
        <i val="0"/>
        <color theme="0"/>
      </font>
      <fill>
        <patternFill>
          <bgColor rgb="FFFF0000"/>
        </patternFill>
      </fill>
    </dxf>
    <dxf>
      <font>
        <b/>
        <i val="0"/>
        <color theme="0"/>
      </font>
      <fill>
        <patternFill>
          <bgColor rgb="FFFF0000"/>
        </patternFill>
      </fill>
    </dxf>
    <dxf>
      <font>
        <b val="0"/>
        <i val="0"/>
        <color auto="1"/>
      </font>
      <fill>
        <patternFill>
          <bgColor rgb="FF92D050"/>
        </patternFill>
      </fill>
    </dxf>
    <dxf>
      <font>
        <b val="0"/>
        <i val="0"/>
        <color auto="1"/>
      </font>
      <fill>
        <patternFill>
          <bgColor rgb="FF92D050"/>
        </patternFill>
      </fill>
    </dxf>
    <dxf>
      <font>
        <b/>
        <i val="0"/>
        <color theme="0"/>
      </font>
      <fill>
        <patternFill>
          <bgColor rgb="FFFF0000"/>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protection hidden="1"/>
    </dxf>
    <dxf>
      <protection hidden="1"/>
    </dxf>
    <dxf>
      <protection hidden="1"/>
    </dxf>
    <dxf>
      <protection hidden="1"/>
    </dxf>
    <dxf>
      <protection hidden="1"/>
    </dxf>
    <dxf>
      <protection hidden="1"/>
    </dxf>
    <dxf>
      <alignment vertical="center" readingOrder="0"/>
    </dxf>
    <dxf>
      <alignment horizontal="center" readingOrder="0"/>
    </dxf>
    <dxf>
      <numFmt numFmtId="1" formatCode="0"/>
    </dxf>
    <dxf>
      <protection hidden="1"/>
    </dxf>
    <dxf>
      <protection hidden="1"/>
    </dxf>
    <dxf>
      <protection hidden="1"/>
    </dxf>
    <dxf>
      <protection hidden="1"/>
    </dxf>
    <dxf>
      <protection hidden="1"/>
    </dxf>
    <dxf>
      <alignment vertical="center" readingOrder="0"/>
    </dxf>
    <dxf>
      <alignment horizontal="center" readingOrder="0"/>
    </dxf>
    <dxf>
      <numFmt numFmtId="1" formatCode="0"/>
    </dxf>
  </dxfs>
  <tableStyles count="0" defaultTableStyle="TableStyleMedium2" defaultPivotStyle="PivotStyleLight16"/>
  <colors>
    <mruColors>
      <color rgb="FFFCFE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15875</xdr:colOff>
      <xdr:row>1</xdr:row>
      <xdr:rowOff>21166</xdr:rowOff>
    </xdr:from>
    <xdr:to>
      <xdr:col>24</xdr:col>
      <xdr:colOff>714375</xdr:colOff>
      <xdr:row>5</xdr:row>
      <xdr:rowOff>476250</xdr:rowOff>
    </xdr:to>
    <xdr:sp macro="" textlink="">
      <xdr:nvSpPr>
        <xdr:cNvPr id="2" name="TextBox 1">
          <a:extLst>
            <a:ext uri="{FF2B5EF4-FFF2-40B4-BE49-F238E27FC236}">
              <a16:creationId xmlns:a16="http://schemas.microsoft.com/office/drawing/2014/main" id="{96E2C9BC-CF59-472F-8E89-06DB4D9D53F0}"/>
            </a:ext>
          </a:extLst>
        </xdr:cNvPr>
        <xdr:cNvSpPr txBox="1"/>
      </xdr:nvSpPr>
      <xdr:spPr>
        <a:xfrm>
          <a:off x="11798300" y="506941"/>
          <a:ext cx="13138150" cy="23981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Calibri" panose="020F0502020204030204" pitchFamily="34" charset="0"/>
              <a:cs typeface="Calibri" panose="020F0502020204030204" pitchFamily="34" charset="0"/>
            </a:rPr>
            <a:t>Guidelines</a:t>
          </a:r>
          <a:r>
            <a:rPr lang="en-GB" sz="1200" baseline="0">
              <a:latin typeface="Calibri" panose="020F0502020204030204" pitchFamily="34" charset="0"/>
              <a:cs typeface="Calibri" panose="020F0502020204030204" pitchFamily="34" charset="0"/>
            </a:rPr>
            <a:t> :</a:t>
          </a:r>
          <a:br>
            <a:rPr lang="en-GB" sz="1200" baseline="0">
              <a:latin typeface="Calibri" panose="020F0502020204030204" pitchFamily="34" charset="0"/>
              <a:cs typeface="Calibri" panose="020F0502020204030204" pitchFamily="34" charset="0"/>
            </a:rPr>
          </a:b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1. Allocation to continue as per current process, the only change is to add the number of "ULDs to build" in the  performance section</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2. Total staffs column should not have duplicate entries, the cells will turn "Red" in case of duplicate entries</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3. Task &amp; Deployment column will differentiate between the positional, shift &amp; OT deployment</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4. The same sheet is to be used in continuation for all the allocations (E/M, L/M &amp; AFT) during a given shift </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5. The sheet needs to be checked &amp; signed by the Supervisor, consolidated final sheet to be attached in the shift report </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6. Same needs to be presented to export COC to review after each allocation and consolidated sheet at the end of the shift for final review</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7. Controllers will review and ensure the consolidated sheet is signed by the Supervisor</a:t>
          </a:r>
          <a:br>
            <a:rPr lang="en-GB" sz="1200" baseline="0">
              <a:latin typeface="Calibri" panose="020F0502020204030204" pitchFamily="34" charset="0"/>
              <a:cs typeface="Calibri" panose="020F0502020204030204" pitchFamily="34" charset="0"/>
            </a:rPr>
          </a:br>
          <a:endParaRPr lang="en-GB" sz="1200" baseline="0">
            <a:latin typeface="Calibri" panose="020F0502020204030204" pitchFamily="34" charset="0"/>
            <a:cs typeface="Calibri" panose="020F0502020204030204" pitchFamily="34" charset="0"/>
          </a:endParaRPr>
        </a:p>
        <a:p>
          <a:r>
            <a:rPr lang="en-GB" sz="1200" baseline="0">
              <a:latin typeface="Calibri" panose="020F0502020204030204" pitchFamily="34" charset="0"/>
              <a:cs typeface="Calibri" panose="020F0502020204030204" pitchFamily="34" charset="0"/>
            </a:rPr>
            <a:t>Note :</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The Supervisor, by Signing this sheet confirms that the data provided in this sheet is accurate and the flights allocated to the staffs are indeed handled by the same staffs as shown in the below list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15875</xdr:colOff>
      <xdr:row>1</xdr:row>
      <xdr:rowOff>21166</xdr:rowOff>
    </xdr:from>
    <xdr:to>
      <xdr:col>24</xdr:col>
      <xdr:colOff>714375</xdr:colOff>
      <xdr:row>5</xdr:row>
      <xdr:rowOff>476250</xdr:rowOff>
    </xdr:to>
    <xdr:sp macro="" textlink="">
      <xdr:nvSpPr>
        <xdr:cNvPr id="2" name="TextBox 1">
          <a:extLst>
            <a:ext uri="{FF2B5EF4-FFF2-40B4-BE49-F238E27FC236}">
              <a16:creationId xmlns:a16="http://schemas.microsoft.com/office/drawing/2014/main" id="{85CE9630-6206-4981-8AF5-140B1CDD3B25}"/>
            </a:ext>
          </a:extLst>
        </xdr:cNvPr>
        <xdr:cNvSpPr txBox="1"/>
      </xdr:nvSpPr>
      <xdr:spPr>
        <a:xfrm>
          <a:off x="13065125" y="513291"/>
          <a:ext cx="15319375" cy="2423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Calibri" panose="020F0502020204030204" pitchFamily="34" charset="0"/>
              <a:cs typeface="Calibri" panose="020F0502020204030204" pitchFamily="34" charset="0"/>
            </a:rPr>
            <a:t>Guidelines</a:t>
          </a:r>
          <a:r>
            <a:rPr lang="en-GB" sz="1200" baseline="0">
              <a:latin typeface="Calibri" panose="020F0502020204030204" pitchFamily="34" charset="0"/>
              <a:cs typeface="Calibri" panose="020F0502020204030204" pitchFamily="34" charset="0"/>
            </a:rPr>
            <a:t> :</a:t>
          </a:r>
          <a:br>
            <a:rPr lang="en-GB" sz="1200" baseline="0">
              <a:latin typeface="Calibri" panose="020F0502020204030204" pitchFamily="34" charset="0"/>
              <a:cs typeface="Calibri" panose="020F0502020204030204" pitchFamily="34" charset="0"/>
            </a:rPr>
          </a:b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1. Allocation to continue as per current process, the only change is to add the number of "ULDs to build" in the  performance section</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2. Total staffs column should not have duplicate entries, the cells will turn "Red" in case of duplicate entries</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3. Task &amp; Deployment column will differentiate between the positional, shift &amp; OT deployment</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4. The same sheet is to be used in continuation for all the allocations (E/M, L/M &amp; AFT) during a given shift </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5. The sheet needs to be checked &amp; signed by the Supervisor, consolidated final sheet to be attached in the shift report </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6. Same needs to be presented to export COC to review after each allocation and consolidated sheet at the end of the shift for final review</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7. Controllers will review and ensure the consolidated sheet is signed by the Supervisor</a:t>
          </a:r>
          <a:br>
            <a:rPr lang="en-GB" sz="1200" baseline="0">
              <a:latin typeface="Calibri" panose="020F0502020204030204" pitchFamily="34" charset="0"/>
              <a:cs typeface="Calibri" panose="020F0502020204030204" pitchFamily="34" charset="0"/>
            </a:rPr>
          </a:br>
          <a:endParaRPr lang="en-GB" sz="1200" baseline="0">
            <a:latin typeface="Calibri" panose="020F0502020204030204" pitchFamily="34" charset="0"/>
            <a:cs typeface="Calibri" panose="020F0502020204030204" pitchFamily="34" charset="0"/>
          </a:endParaRPr>
        </a:p>
        <a:p>
          <a:r>
            <a:rPr lang="en-GB" sz="1200" baseline="0">
              <a:latin typeface="Calibri" panose="020F0502020204030204" pitchFamily="34" charset="0"/>
              <a:cs typeface="Calibri" panose="020F0502020204030204" pitchFamily="34" charset="0"/>
            </a:rPr>
            <a:t>Note :</a:t>
          </a:r>
          <a:br>
            <a:rPr lang="en-GB" sz="1200" baseline="0">
              <a:latin typeface="Calibri" panose="020F0502020204030204" pitchFamily="34" charset="0"/>
              <a:cs typeface="Calibri" panose="020F0502020204030204" pitchFamily="34" charset="0"/>
            </a:rPr>
          </a:br>
          <a:r>
            <a:rPr lang="en-GB" sz="1200" baseline="0">
              <a:latin typeface="Calibri" panose="020F0502020204030204" pitchFamily="34" charset="0"/>
              <a:cs typeface="Calibri" panose="020F0502020204030204" pitchFamily="34" charset="0"/>
            </a:rPr>
            <a:t>The Supervisor, by Signing this sheet confirms that the data provided in this sheet is accurate and the flights allocated to the staffs are indeed handled by the same staffs as shown in the below list</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919635</xdr:colOff>
      <xdr:row>1</xdr:row>
      <xdr:rowOff>0</xdr:rowOff>
    </xdr:from>
    <xdr:to>
      <xdr:col>16</xdr:col>
      <xdr:colOff>583503</xdr:colOff>
      <xdr:row>5</xdr:row>
      <xdr:rowOff>11906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66604" y="166688"/>
          <a:ext cx="1011655" cy="1012031"/>
        </a:xfrm>
        <a:prstGeom prst="rect">
          <a:avLst/>
        </a:prstGeom>
      </xdr:spPr>
    </xdr:pic>
    <xdr:clientData/>
  </xdr:twoCellAnchor>
  <xdr:twoCellAnchor editAs="oneCell">
    <xdr:from>
      <xdr:col>25</xdr:col>
      <xdr:colOff>941068</xdr:colOff>
      <xdr:row>1</xdr:row>
      <xdr:rowOff>0</xdr:rowOff>
    </xdr:from>
    <xdr:to>
      <xdr:col>26</xdr:col>
      <xdr:colOff>590550</xdr:colOff>
      <xdr:row>4</xdr:row>
      <xdr:rowOff>238125</xdr:rowOff>
    </xdr:to>
    <xdr:pic>
      <xdr:nvPicPr>
        <xdr:cNvPr id="3" name="Picture 2">
          <a:extLst>
            <a:ext uri="{FF2B5EF4-FFF2-40B4-BE49-F238E27FC236}">
              <a16:creationId xmlns:a16="http://schemas.microsoft.com/office/drawing/2014/main" id="{6ED37846-9FDE-4694-8DB4-B1D2DBEB0E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13037" y="166688"/>
          <a:ext cx="1035369" cy="98821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UP%20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jamin Fernandes" refreshedDate="45125.556567939813" createdVersion="5" refreshedVersion="5" minRefreshableVersion="3" recordCount="181" xr:uid="{00000000-000A-0000-FFFF-FFFF00000000}">
  <cacheSource type="worksheet">
    <worksheetSource ref="A1:BB182" sheet="BUP 06 " r:id="rId2"/>
  </cacheSource>
  <cacheFields count="54">
    <cacheField name="Date" numFmtId="15">
      <sharedItems containsSemiMixedTypes="0" containsNonDate="0" containsDate="1" containsString="0" minDate="2023-01-01T00:00:00" maxDate="2023-07-01T00:00:00" count="18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sharedItems>
    </cacheField>
    <cacheField name="Day" numFmtId="0">
      <sharedItems count="7">
        <s v="Sun"/>
        <s v="Mon"/>
        <s v="Tue"/>
        <s v="Wed"/>
        <s v="Thu"/>
        <s v="Fri"/>
        <s v="Sat"/>
      </sharedItems>
    </cacheField>
    <cacheField name="Shift" numFmtId="0">
      <sharedItems containsSemiMixedTypes="0" containsString="0" containsNumber="1" containsInteger="1" minValue="1" maxValue="4"/>
    </cacheField>
    <cacheField name="Duty Hrs" numFmtId="0">
      <sharedItems count="1">
        <s v="DX"/>
      </sharedItems>
    </cacheField>
    <cacheField name="Peak A/F" numFmtId="0">
      <sharedItems containsSemiMixedTypes="0" containsString="0" containsNumber="1" containsInteger="1" minValue="58" maxValue="225"/>
    </cacheField>
    <cacheField name="Early Morning First Wave" numFmtId="0">
      <sharedItems containsSemiMixedTypes="0" containsString="0" containsNumber="1" containsInteger="1" minValue="47" maxValue="137"/>
    </cacheField>
    <cacheField name="Early Morning Second Wave" numFmtId="0">
      <sharedItems containsSemiMixedTypes="0" containsString="0" containsNumber="1" containsInteger="1" minValue="51" maxValue="127"/>
    </cacheField>
    <cacheField name="Early Morning Total" numFmtId="0">
      <sharedItems containsSemiMixedTypes="0" containsString="0" containsNumber="1" containsInteger="1" minValue="114" maxValue="240"/>
    </cacheField>
    <cacheField name="Advance First Wave" numFmtId="0">
      <sharedItems containsSemiMixedTypes="0" containsString="0" containsNumber="1" containsInteger="1" minValue="55" maxValue="195"/>
    </cacheField>
    <cacheField name="Advance Second Wave" numFmtId="0">
      <sharedItems containsSemiMixedTypes="0" containsString="0" containsNumber="1" containsInteger="1" minValue="27" maxValue="96"/>
    </cacheField>
    <cacheField name="Total Advance" numFmtId="0">
      <sharedItems containsSemiMixedTypes="0" containsString="0" containsNumber="1" containsInteger="1" minValue="119" maxValue="275"/>
    </cacheField>
    <cacheField name="Total DX BUP" numFmtId="0">
      <sharedItems containsSemiMixedTypes="0" containsString="0" containsNumber="1" containsInteger="1" minValue="309" maxValue="668"/>
    </cacheField>
    <cacheField name="Planned PMC" numFmtId="0">
      <sharedItems containsSemiMixedTypes="0" containsString="0" containsNumber="1" containsInteger="1" minValue="65" maxValue="196"/>
    </cacheField>
    <cacheField name="Planned ALF" numFmtId="0">
      <sharedItems containsSemiMixedTypes="0" containsString="0" containsNumber="1" containsInteger="1" minValue="5" maxValue="54"/>
    </cacheField>
    <cacheField name="Planned AKE" numFmtId="0">
      <sharedItems containsSemiMixedTypes="0" containsString="0" containsNumber="1" containsInteger="1" minValue="30" maxValue="121"/>
    </cacheField>
    <cacheField name="Total Planned F/W" numFmtId="0">
      <sharedItems containsSemiMixedTypes="0" containsString="0" containsNumber="1" containsInteger="1" minValue="122" maxValue="335"/>
    </cacheField>
    <cacheField name="Planned PMC2" numFmtId="0">
      <sharedItems containsSemiMixedTypes="0" containsString="0" containsNumber="1" containsInteger="1" minValue="62" maxValue="165"/>
    </cacheField>
    <cacheField name="Planned ALF2" numFmtId="0">
      <sharedItems containsSemiMixedTypes="0" containsString="0" containsNumber="1" containsInteger="1" minValue="6" maxValue="59"/>
    </cacheField>
    <cacheField name="Planned AKE2" numFmtId="0">
      <sharedItems containsSemiMixedTypes="0" containsString="0" containsNumber="1" containsInteger="1" minValue="18" maxValue="109"/>
    </cacheField>
    <cacheField name="Total Palnned S/W" numFmtId="0">
      <sharedItems containsSemiMixedTypes="0" containsString="0" containsNumber="1" containsInteger="1" minValue="114" maxValue="284"/>
    </cacheField>
    <cacheField name="Build PMC" numFmtId="0">
      <sharedItems containsSemiMixedTypes="0" containsString="0" containsNumber="1" containsInteger="1" minValue="58" maxValue="278"/>
    </cacheField>
    <cacheField name="Build ALF" numFmtId="0">
      <sharedItems containsSemiMixedTypes="0" containsString="0" containsNumber="1" containsInteger="1" minValue="-3" maxValue="33"/>
    </cacheField>
    <cacheField name="Build AKE" numFmtId="0">
      <sharedItems containsSemiMixedTypes="0" containsString="0" containsNumber="1" containsInteger="1" minValue="36" maxValue="111"/>
    </cacheField>
    <cacheField name="Total Build" numFmtId="0">
      <sharedItems containsSemiMixedTypes="0" containsString="0" containsNumber="1" containsInteger="1" minValue="119" maxValue="357"/>
    </cacheField>
    <cacheField name="Pending  PMC" numFmtId="0">
      <sharedItems containsSemiMixedTypes="0" containsString="0" containsNumber="1" containsInteger="1" minValue="0" maxValue="209"/>
    </cacheField>
    <cacheField name="Pending ALF" numFmtId="0">
      <sharedItems containsSemiMixedTypes="0" containsString="0" containsNumber="1" containsInteger="1" minValue="1" maxValue="64"/>
    </cacheField>
    <cacheField name="Pending AKE" numFmtId="0">
      <sharedItems containsSemiMixedTypes="0" containsString="0" containsNumber="1" containsInteger="1" minValue="7" maxValue="129"/>
    </cacheField>
    <cacheField name="Total Pending" numFmtId="0">
      <sharedItems containsSemiMixedTypes="0" containsString="0" containsNumber="1" containsInteger="1" minValue="103" maxValue="340"/>
    </cacheField>
    <cacheField name="Date2" numFmtId="15">
      <sharedItems containsSemiMixedTypes="0" containsNonDate="0" containsDate="1" containsString="0" minDate="2023-01-01T00:00:00" maxDate="2023-07-01T00:00:00"/>
    </cacheField>
    <cacheField name="Day2" numFmtId="0">
      <sharedItems count="7">
        <s v="Sun"/>
        <s v="Mon"/>
        <s v="Tue"/>
        <s v="Wed"/>
        <s v="Thu"/>
        <s v="Fri"/>
        <s v="Sat"/>
      </sharedItems>
    </cacheField>
    <cacheField name="Shift2" numFmtId="0">
      <sharedItems containsSemiMixedTypes="0" containsString="0" containsNumber="1" containsInteger="1" minValue="1" maxValue="4"/>
    </cacheField>
    <cacheField name="Duty Hrs2" numFmtId="0">
      <sharedItems count="1">
        <s v="NI"/>
      </sharedItems>
    </cacheField>
    <cacheField name="Peak E/M" numFmtId="0">
      <sharedItems containsSemiMixedTypes="0" containsString="0" containsNumber="1" containsInteger="1" minValue="19" maxValue="96"/>
    </cacheField>
    <cacheField name="Late Morning" numFmtId="0">
      <sharedItems containsSemiMixedTypes="0" containsString="0" containsNumber="1" containsInteger="1" minValue="143" maxValue="387"/>
    </cacheField>
    <cacheField name="Advance First Wave2" numFmtId="0">
      <sharedItems containsSemiMixedTypes="0" containsString="0" containsNumber="1" containsInteger="1" minValue="69" maxValue="189"/>
    </cacheField>
    <cacheField name="Advance Second Wave2" numFmtId="0">
      <sharedItems containsSemiMixedTypes="0" containsString="0" containsNumber="1" containsInteger="1" minValue="25" maxValue="106"/>
    </cacheField>
    <cacheField name="Total Advance2" numFmtId="0">
      <sharedItems containsSemiMixedTypes="0" containsString="0" containsNumber="1" containsInteger="1" minValue="106" maxValue="271"/>
    </cacheField>
    <cacheField name="Total  NI BUP" numFmtId="0">
      <sharedItems containsSemiMixedTypes="0" containsString="0" containsNumber="1" containsInteger="1" minValue="300" maxValue="689"/>
    </cacheField>
    <cacheField name="Planned PMC3" numFmtId="0">
      <sharedItems containsString="0" containsBlank="1" containsNumber="1" containsInteger="1" minValue="60" maxValue="162"/>
    </cacheField>
    <cacheField name="Planned ALF3" numFmtId="0">
      <sharedItems containsString="0" containsBlank="1" containsNumber="1" containsInteger="1" minValue="2" maxValue="22"/>
    </cacheField>
    <cacheField name="Planned AKE3" numFmtId="0">
      <sharedItems containsString="0" containsBlank="1" containsNumber="1" containsInteger="1" minValue="19" maxValue="100"/>
    </cacheField>
    <cacheField name="Total Planned F/W2" numFmtId="0">
      <sharedItems containsSemiMixedTypes="0" containsString="0" containsNumber="1" containsInteger="1" minValue="0" maxValue="246"/>
    </cacheField>
    <cacheField name="Planned PMC4" numFmtId="0">
      <sharedItems containsString="0" containsBlank="1" containsNumber="1" containsInteger="1" minValue="34" maxValue="110"/>
    </cacheField>
    <cacheField name="Planned ALF4" numFmtId="0">
      <sharedItems containsString="0" containsBlank="1" containsNumber="1" containsInteger="1" minValue="1" maxValue="16"/>
    </cacheField>
    <cacheField name="Planned AKE4" numFmtId="0">
      <sharedItems containsString="0" containsBlank="1" containsNumber="1" containsInteger="1" minValue="11" maxValue="77"/>
    </cacheField>
    <cacheField name="Total Palnned S/W2" numFmtId="0">
      <sharedItems containsSemiMixedTypes="0" containsString="0" containsNumber="1" containsInteger="1" minValue="0" maxValue="182"/>
    </cacheField>
    <cacheField name="Build PMC2" numFmtId="0">
      <sharedItems containsSemiMixedTypes="0" containsString="0" containsNumber="1" containsInteger="1" minValue="26" maxValue="175"/>
    </cacheField>
    <cacheField name="Build ALF2" numFmtId="0">
      <sharedItems containsSemiMixedTypes="0" containsString="0" containsNumber="1" containsInteger="1" minValue="3" maxValue="30"/>
    </cacheField>
    <cacheField name="Build AKE2" numFmtId="0">
      <sharedItems containsSemiMixedTypes="0" containsString="0" containsNumber="1" containsInteger="1" minValue="20" maxValue="98"/>
    </cacheField>
    <cacheField name="Total Build2" numFmtId="0">
      <sharedItems containsSemiMixedTypes="0" containsString="0" containsNumber="1" containsInteger="1" minValue="52" maxValue="271"/>
    </cacheField>
    <cacheField name="Pending  PMC2" numFmtId="0">
      <sharedItems containsSemiMixedTypes="0" containsString="0" containsNumber="1" containsInteger="1" minValue="-140" maxValue="196"/>
    </cacheField>
    <cacheField name="Pending ALF2" numFmtId="0">
      <sharedItems containsSemiMixedTypes="0" containsString="0" containsNumber="1" containsInteger="1" minValue="-9" maxValue="32"/>
    </cacheField>
    <cacheField name="Pending AKE2" numFmtId="0">
      <sharedItems containsSemiMixedTypes="0" containsString="0" containsNumber="1" containsInteger="1" minValue="-66" maxValue="81"/>
    </cacheField>
    <cacheField name="Total Pending2" numFmtId="0">
      <sharedItems containsSemiMixedTypes="0" containsString="0" containsNumber="1" containsInteger="1" minValue="-215" maxValue="3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x v="0"/>
    <n v="1"/>
    <x v="0"/>
    <n v="126"/>
    <n v="81"/>
    <n v="118"/>
    <n v="199"/>
    <n v="126"/>
    <n v="36"/>
    <n v="162"/>
    <n v="487"/>
    <n v="147"/>
    <n v="19"/>
    <n v="51"/>
    <n v="217"/>
    <n v="80"/>
    <n v="12"/>
    <n v="46"/>
    <n v="138"/>
    <n v="90"/>
    <n v="13"/>
    <n v="59"/>
    <n v="162"/>
    <n v="137"/>
    <n v="18"/>
    <n v="38"/>
    <n v="193"/>
    <d v="2023-01-01T00:00:00"/>
    <x v="0"/>
    <n v="2"/>
    <x v="0"/>
    <n v="48"/>
    <n v="259"/>
    <n v="101"/>
    <n v="48"/>
    <n v="149"/>
    <n v="456"/>
    <n v="84"/>
    <n v="9"/>
    <n v="32"/>
    <n v="125"/>
    <n v="48"/>
    <n v="4"/>
    <n v="24"/>
    <n v="76"/>
    <n v="101"/>
    <n v="13"/>
    <n v="35"/>
    <n v="149"/>
    <n v="31"/>
    <n v="0"/>
    <n v="21"/>
    <n v="52"/>
  </r>
  <r>
    <x v="1"/>
    <x v="1"/>
    <n v="3"/>
    <x v="0"/>
    <n v="72"/>
    <n v="71"/>
    <n v="74"/>
    <n v="145"/>
    <n v="83"/>
    <n v="66"/>
    <n v="149"/>
    <n v="366"/>
    <n v="79"/>
    <n v="13"/>
    <n v="56"/>
    <n v="148"/>
    <n v="85"/>
    <n v="18"/>
    <n v="58"/>
    <n v="161"/>
    <n v="68"/>
    <n v="15"/>
    <n v="66"/>
    <n v="149"/>
    <n v="96"/>
    <n v="16"/>
    <n v="48"/>
    <n v="160"/>
    <d v="2023-01-02T00:00:00"/>
    <x v="1"/>
    <n v="4"/>
    <x v="0"/>
    <n v="20"/>
    <n v="185"/>
    <n v="69"/>
    <n v="56"/>
    <n v="125"/>
    <n v="330"/>
    <n v="68"/>
    <n v="5"/>
    <n v="36"/>
    <n v="109"/>
    <n v="43"/>
    <n v="5"/>
    <n v="22"/>
    <n v="70"/>
    <n v="72"/>
    <n v="9"/>
    <n v="44"/>
    <n v="125"/>
    <n v="39"/>
    <n v="1"/>
    <n v="14"/>
    <n v="54"/>
  </r>
  <r>
    <x v="2"/>
    <x v="2"/>
    <n v="3"/>
    <x v="0"/>
    <n v="58"/>
    <n v="57"/>
    <n v="59"/>
    <n v="116"/>
    <n v="82"/>
    <n v="53"/>
    <n v="135"/>
    <n v="309"/>
    <n v="91"/>
    <n v="21"/>
    <n v="55"/>
    <n v="167"/>
    <n v="72"/>
    <n v="14"/>
    <n v="40"/>
    <n v="126"/>
    <n v="66"/>
    <n v="15"/>
    <n v="54"/>
    <n v="135"/>
    <n v="97"/>
    <n v="20"/>
    <n v="41"/>
    <n v="158"/>
    <d v="2023-01-03T00:00:00"/>
    <x v="2"/>
    <n v="4"/>
    <x v="0"/>
    <n v="38"/>
    <n v="194"/>
    <n v="95"/>
    <n v="69"/>
    <n v="164"/>
    <n v="396"/>
    <n v="91"/>
    <n v="21"/>
    <n v="55"/>
    <n v="167"/>
    <n v="72"/>
    <n v="14"/>
    <n v="40"/>
    <n v="126"/>
    <n v="66"/>
    <n v="15"/>
    <n v="54"/>
    <n v="135"/>
    <n v="97"/>
    <n v="20"/>
    <n v="41"/>
    <n v="158"/>
  </r>
  <r>
    <x v="3"/>
    <x v="3"/>
    <n v="2"/>
    <x v="0"/>
    <n v="74"/>
    <n v="69"/>
    <n v="66"/>
    <n v="135"/>
    <n v="94"/>
    <n v="63"/>
    <n v="157"/>
    <n v="366"/>
    <n v="84"/>
    <n v="6"/>
    <n v="70"/>
    <n v="160"/>
    <n v="69"/>
    <n v="10"/>
    <n v="63"/>
    <n v="142"/>
    <n v="83"/>
    <n v="13"/>
    <n v="61"/>
    <n v="157"/>
    <n v="70"/>
    <n v="3"/>
    <n v="72"/>
    <n v="145"/>
    <d v="2023-01-04T00:00:00"/>
    <x v="3"/>
    <n v="1"/>
    <x v="0"/>
    <n v="40"/>
    <n v="163"/>
    <n v="89"/>
    <n v="71"/>
    <n v="160"/>
    <n v="363"/>
    <n v="75"/>
    <n v="9"/>
    <n v="35"/>
    <n v="119"/>
    <n v="66"/>
    <n v="7"/>
    <n v="34"/>
    <n v="107"/>
    <n v="99"/>
    <n v="15"/>
    <n v="46"/>
    <n v="160"/>
    <n v="42"/>
    <n v="1"/>
    <n v="23"/>
    <n v="66"/>
  </r>
  <r>
    <x v="4"/>
    <x v="4"/>
    <n v="2"/>
    <x v="0"/>
    <n v="87"/>
    <n v="76"/>
    <n v="66"/>
    <n v="142"/>
    <n v="111"/>
    <n v="64"/>
    <n v="175"/>
    <n v="404"/>
    <n v="95"/>
    <n v="13"/>
    <n v="62"/>
    <n v="170"/>
    <n v="90"/>
    <n v="14"/>
    <n v="57"/>
    <n v="161"/>
    <n v="100"/>
    <n v="19"/>
    <n v="56"/>
    <n v="175"/>
    <n v="85"/>
    <n v="8"/>
    <n v="63"/>
    <n v="156"/>
    <d v="2023-01-05T00:00:00"/>
    <x v="4"/>
    <n v="1"/>
    <x v="0"/>
    <n v="31"/>
    <n v="166"/>
    <n v="72"/>
    <n v="53"/>
    <n v="125"/>
    <n v="322"/>
    <n v="80"/>
    <n v="10"/>
    <n v="30"/>
    <n v="120"/>
    <n v="65"/>
    <n v="5"/>
    <n v="28"/>
    <n v="98"/>
    <n v="84"/>
    <n v="9"/>
    <n v="32"/>
    <n v="125"/>
    <n v="61"/>
    <n v="6"/>
    <n v="26"/>
    <n v="93"/>
  </r>
  <r>
    <x v="5"/>
    <x v="5"/>
    <n v="4"/>
    <x v="0"/>
    <n v="138"/>
    <n v="74"/>
    <n v="83"/>
    <n v="157"/>
    <n v="119"/>
    <n v="51"/>
    <n v="170"/>
    <n v="465"/>
    <n v="107"/>
    <n v="15"/>
    <n v="69"/>
    <n v="191"/>
    <n v="80"/>
    <n v="6"/>
    <n v="39"/>
    <n v="125"/>
    <n v="80"/>
    <n v="9"/>
    <n v="81"/>
    <n v="170"/>
    <n v="107"/>
    <n v="12"/>
    <n v="27"/>
    <n v="146"/>
    <d v="2023-01-06T00:00:00"/>
    <x v="5"/>
    <n v="3"/>
    <x v="0"/>
    <n v="43"/>
    <n v="190"/>
    <n v="87"/>
    <n v="46"/>
    <n v="133"/>
    <n v="366"/>
    <n v="66"/>
    <n v="7"/>
    <n v="44"/>
    <n v="117"/>
    <n v="43"/>
    <n v="14"/>
    <n v="24"/>
    <n v="81"/>
    <n v="79"/>
    <n v="16"/>
    <n v="38"/>
    <n v="133"/>
    <n v="30"/>
    <n v="5"/>
    <n v="30"/>
    <n v="65"/>
  </r>
  <r>
    <x v="6"/>
    <x v="6"/>
    <n v="4"/>
    <x v="0"/>
    <n v="84"/>
    <n v="87"/>
    <n v="79"/>
    <n v="166"/>
    <n v="119"/>
    <n v="60"/>
    <n v="179"/>
    <n v="429"/>
    <n v="122"/>
    <n v="12"/>
    <n v="42"/>
    <n v="176"/>
    <n v="86"/>
    <n v="13"/>
    <n v="56"/>
    <n v="155"/>
    <n v="101"/>
    <n v="11"/>
    <n v="67"/>
    <n v="179"/>
    <n v="107"/>
    <n v="14"/>
    <n v="31"/>
    <n v="152"/>
    <d v="2023-01-07T00:00:00"/>
    <x v="6"/>
    <n v="3"/>
    <x v="0"/>
    <n v="32"/>
    <n v="208"/>
    <n v="109"/>
    <n v="50"/>
    <n v="159"/>
    <n v="399"/>
    <n v="94"/>
    <n v="6"/>
    <n v="53"/>
    <n v="153"/>
    <n v="50"/>
    <n v="9"/>
    <n v="34"/>
    <n v="93"/>
    <n v="95"/>
    <n v="12"/>
    <n v="52"/>
    <n v="159"/>
    <n v="49"/>
    <n v="3"/>
    <n v="35"/>
    <n v="87"/>
  </r>
  <r>
    <x v="7"/>
    <x v="0"/>
    <n v="1"/>
    <x v="0"/>
    <n v="92"/>
    <n v="78"/>
    <n v="91"/>
    <n v="169"/>
    <n v="99"/>
    <n v="36"/>
    <n v="135"/>
    <n v="396"/>
    <n v="122"/>
    <n v="18"/>
    <n v="45"/>
    <n v="185"/>
    <n v="111"/>
    <n v="18"/>
    <n v="48"/>
    <n v="177"/>
    <n v="68"/>
    <n v="13"/>
    <n v="54"/>
    <n v="135"/>
    <n v="165"/>
    <n v="23"/>
    <n v="39"/>
    <n v="227"/>
    <d v="2023-01-08T00:00:00"/>
    <x v="0"/>
    <n v="2"/>
    <x v="0"/>
    <n v="43"/>
    <n v="284"/>
    <n v="95"/>
    <n v="25"/>
    <n v="120"/>
    <n v="447"/>
    <n v="101"/>
    <n v="12"/>
    <n v="27"/>
    <n v="140"/>
    <n v="63"/>
    <n v="5"/>
    <n v="22"/>
    <n v="90"/>
    <n v="80"/>
    <n v="16"/>
    <n v="24"/>
    <n v="120"/>
    <n v="84"/>
    <n v="1"/>
    <n v="25"/>
    <n v="110"/>
  </r>
  <r>
    <x v="8"/>
    <x v="1"/>
    <n v="1"/>
    <x v="0"/>
    <n v="117"/>
    <n v="82"/>
    <n v="58"/>
    <n v="140"/>
    <n v="106"/>
    <n v="32"/>
    <n v="138"/>
    <n v="395"/>
    <n v="95"/>
    <n v="14"/>
    <n v="50"/>
    <n v="159"/>
    <n v="62"/>
    <n v="15"/>
    <n v="54"/>
    <n v="131"/>
    <n v="75"/>
    <n v="15"/>
    <n v="48"/>
    <n v="138"/>
    <n v="82"/>
    <n v="14"/>
    <n v="56"/>
    <n v="152"/>
    <d v="2023-01-09T00:00:00"/>
    <x v="1"/>
    <n v="2"/>
    <x v="0"/>
    <n v="43"/>
    <n v="197"/>
    <n v="84"/>
    <n v="52"/>
    <n v="136"/>
    <n v="376"/>
    <n v="72"/>
    <n v="9"/>
    <n v="30"/>
    <n v="111"/>
    <n v="54"/>
    <n v="4"/>
    <n v="37"/>
    <n v="95"/>
    <n v="82"/>
    <n v="12"/>
    <n v="42"/>
    <n v="136"/>
    <n v="44"/>
    <n v="1"/>
    <n v="25"/>
    <n v="70"/>
  </r>
  <r>
    <x v="9"/>
    <x v="2"/>
    <n v="3"/>
    <x v="0"/>
    <n v="83"/>
    <n v="67"/>
    <n v="75"/>
    <n v="142"/>
    <n v="102"/>
    <n v="68"/>
    <n v="170"/>
    <n v="395"/>
    <n v="99"/>
    <n v="15"/>
    <n v="58"/>
    <n v="172"/>
    <n v="80"/>
    <n v="11"/>
    <n v="61"/>
    <n v="152"/>
    <n v="85"/>
    <n v="16"/>
    <n v="69"/>
    <n v="170"/>
    <n v="94"/>
    <n v="10"/>
    <n v="50"/>
    <n v="154"/>
    <d v="2023-01-10T00:00:00"/>
    <x v="2"/>
    <n v="4"/>
    <x v="0"/>
    <n v="37"/>
    <n v="192"/>
    <n v="128"/>
    <n v="51"/>
    <n v="179"/>
    <n v="408"/>
    <n v="88"/>
    <n v="10"/>
    <n v="58"/>
    <n v="156"/>
    <n v="55"/>
    <n v="9"/>
    <n v="26"/>
    <n v="90"/>
    <n v="103"/>
    <n v="8"/>
    <n v="68"/>
    <n v="179"/>
    <n v="40"/>
    <n v="11"/>
    <n v="16"/>
    <n v="67"/>
  </r>
  <r>
    <x v="10"/>
    <x v="3"/>
    <n v="3"/>
    <x v="0"/>
    <n v="92"/>
    <n v="66"/>
    <n v="74"/>
    <n v="140"/>
    <n v="87"/>
    <n v="56"/>
    <n v="143"/>
    <n v="375"/>
    <n v="106"/>
    <n v="18"/>
    <n v="59"/>
    <n v="183"/>
    <n v="104"/>
    <n v="17"/>
    <n v="49"/>
    <n v="170"/>
    <n v="63"/>
    <n v="15"/>
    <n v="65"/>
    <n v="143"/>
    <n v="147"/>
    <n v="20"/>
    <n v="43"/>
    <n v="210"/>
    <d v="2023-01-11T00:00:00"/>
    <x v="3"/>
    <n v="4"/>
    <x v="0"/>
    <n v="44"/>
    <n v="293"/>
    <n v="118"/>
    <n v="51"/>
    <n v="169"/>
    <n v="506"/>
    <n v="104"/>
    <n v="11"/>
    <n v="38"/>
    <n v="153"/>
    <n v="79"/>
    <n v="6"/>
    <n v="26"/>
    <n v="111"/>
    <n v="110"/>
    <n v="13"/>
    <n v="46"/>
    <n v="169"/>
    <n v="73"/>
    <n v="4"/>
    <n v="18"/>
    <n v="95"/>
  </r>
  <r>
    <x v="11"/>
    <x v="4"/>
    <n v="2"/>
    <x v="0"/>
    <n v="143"/>
    <n v="95"/>
    <n v="70"/>
    <n v="165"/>
    <n v="121"/>
    <n v="51"/>
    <n v="172"/>
    <n v="480"/>
    <n v="142"/>
    <n v="7"/>
    <n v="61"/>
    <n v="210"/>
    <n v="116"/>
    <n v="15"/>
    <n v="41"/>
    <n v="172"/>
    <n v="100"/>
    <n v="9"/>
    <n v="63"/>
    <n v="172"/>
    <n v="158"/>
    <n v="13"/>
    <n v="39"/>
    <n v="210"/>
    <d v="2023-01-12T00:00:00"/>
    <x v="4"/>
    <n v="1"/>
    <x v="0"/>
    <n v="57"/>
    <n v="242"/>
    <n v="100"/>
    <n v="34"/>
    <n v="134"/>
    <n v="433"/>
    <n v="103"/>
    <n v="7"/>
    <n v="45"/>
    <n v="155"/>
    <n v="66"/>
    <n v="9"/>
    <n v="33"/>
    <n v="108"/>
    <n v="85"/>
    <n v="12"/>
    <n v="37"/>
    <n v="134"/>
    <n v="84"/>
    <n v="4"/>
    <n v="41"/>
    <n v="129"/>
  </r>
  <r>
    <x v="12"/>
    <x v="5"/>
    <n v="2"/>
    <x v="0"/>
    <n v="165"/>
    <n v="73"/>
    <n v="90"/>
    <n v="163"/>
    <n v="97"/>
    <n v="77"/>
    <n v="174"/>
    <n v="502"/>
    <n v="108"/>
    <n v="6"/>
    <n v="68"/>
    <n v="182"/>
    <n v="105"/>
    <n v="12"/>
    <n v="55"/>
    <n v="172"/>
    <n v="103"/>
    <n v="8"/>
    <n v="63"/>
    <n v="174"/>
    <n v="110"/>
    <n v="10"/>
    <n v="60"/>
    <n v="180"/>
    <d v="2023-01-13T00:00:00"/>
    <x v="5"/>
    <n v="1"/>
    <x v="0"/>
    <n v="40"/>
    <n v="223"/>
    <n v="79"/>
    <n v="33"/>
    <n v="112"/>
    <n v="375"/>
    <n v="94"/>
    <n v="12"/>
    <n v="23"/>
    <n v="129"/>
    <n v="66"/>
    <n v="4"/>
    <n v="30"/>
    <n v="100"/>
    <n v="78"/>
    <n v="11"/>
    <n v="23"/>
    <n v="112"/>
    <n v="82"/>
    <n v="5"/>
    <n v="30"/>
    <n v="117"/>
  </r>
  <r>
    <x v="13"/>
    <x v="6"/>
    <n v="4"/>
    <x v="0"/>
    <n v="171"/>
    <n v="75"/>
    <n v="81"/>
    <n v="156"/>
    <n v="116"/>
    <n v="75"/>
    <n v="191"/>
    <n v="518"/>
    <n v="128"/>
    <n v="15"/>
    <n v="59"/>
    <n v="202"/>
    <n v="101"/>
    <n v="18"/>
    <n v="70"/>
    <n v="189"/>
    <n v="96"/>
    <n v="14"/>
    <n v="81"/>
    <n v="191"/>
    <n v="133"/>
    <n v="19"/>
    <n v="48"/>
    <n v="200"/>
    <d v="2023-01-14T00:00:00"/>
    <x v="6"/>
    <n v="3"/>
    <x v="0"/>
    <n v="39"/>
    <n v="287"/>
    <n v="89"/>
    <n v="42"/>
    <n v="131"/>
    <n v="457"/>
    <n v="109"/>
    <n v="10"/>
    <n v="54"/>
    <n v="173"/>
    <n v="77"/>
    <n v="9"/>
    <n v="26"/>
    <n v="112"/>
    <n v="78"/>
    <n v="11"/>
    <n v="42"/>
    <n v="131"/>
    <n v="108"/>
    <n v="8"/>
    <n v="38"/>
    <n v="154"/>
  </r>
  <r>
    <x v="14"/>
    <x v="0"/>
    <n v="4"/>
    <x v="0"/>
    <n v="193"/>
    <n v="59"/>
    <n v="76"/>
    <n v="135"/>
    <n v="101"/>
    <n v="78"/>
    <n v="179"/>
    <n v="507"/>
    <n v="125"/>
    <n v="8"/>
    <n v="50"/>
    <n v="183"/>
    <n v="105"/>
    <n v="18"/>
    <n v="60"/>
    <n v="183"/>
    <n v="92"/>
    <n v="8"/>
    <n v="79"/>
    <n v="179"/>
    <n v="138"/>
    <n v="18"/>
    <n v="31"/>
    <n v="187"/>
    <d v="2023-01-15T00:00:00"/>
    <x v="0"/>
    <n v="3"/>
    <x v="0"/>
    <n v="42"/>
    <n v="253"/>
    <n v="115"/>
    <n v="55"/>
    <n v="170"/>
    <n v="465"/>
    <n v="84"/>
    <n v="9"/>
    <n v="48"/>
    <n v="141"/>
    <n v="82"/>
    <n v="9"/>
    <n v="28"/>
    <n v="119"/>
    <n v="94"/>
    <n v="15"/>
    <n v="61"/>
    <n v="170"/>
    <n v="72"/>
    <n v="3"/>
    <n v="15"/>
    <n v="90"/>
  </r>
  <r>
    <x v="15"/>
    <x v="1"/>
    <n v="1"/>
    <x v="0"/>
    <n v="143"/>
    <n v="62"/>
    <n v="87"/>
    <n v="149"/>
    <n v="105"/>
    <n v="55"/>
    <n v="160"/>
    <n v="452"/>
    <n v="88"/>
    <n v="12"/>
    <n v="37"/>
    <n v="137"/>
    <n v="80"/>
    <n v="19"/>
    <n v="59"/>
    <n v="158"/>
    <n v="87"/>
    <n v="19"/>
    <n v="54"/>
    <n v="160"/>
    <n v="81"/>
    <n v="12"/>
    <n v="42"/>
    <n v="135"/>
    <d v="2023-01-16T00:00:00"/>
    <x v="1"/>
    <n v="2"/>
    <x v="0"/>
    <n v="21"/>
    <n v="207"/>
    <n v="132"/>
    <n v="51"/>
    <n v="183"/>
    <n v="411"/>
    <n v="105"/>
    <n v="12"/>
    <n v="45"/>
    <n v="162"/>
    <n v="55"/>
    <n v="4"/>
    <n v="36"/>
    <n v="95"/>
    <n v="118"/>
    <n v="15"/>
    <n v="50"/>
    <n v="183"/>
    <n v="42"/>
    <n v="1"/>
    <n v="31"/>
    <n v="74"/>
  </r>
  <r>
    <x v="16"/>
    <x v="2"/>
    <n v="1"/>
    <x v="0"/>
    <n v="93"/>
    <n v="65"/>
    <n v="59"/>
    <n v="124"/>
    <n v="110"/>
    <n v="50"/>
    <n v="160"/>
    <n v="377"/>
    <n v="103"/>
    <n v="12"/>
    <n v="39"/>
    <n v="154"/>
    <n v="91"/>
    <n v="13"/>
    <n v="32"/>
    <n v="136"/>
    <n v="87"/>
    <n v="21"/>
    <n v="52"/>
    <n v="160"/>
    <n v="107"/>
    <n v="4"/>
    <n v="19"/>
    <n v="130"/>
    <d v="2023-01-17T00:00:00"/>
    <x v="2"/>
    <n v="2"/>
    <x v="0"/>
    <n v="45"/>
    <n v="204"/>
    <n v="94"/>
    <n v="37"/>
    <n v="131"/>
    <n v="380"/>
    <n v="86"/>
    <n v="6"/>
    <n v="27"/>
    <n v="119"/>
    <n v="59"/>
    <n v="9"/>
    <n v="31"/>
    <n v="99"/>
    <n v="77"/>
    <n v="9"/>
    <n v="45"/>
    <n v="131"/>
    <n v="68"/>
    <n v="6"/>
    <n v="13"/>
    <n v="87"/>
  </r>
  <r>
    <x v="17"/>
    <x v="3"/>
    <n v="3"/>
    <x v="0"/>
    <n v="138"/>
    <n v="70"/>
    <n v="62"/>
    <n v="132"/>
    <n v="103"/>
    <n v="49"/>
    <n v="152"/>
    <n v="422"/>
    <n v="110"/>
    <n v="30"/>
    <n v="74"/>
    <n v="214"/>
    <n v="112"/>
    <n v="13"/>
    <n v="44"/>
    <n v="169"/>
    <n v="72"/>
    <n v="16"/>
    <n v="64"/>
    <n v="152"/>
    <n v="150"/>
    <n v="27"/>
    <n v="54"/>
    <n v="231"/>
    <d v="2023-01-18T00:00:00"/>
    <x v="3"/>
    <n v="4"/>
    <x v="0"/>
    <n v="45"/>
    <n v="278"/>
    <n v="109"/>
    <n v="28"/>
    <n v="137"/>
    <n v="460"/>
    <n v="105"/>
    <n v="5"/>
    <n v="31"/>
    <n v="141"/>
    <n v="71"/>
    <n v="7"/>
    <n v="20"/>
    <n v="98"/>
    <n v="94"/>
    <n v="5"/>
    <n v="38"/>
    <n v="137"/>
    <n v="82"/>
    <n v="7"/>
    <n v="13"/>
    <n v="102"/>
  </r>
  <r>
    <x v="18"/>
    <x v="4"/>
    <n v="3"/>
    <x v="0"/>
    <n v="144"/>
    <n v="65"/>
    <n v="97"/>
    <n v="162"/>
    <n v="100"/>
    <n v="46"/>
    <n v="146"/>
    <n v="452"/>
    <n v="122"/>
    <n v="5"/>
    <n v="46"/>
    <n v="173"/>
    <n v="109"/>
    <n v="7"/>
    <n v="31"/>
    <n v="147"/>
    <n v="91"/>
    <n v="4"/>
    <n v="51"/>
    <n v="146"/>
    <n v="140"/>
    <n v="8"/>
    <n v="26"/>
    <n v="174"/>
    <d v="2023-01-19T00:00:00"/>
    <x v="4"/>
    <n v="4"/>
    <x v="0"/>
    <n v="59"/>
    <n v="281"/>
    <n v="134"/>
    <n v="51"/>
    <n v="185"/>
    <n v="525"/>
    <n v="94"/>
    <n v="12"/>
    <n v="40"/>
    <n v="146"/>
    <n v="65"/>
    <n v="4"/>
    <n v="20"/>
    <n v="89"/>
    <n v="122"/>
    <n v="14"/>
    <n v="49"/>
    <n v="185"/>
    <n v="37"/>
    <n v="2"/>
    <n v="11"/>
    <n v="50"/>
  </r>
  <r>
    <x v="19"/>
    <x v="5"/>
    <n v="2"/>
    <x v="0"/>
    <n v="124"/>
    <n v="79"/>
    <n v="68"/>
    <n v="147"/>
    <n v="115"/>
    <n v="49"/>
    <n v="164"/>
    <n v="435"/>
    <n v="146"/>
    <n v="16"/>
    <n v="48"/>
    <n v="210"/>
    <n v="98"/>
    <n v="10"/>
    <n v="43"/>
    <n v="151"/>
    <n v="111"/>
    <n v="14"/>
    <n v="39"/>
    <n v="164"/>
    <n v="133"/>
    <n v="12"/>
    <n v="52"/>
    <n v="197"/>
    <d v="2023-01-20T00:00:00"/>
    <x v="5"/>
    <n v="1"/>
    <x v="0"/>
    <n v="45"/>
    <n v="219"/>
    <n v="94"/>
    <n v="34"/>
    <n v="128"/>
    <n v="392"/>
    <n v="100"/>
    <n v="4"/>
    <n v="54"/>
    <n v="158"/>
    <n v="71"/>
    <n v="9"/>
    <n v="30"/>
    <n v="110"/>
    <n v="72"/>
    <n v="5"/>
    <n v="51"/>
    <n v="128"/>
    <n v="99"/>
    <n v="8"/>
    <n v="33"/>
    <n v="140"/>
  </r>
  <r>
    <x v="20"/>
    <x v="6"/>
    <n v="2"/>
    <x v="0"/>
    <n v="167"/>
    <n v="96"/>
    <n v="82"/>
    <n v="178"/>
    <n v="116"/>
    <n v="58"/>
    <n v="174"/>
    <n v="519"/>
    <n v="119"/>
    <n v="16"/>
    <n v="67"/>
    <n v="202"/>
    <n v="99"/>
    <n v="12"/>
    <n v="52"/>
    <n v="163"/>
    <n v="111"/>
    <n v="18"/>
    <n v="45"/>
    <n v="174"/>
    <n v="107"/>
    <n v="10"/>
    <n v="74"/>
    <n v="191"/>
    <d v="2023-01-21T00:00:00"/>
    <x v="6"/>
    <n v="1"/>
    <x v="0"/>
    <n v="55"/>
    <n v="232"/>
    <n v="97"/>
    <n v="38"/>
    <n v="135"/>
    <n v="422"/>
    <n v="101"/>
    <n v="11"/>
    <n v="60"/>
    <n v="172"/>
    <n v="48"/>
    <n v="3"/>
    <n v="36"/>
    <n v="87"/>
    <n v="75"/>
    <n v="13"/>
    <n v="47"/>
    <n v="135"/>
    <n v="74"/>
    <n v="1"/>
    <n v="49"/>
    <n v="124"/>
  </r>
  <r>
    <x v="21"/>
    <x v="0"/>
    <n v="4"/>
    <x v="0"/>
    <n v="185"/>
    <n v="64"/>
    <n v="82"/>
    <n v="146"/>
    <n v="138"/>
    <n v="56"/>
    <n v="194"/>
    <n v="525"/>
    <n v="127"/>
    <n v="19"/>
    <n v="54"/>
    <n v="200"/>
    <n v="104"/>
    <n v="21"/>
    <n v="49"/>
    <n v="174"/>
    <n v="117"/>
    <n v="20"/>
    <n v="57"/>
    <n v="194"/>
    <n v="114"/>
    <n v="20"/>
    <n v="46"/>
    <n v="180"/>
    <d v="2023-01-22T00:00:00"/>
    <x v="0"/>
    <n v="3"/>
    <x v="0"/>
    <n v="40"/>
    <n v="256"/>
    <n v="126"/>
    <n v="59"/>
    <n v="185"/>
    <n v="481"/>
    <n v="108"/>
    <n v="12"/>
    <n v="47"/>
    <n v="167"/>
    <n v="71"/>
    <n v="9"/>
    <n v="36"/>
    <n v="116"/>
    <n v="114"/>
    <n v="15"/>
    <n v="56"/>
    <n v="185"/>
    <n v="65"/>
    <n v="6"/>
    <n v="27"/>
    <n v="98"/>
  </r>
  <r>
    <x v="22"/>
    <x v="1"/>
    <n v="4"/>
    <x v="0"/>
    <n v="149"/>
    <n v="85"/>
    <n v="73"/>
    <n v="158"/>
    <n v="116"/>
    <n v="48"/>
    <n v="164"/>
    <n v="471"/>
    <n v="121"/>
    <n v="20"/>
    <n v="39"/>
    <n v="180"/>
    <n v="95"/>
    <n v="8"/>
    <n v="36"/>
    <n v="139"/>
    <n v="104"/>
    <n v="13"/>
    <n v="47"/>
    <n v="164"/>
    <n v="112"/>
    <n v="15"/>
    <n v="28"/>
    <n v="155"/>
    <d v="2023-01-23T00:00:00"/>
    <x v="1"/>
    <n v="3"/>
    <x v="0"/>
    <n v="43"/>
    <n v="179"/>
    <n v="116"/>
    <n v="51"/>
    <n v="167"/>
    <n v="389"/>
    <n v="97"/>
    <n v="11"/>
    <n v="32"/>
    <n v="140"/>
    <n v="52"/>
    <n v="6"/>
    <n v="35"/>
    <n v="93"/>
    <n v="113"/>
    <n v="14"/>
    <n v="40"/>
    <n v="167"/>
    <n v="36"/>
    <n v="3"/>
    <n v="27"/>
    <n v="66"/>
  </r>
  <r>
    <x v="23"/>
    <x v="2"/>
    <n v="1"/>
    <x v="0"/>
    <n v="90"/>
    <n v="47"/>
    <n v="67"/>
    <n v="114"/>
    <n v="115"/>
    <n v="54"/>
    <n v="169"/>
    <n v="373"/>
    <n v="105"/>
    <n v="10"/>
    <n v="52"/>
    <n v="167"/>
    <n v="105"/>
    <n v="8"/>
    <n v="34"/>
    <n v="147"/>
    <n v="96"/>
    <n v="10"/>
    <n v="63"/>
    <n v="169"/>
    <n v="114"/>
    <n v="8"/>
    <n v="23"/>
    <n v="145"/>
    <d v="2023-01-24T00:00:00"/>
    <x v="2"/>
    <n v="2"/>
    <x v="0"/>
    <n v="27"/>
    <n v="209"/>
    <n v="87"/>
    <n v="41"/>
    <n v="128"/>
    <n v="364"/>
    <n v="87"/>
    <n v="2"/>
    <n v="28"/>
    <n v="117"/>
    <n v="63"/>
    <n v="5"/>
    <n v="24"/>
    <n v="92"/>
    <n v="105"/>
    <n v="3"/>
    <n v="20"/>
    <n v="128"/>
    <n v="45"/>
    <n v="4"/>
    <n v="32"/>
    <n v="81"/>
  </r>
  <r>
    <x v="24"/>
    <x v="3"/>
    <n v="1"/>
    <x v="0"/>
    <n v="106"/>
    <n v="61"/>
    <n v="74"/>
    <n v="135"/>
    <n v="100"/>
    <n v="47"/>
    <n v="147"/>
    <n v="388"/>
    <n v="94"/>
    <n v="10"/>
    <n v="49"/>
    <n v="153"/>
    <n v="96"/>
    <n v="13"/>
    <n v="18"/>
    <n v="127"/>
    <n v="87"/>
    <n v="12"/>
    <n v="48"/>
    <n v="147"/>
    <n v="103"/>
    <n v="11"/>
    <n v="19"/>
    <n v="133"/>
    <d v="2023-01-25T00:00:00"/>
    <x v="3"/>
    <n v="2"/>
    <x v="0"/>
    <n v="32"/>
    <n v="219"/>
    <n v="113"/>
    <n v="66"/>
    <n v="179"/>
    <n v="430"/>
    <n v="104"/>
    <n v="7"/>
    <n v="27"/>
    <n v="138"/>
    <n v="91"/>
    <n v="5"/>
    <n v="25"/>
    <n v="121"/>
    <n v="130"/>
    <n v="12"/>
    <n v="37"/>
    <n v="179"/>
    <n v="65"/>
    <n v="0"/>
    <n v="15"/>
    <n v="80"/>
  </r>
  <r>
    <x v="25"/>
    <x v="4"/>
    <n v="3"/>
    <x v="0"/>
    <n v="123"/>
    <n v="87"/>
    <n v="57"/>
    <n v="144"/>
    <n v="86"/>
    <n v="45"/>
    <n v="131"/>
    <n v="398"/>
    <n v="124"/>
    <n v="9"/>
    <n v="34"/>
    <n v="167"/>
    <n v="83"/>
    <n v="11"/>
    <n v="30"/>
    <n v="124"/>
    <n v="82"/>
    <n v="5"/>
    <n v="44"/>
    <n v="131"/>
    <n v="125"/>
    <n v="15"/>
    <n v="20"/>
    <n v="160"/>
    <d v="2023-01-26T00:00:00"/>
    <x v="4"/>
    <n v="4"/>
    <x v="0"/>
    <n v="47"/>
    <n v="249"/>
    <n v="91"/>
    <n v="61"/>
    <n v="152"/>
    <n v="448"/>
    <n v="76"/>
    <n v="7"/>
    <n v="19"/>
    <n v="102"/>
    <n v="95"/>
    <n v="8"/>
    <n v="36"/>
    <n v="139"/>
    <n v="113"/>
    <n v="5"/>
    <n v="34"/>
    <n v="152"/>
    <n v="58"/>
    <n v="10"/>
    <n v="21"/>
    <n v="89"/>
  </r>
  <r>
    <x v="26"/>
    <x v="5"/>
    <n v="3"/>
    <x v="0"/>
    <n v="92"/>
    <n v="71"/>
    <n v="68"/>
    <n v="139"/>
    <n v="91"/>
    <n v="41"/>
    <n v="132"/>
    <n v="363"/>
    <n v="89"/>
    <n v="12"/>
    <n v="30"/>
    <n v="131"/>
    <n v="80"/>
    <n v="6"/>
    <n v="28"/>
    <n v="114"/>
    <n v="77"/>
    <n v="15"/>
    <n v="40"/>
    <n v="132"/>
    <n v="92"/>
    <n v="3"/>
    <n v="18"/>
    <n v="113"/>
    <d v="2023-01-27T00:00:00"/>
    <x v="5"/>
    <n v="4"/>
    <x v="0"/>
    <n v="28"/>
    <n v="217"/>
    <n v="90"/>
    <n v="43"/>
    <n v="133"/>
    <n v="378"/>
    <n v="64"/>
    <n v="5"/>
    <n v="35"/>
    <n v="104"/>
    <n v="40"/>
    <n v="6"/>
    <n v="16"/>
    <n v="62"/>
    <n v="89"/>
    <n v="9"/>
    <n v="35"/>
    <n v="133"/>
    <n v="15"/>
    <n v="2"/>
    <n v="16"/>
    <n v="33"/>
  </r>
  <r>
    <x v="27"/>
    <x v="6"/>
    <n v="2"/>
    <x v="0"/>
    <n v="108"/>
    <n v="72"/>
    <n v="65"/>
    <n v="137"/>
    <n v="118"/>
    <n v="54"/>
    <n v="172"/>
    <n v="417"/>
    <n v="101"/>
    <n v="22"/>
    <n v="52"/>
    <n v="175"/>
    <n v="101"/>
    <n v="15"/>
    <n v="50"/>
    <n v="166"/>
    <n v="92"/>
    <n v="22"/>
    <n v="58"/>
    <n v="172"/>
    <n v="110"/>
    <n v="15"/>
    <n v="44"/>
    <n v="169"/>
    <d v="2023-01-28T00:00:00"/>
    <x v="6"/>
    <n v="1"/>
    <x v="0"/>
    <n v="20"/>
    <n v="188"/>
    <n v="77"/>
    <n v="29"/>
    <n v="106"/>
    <n v="314"/>
    <n v="60"/>
    <n v="7"/>
    <n v="33"/>
    <n v="100"/>
    <n v="34"/>
    <n v="12"/>
    <n v="22"/>
    <n v="68"/>
    <n v="49"/>
    <n v="7"/>
    <n v="50"/>
    <n v="106"/>
    <n v="45"/>
    <n v="12"/>
    <n v="5"/>
    <n v="62"/>
  </r>
  <r>
    <x v="28"/>
    <x v="0"/>
    <n v="2"/>
    <x v="0"/>
    <n v="92"/>
    <n v="64"/>
    <n v="70"/>
    <n v="134"/>
    <n v="117"/>
    <n v="62"/>
    <n v="179"/>
    <n v="405"/>
    <n v="93"/>
    <n v="54"/>
    <n v="45"/>
    <n v="192"/>
    <n v="107"/>
    <n v="18"/>
    <n v="44"/>
    <n v="169"/>
    <n v="88"/>
    <n v="31"/>
    <n v="60"/>
    <n v="179"/>
    <n v="112"/>
    <n v="41"/>
    <n v="29"/>
    <n v="182"/>
    <d v="2023-01-29T00:00:00"/>
    <x v="0"/>
    <n v="1"/>
    <x v="0"/>
    <n v="31"/>
    <n v="196"/>
    <n v="107"/>
    <n v="32"/>
    <n v="139"/>
    <n v="366"/>
    <n v="75"/>
    <n v="5"/>
    <n v="35"/>
    <n v="115"/>
    <n v="50"/>
    <n v="9"/>
    <n v="25"/>
    <n v="84"/>
    <n v="83"/>
    <n v="8"/>
    <n v="48"/>
    <n v="139"/>
    <n v="42"/>
    <n v="6"/>
    <n v="12"/>
    <n v="60"/>
  </r>
  <r>
    <x v="29"/>
    <x v="1"/>
    <n v="4"/>
    <x v="0"/>
    <n v="100"/>
    <n v="75"/>
    <n v="77"/>
    <n v="152"/>
    <n v="92"/>
    <n v="49"/>
    <n v="141"/>
    <n v="393"/>
    <n v="99"/>
    <n v="7"/>
    <n v="44"/>
    <n v="150"/>
    <n v="95"/>
    <n v="11"/>
    <n v="32"/>
    <n v="138"/>
    <n v="88"/>
    <n v="12"/>
    <n v="41"/>
    <n v="141"/>
    <n v="106"/>
    <n v="6"/>
    <n v="35"/>
    <n v="147"/>
    <d v="2023-01-30T00:00:00"/>
    <x v="1"/>
    <n v="3"/>
    <x v="0"/>
    <n v="19"/>
    <n v="153"/>
    <n v="90"/>
    <n v="38"/>
    <n v="128"/>
    <n v="300"/>
    <n v="64"/>
    <n v="9"/>
    <n v="46"/>
    <n v="119"/>
    <n v="35"/>
    <n v="8"/>
    <n v="26"/>
    <n v="69"/>
    <n v="68"/>
    <n v="13"/>
    <n v="47"/>
    <n v="128"/>
    <n v="31"/>
    <n v="4"/>
    <n v="25"/>
    <n v="60"/>
  </r>
  <r>
    <x v="30"/>
    <x v="2"/>
    <n v="4"/>
    <x v="0"/>
    <n v="94"/>
    <n v="63"/>
    <n v="62"/>
    <n v="125"/>
    <n v="94"/>
    <n v="36"/>
    <n v="130"/>
    <n v="349"/>
    <n v="65"/>
    <n v="14"/>
    <n v="43"/>
    <n v="122"/>
    <n v="64"/>
    <n v="12"/>
    <n v="45"/>
    <n v="121"/>
    <n v="58"/>
    <n v="15"/>
    <n v="57"/>
    <n v="130"/>
    <n v="71"/>
    <n v="11"/>
    <n v="31"/>
    <n v="113"/>
    <d v="2023-01-31T00:00:00"/>
    <x v="2"/>
    <n v="3"/>
    <x v="0"/>
    <n v="36"/>
    <n v="143"/>
    <n v="91"/>
    <n v="50"/>
    <n v="141"/>
    <n v="320"/>
    <n v="75"/>
    <n v="9"/>
    <n v="40"/>
    <n v="124"/>
    <n v="50"/>
    <n v="5"/>
    <n v="33"/>
    <n v="88"/>
    <n v="87"/>
    <n v="14"/>
    <n v="40"/>
    <n v="141"/>
    <n v="38"/>
    <n v="0"/>
    <n v="33"/>
    <n v="71"/>
  </r>
  <r>
    <x v="31"/>
    <x v="3"/>
    <n v="1"/>
    <x v="0"/>
    <n v="84"/>
    <n v="92"/>
    <n v="63"/>
    <n v="155"/>
    <n v="100"/>
    <n v="44"/>
    <n v="144"/>
    <n v="383"/>
    <n v="85"/>
    <n v="17"/>
    <n v="49"/>
    <n v="151"/>
    <n v="86"/>
    <n v="19"/>
    <n v="41"/>
    <n v="146"/>
    <n v="74"/>
    <n v="10"/>
    <n v="60"/>
    <n v="144"/>
    <n v="97"/>
    <n v="26"/>
    <n v="30"/>
    <n v="153"/>
    <d v="2023-02-01T00:00:00"/>
    <x v="3"/>
    <n v="2"/>
    <x v="0"/>
    <n v="34"/>
    <n v="231"/>
    <n v="78"/>
    <n v="39"/>
    <n v="117"/>
    <n v="382"/>
    <n v="68"/>
    <n v="2"/>
    <n v="34"/>
    <n v="104"/>
    <n v="68"/>
    <n v="8"/>
    <n v="15"/>
    <n v="91"/>
    <n v="72"/>
    <n v="3"/>
    <n v="42"/>
    <n v="117"/>
    <n v="64"/>
    <n v="7"/>
    <n v="7"/>
    <n v="78"/>
  </r>
  <r>
    <x v="32"/>
    <x v="4"/>
    <n v="1"/>
    <x v="0"/>
    <n v="110"/>
    <n v="73"/>
    <n v="69"/>
    <n v="142"/>
    <n v="90"/>
    <n v="45"/>
    <n v="135"/>
    <n v="387"/>
    <n v="87"/>
    <n v="7"/>
    <n v="46"/>
    <n v="140"/>
    <n v="96"/>
    <n v="14"/>
    <n v="44"/>
    <n v="154"/>
    <n v="77"/>
    <n v="8"/>
    <n v="50"/>
    <n v="135"/>
    <n v="106"/>
    <n v="13"/>
    <n v="40"/>
    <n v="159"/>
    <d v="2023-02-02T00:00:00"/>
    <x v="4"/>
    <n v="2"/>
    <x v="0"/>
    <n v="38"/>
    <n v="233"/>
    <n v="119"/>
    <n v="59"/>
    <n v="178"/>
    <n v="449"/>
    <n v="100"/>
    <n v="9"/>
    <n v="47"/>
    <n v="156"/>
    <n v="80"/>
    <n v="2"/>
    <n v="38"/>
    <n v="120"/>
    <n v="116"/>
    <n v="11"/>
    <n v="51"/>
    <n v="178"/>
    <n v="64"/>
    <n v="0"/>
    <n v="34"/>
    <n v="98"/>
  </r>
  <r>
    <x v="33"/>
    <x v="5"/>
    <n v="3"/>
    <x v="0"/>
    <n v="120"/>
    <n v="65"/>
    <n v="84"/>
    <n v="149"/>
    <n v="85"/>
    <n v="48"/>
    <n v="133"/>
    <n v="402"/>
    <n v="98"/>
    <n v="12"/>
    <n v="43"/>
    <n v="153"/>
    <n v="99"/>
    <n v="9"/>
    <n v="50"/>
    <n v="158"/>
    <n v="87"/>
    <n v="10"/>
    <n v="36"/>
    <n v="133"/>
    <n v="110"/>
    <n v="11"/>
    <n v="57"/>
    <n v="178"/>
    <d v="2023-02-03T00:00:00"/>
    <x v="5"/>
    <n v="4"/>
    <x v="0"/>
    <n v="32"/>
    <n v="253"/>
    <n v="103"/>
    <n v="44"/>
    <n v="147"/>
    <n v="432"/>
    <n v="99"/>
    <n v="14"/>
    <n v="21"/>
    <n v="134"/>
    <n v="57"/>
    <n v="8"/>
    <n v="19"/>
    <n v="84"/>
    <n v="113"/>
    <n v="8"/>
    <n v="26"/>
    <n v="147"/>
    <n v="43"/>
    <n v="14"/>
    <n v="14"/>
    <n v="71"/>
  </r>
  <r>
    <x v="34"/>
    <x v="6"/>
    <n v="3"/>
    <x v="0"/>
    <n v="87"/>
    <n v="77"/>
    <n v="79"/>
    <n v="156"/>
    <n v="118"/>
    <n v="57"/>
    <n v="175"/>
    <n v="418"/>
    <n v="132"/>
    <n v="25"/>
    <n v="74"/>
    <n v="231"/>
    <n v="96"/>
    <n v="18"/>
    <n v="87"/>
    <n v="201"/>
    <n v="87"/>
    <n v="18"/>
    <n v="70"/>
    <n v="175"/>
    <n v="141"/>
    <n v="25"/>
    <n v="91"/>
    <n v="257"/>
    <d v="2023-02-04T00:00:00"/>
    <x v="6"/>
    <n v="4"/>
    <x v="0"/>
    <n v="59"/>
    <n v="277"/>
    <n v="118"/>
    <n v="31"/>
    <n v="149"/>
    <n v="485"/>
    <n v="114"/>
    <n v="2"/>
    <n v="44"/>
    <n v="160"/>
    <n v="66"/>
    <n v="9"/>
    <n v="22"/>
    <n v="97"/>
    <n v="103"/>
    <n v="3"/>
    <n v="43"/>
    <n v="149"/>
    <n v="77"/>
    <n v="8"/>
    <n v="23"/>
    <n v="108"/>
  </r>
  <r>
    <x v="35"/>
    <x v="0"/>
    <n v="2"/>
    <x v="0"/>
    <n v="162"/>
    <n v="88"/>
    <n v="102"/>
    <n v="190"/>
    <n v="119"/>
    <n v="68"/>
    <n v="187"/>
    <n v="539"/>
    <n v="127"/>
    <n v="17"/>
    <n v="57"/>
    <n v="201"/>
    <n v="89"/>
    <n v="16"/>
    <n v="44"/>
    <n v="149"/>
    <n v="110"/>
    <n v="12"/>
    <n v="65"/>
    <n v="187"/>
    <n v="106"/>
    <n v="21"/>
    <n v="36"/>
    <n v="163"/>
    <d v="2023-02-05T00:00:00"/>
    <x v="0"/>
    <n v="1"/>
    <x v="0"/>
    <n v="28"/>
    <n v="186"/>
    <n v="106"/>
    <n v="30"/>
    <n v="136"/>
    <n v="350"/>
    <n v="77"/>
    <n v="12"/>
    <n v="53"/>
    <n v="142"/>
    <n v="63"/>
    <n v="8"/>
    <n v="30"/>
    <n v="101"/>
    <n v="83"/>
    <n v="11"/>
    <n v="42"/>
    <n v="136"/>
    <n v="57"/>
    <n v="9"/>
    <n v="41"/>
    <n v="107"/>
  </r>
  <r>
    <x v="36"/>
    <x v="1"/>
    <n v="2"/>
    <x v="0"/>
    <n v="133"/>
    <n v="81"/>
    <n v="98"/>
    <n v="179"/>
    <n v="103"/>
    <n v="72"/>
    <n v="175"/>
    <n v="487"/>
    <n v="97"/>
    <n v="9"/>
    <n v="59"/>
    <n v="165"/>
    <n v="91"/>
    <n v="16"/>
    <n v="54"/>
    <n v="161"/>
    <n v="110"/>
    <n v="14"/>
    <n v="51"/>
    <n v="175"/>
    <n v="78"/>
    <n v="11"/>
    <n v="62"/>
    <n v="151"/>
    <d v="2023-02-06T00:00:00"/>
    <x v="1"/>
    <n v="1"/>
    <x v="0"/>
    <n v="19"/>
    <n v="195"/>
    <n v="80"/>
    <n v="44"/>
    <n v="124"/>
    <n v="338"/>
    <n v="78"/>
    <n v="8"/>
    <n v="19"/>
    <n v="105"/>
    <n v="67"/>
    <n v="7"/>
    <n v="14"/>
    <n v="88"/>
    <n v="86"/>
    <n v="9"/>
    <n v="29"/>
    <n v="124"/>
    <n v="59"/>
    <n v="6"/>
    <n v="4"/>
    <n v="69"/>
  </r>
  <r>
    <x v="37"/>
    <x v="2"/>
    <n v="4"/>
    <x v="0"/>
    <n v="98"/>
    <n v="102"/>
    <n v="63"/>
    <n v="165"/>
    <n v="97"/>
    <n v="74"/>
    <n v="171"/>
    <n v="434"/>
    <n v="116"/>
    <n v="10"/>
    <n v="36"/>
    <n v="162"/>
    <n v="86"/>
    <n v="15"/>
    <n v="60"/>
    <n v="161"/>
    <n v="86"/>
    <n v="14"/>
    <n v="71"/>
    <n v="171"/>
    <n v="116"/>
    <n v="11"/>
    <n v="25"/>
    <n v="152"/>
    <d v="2023-02-07T00:00:00"/>
    <x v="2"/>
    <n v="3"/>
    <x v="0"/>
    <n v="39"/>
    <n v="236"/>
    <n v="105"/>
    <n v="61"/>
    <n v="166"/>
    <n v="441"/>
    <n v="85"/>
    <n v="5"/>
    <n v="49"/>
    <n v="139"/>
    <n v="66"/>
    <n v="7"/>
    <n v="31"/>
    <n v="104"/>
    <n v="102"/>
    <n v="11"/>
    <n v="53"/>
    <n v="166"/>
    <n v="49"/>
    <n v="1"/>
    <n v="27"/>
    <n v="77"/>
  </r>
  <r>
    <x v="38"/>
    <x v="3"/>
    <n v="4"/>
    <x v="0"/>
    <n v="114"/>
    <n v="99"/>
    <n v="65"/>
    <n v="164"/>
    <n v="114"/>
    <n v="27"/>
    <n v="141"/>
    <n v="419"/>
    <n v="123"/>
    <n v="10"/>
    <n v="42"/>
    <n v="175"/>
    <n v="90"/>
    <n v="10"/>
    <n v="43"/>
    <n v="143"/>
    <n v="85"/>
    <n v="7"/>
    <n v="49"/>
    <n v="141"/>
    <n v="128"/>
    <n v="13"/>
    <n v="36"/>
    <n v="177"/>
    <d v="2023-02-08T00:00:00"/>
    <x v="3"/>
    <n v="3"/>
    <x v="0"/>
    <n v="43"/>
    <n v="230"/>
    <n v="102"/>
    <n v="48"/>
    <n v="150"/>
    <n v="423"/>
    <n v="90"/>
    <n v="9"/>
    <n v="44"/>
    <n v="143"/>
    <n v="70"/>
    <n v="6"/>
    <n v="24"/>
    <n v="100"/>
    <n v="102"/>
    <n v="9"/>
    <n v="39"/>
    <n v="150"/>
    <n v="58"/>
    <n v="6"/>
    <n v="29"/>
    <n v="93"/>
  </r>
  <r>
    <x v="39"/>
    <x v="4"/>
    <n v="1"/>
    <x v="0"/>
    <n v="105"/>
    <n v="85"/>
    <n v="66"/>
    <n v="151"/>
    <n v="99"/>
    <n v="36"/>
    <n v="135"/>
    <n v="391"/>
    <n v="114"/>
    <n v="14"/>
    <n v="38"/>
    <n v="166"/>
    <n v="84"/>
    <n v="8"/>
    <n v="55"/>
    <n v="147"/>
    <n v="78"/>
    <n v="7"/>
    <n v="50"/>
    <n v="135"/>
    <n v="120"/>
    <n v="15"/>
    <n v="43"/>
    <n v="178"/>
    <d v="2023-02-09T00:00:00"/>
    <x v="4"/>
    <n v="2"/>
    <x v="0"/>
    <n v="41"/>
    <n v="243"/>
    <n v="109"/>
    <n v="60"/>
    <n v="169"/>
    <n v="453"/>
    <n v="98"/>
    <n v="12"/>
    <n v="25"/>
    <n v="135"/>
    <n v="83"/>
    <n v="8"/>
    <n v="32"/>
    <n v="123"/>
    <n v="115"/>
    <n v="18"/>
    <n v="36"/>
    <n v="169"/>
    <n v="66"/>
    <n v="2"/>
    <n v="21"/>
    <n v="89"/>
  </r>
  <r>
    <x v="40"/>
    <x v="5"/>
    <n v="1"/>
    <x v="0"/>
    <n v="106"/>
    <n v="75"/>
    <n v="73"/>
    <n v="148"/>
    <n v="110"/>
    <n v="42"/>
    <n v="152"/>
    <n v="406"/>
    <n v="116"/>
    <n v="13"/>
    <n v="43"/>
    <n v="172"/>
    <n v="108"/>
    <n v="7"/>
    <n v="50"/>
    <n v="165"/>
    <n v="90"/>
    <n v="10"/>
    <n v="52"/>
    <n v="152"/>
    <n v="134"/>
    <n v="10"/>
    <n v="41"/>
    <n v="185"/>
    <d v="2023-02-10T00:00:00"/>
    <x v="5"/>
    <n v="2"/>
    <x v="0"/>
    <n v="34"/>
    <n v="273"/>
    <n v="133"/>
    <n v="55"/>
    <n v="188"/>
    <n v="495"/>
    <n v="104"/>
    <n v="13"/>
    <n v="38"/>
    <n v="155"/>
    <n v="73"/>
    <n v="7"/>
    <n v="47"/>
    <n v="127"/>
    <n v="127"/>
    <n v="18"/>
    <n v="43"/>
    <n v="188"/>
    <n v="50"/>
    <n v="2"/>
    <n v="42"/>
    <n v="94"/>
  </r>
  <r>
    <x v="41"/>
    <x v="6"/>
    <n v="3"/>
    <x v="0"/>
    <n v="127"/>
    <n v="81"/>
    <n v="67"/>
    <n v="148"/>
    <n v="92"/>
    <n v="77"/>
    <n v="169"/>
    <n v="444"/>
    <n v="130"/>
    <n v="17"/>
    <n v="60"/>
    <n v="207"/>
    <n v="124"/>
    <n v="17"/>
    <n v="61"/>
    <n v="202"/>
    <n v="97"/>
    <n v="15"/>
    <n v="57"/>
    <n v="169"/>
    <n v="157"/>
    <n v="19"/>
    <n v="64"/>
    <n v="240"/>
    <d v="2023-02-11T00:00:00"/>
    <x v="6"/>
    <n v="4"/>
    <x v="0"/>
    <n v="48"/>
    <n v="310"/>
    <n v="101"/>
    <n v="28"/>
    <n v="129"/>
    <n v="487"/>
    <n v="83"/>
    <n v="9"/>
    <n v="37"/>
    <n v="129"/>
    <n v="50"/>
    <n v="10"/>
    <n v="40"/>
    <n v="100"/>
    <n v="81"/>
    <n v="7"/>
    <n v="41"/>
    <n v="129"/>
    <n v="52"/>
    <n v="12"/>
    <n v="36"/>
    <n v="100"/>
  </r>
  <r>
    <x v="42"/>
    <x v="0"/>
    <n v="3"/>
    <x v="0"/>
    <n v="136"/>
    <n v="80"/>
    <n v="72"/>
    <n v="152"/>
    <n v="93"/>
    <n v="57"/>
    <n v="150"/>
    <n v="438"/>
    <n v="95"/>
    <n v="13"/>
    <n v="46"/>
    <n v="154"/>
    <n v="113"/>
    <n v="16"/>
    <n v="43"/>
    <n v="172"/>
    <n v="85"/>
    <n v="13"/>
    <n v="52"/>
    <n v="150"/>
    <n v="123"/>
    <n v="16"/>
    <n v="37"/>
    <n v="176"/>
    <d v="2023-02-12T00:00:00"/>
    <x v="0"/>
    <n v="4"/>
    <x v="0"/>
    <n v="33"/>
    <n v="211"/>
    <n v="119"/>
    <n v="74"/>
    <n v="193"/>
    <n v="437"/>
    <n v="85"/>
    <n v="8"/>
    <n v="61"/>
    <n v="154"/>
    <n v="71"/>
    <n v="2"/>
    <n v="37"/>
    <n v="110"/>
    <n v="101"/>
    <n v="10"/>
    <n v="82"/>
    <n v="193"/>
    <n v="55"/>
    <n v="0"/>
    <n v="16"/>
    <n v="71"/>
  </r>
  <r>
    <x v="43"/>
    <x v="1"/>
    <n v="2"/>
    <x v="0"/>
    <n v="130"/>
    <n v="63"/>
    <n v="75"/>
    <n v="138"/>
    <n v="97"/>
    <n v="72"/>
    <n v="169"/>
    <n v="437"/>
    <n v="104"/>
    <n v="19"/>
    <n v="61"/>
    <n v="184"/>
    <n v="105"/>
    <n v="7"/>
    <n v="60"/>
    <n v="172"/>
    <n v="91"/>
    <n v="17"/>
    <n v="61"/>
    <n v="169"/>
    <n v="118"/>
    <n v="9"/>
    <n v="60"/>
    <n v="187"/>
    <d v="2023-02-13T00:00:00"/>
    <x v="1"/>
    <n v="1"/>
    <x v="0"/>
    <n v="27"/>
    <n v="183"/>
    <n v="115"/>
    <n v="54"/>
    <n v="169"/>
    <n v="379"/>
    <n v="99"/>
    <n v="15"/>
    <n v="42"/>
    <n v="156"/>
    <n v="89"/>
    <n v="5"/>
    <n v="21"/>
    <n v="115"/>
    <n v="118"/>
    <n v="11"/>
    <n v="40"/>
    <n v="169"/>
    <n v="70"/>
    <n v="9"/>
    <n v="23"/>
    <n v="102"/>
  </r>
  <r>
    <x v="44"/>
    <x v="2"/>
    <n v="2"/>
    <x v="0"/>
    <n v="125"/>
    <n v="66"/>
    <n v="89"/>
    <n v="155"/>
    <n v="116"/>
    <n v="57"/>
    <n v="173"/>
    <n v="453"/>
    <n v="134"/>
    <n v="13"/>
    <n v="59"/>
    <n v="206"/>
    <n v="92"/>
    <n v="11"/>
    <n v="53"/>
    <n v="156"/>
    <n v="111"/>
    <n v="17"/>
    <n v="45"/>
    <n v="173"/>
    <n v="115"/>
    <n v="7"/>
    <n v="67"/>
    <n v="189"/>
    <d v="2023-02-14T00:00:00"/>
    <x v="2"/>
    <n v="1"/>
    <x v="0"/>
    <n v="23"/>
    <n v="218"/>
    <n v="95"/>
    <n v="49"/>
    <n v="144"/>
    <n v="385"/>
    <n v="108"/>
    <n v="7"/>
    <n v="24"/>
    <n v="139"/>
    <n v="67"/>
    <n v="4"/>
    <n v="38"/>
    <n v="109"/>
    <n v="99"/>
    <n v="9"/>
    <n v="36"/>
    <n v="144"/>
    <n v="76"/>
    <n v="2"/>
    <n v="26"/>
    <n v="104"/>
  </r>
  <r>
    <x v="45"/>
    <x v="3"/>
    <n v="4"/>
    <x v="0"/>
    <n v="150"/>
    <n v="91"/>
    <n v="51"/>
    <n v="142"/>
    <n v="65"/>
    <n v="54"/>
    <n v="119"/>
    <n v="411"/>
    <n v="90"/>
    <n v="17"/>
    <n v="44"/>
    <n v="151"/>
    <n v="99"/>
    <n v="8"/>
    <n v="44"/>
    <n v="151"/>
    <n v="61"/>
    <n v="10"/>
    <n v="48"/>
    <n v="119"/>
    <n v="128"/>
    <n v="15"/>
    <n v="40"/>
    <n v="183"/>
    <d v="2023-02-15T00:00:00"/>
    <x v="3"/>
    <n v="3"/>
    <x v="0"/>
    <n v="50"/>
    <n v="235"/>
    <n v="93"/>
    <n v="37"/>
    <n v="130"/>
    <n v="415"/>
    <n v="97"/>
    <n v="7"/>
    <n v="40"/>
    <n v="144"/>
    <n v="65"/>
    <n v="3"/>
    <n v="34"/>
    <n v="102"/>
    <n v="94"/>
    <n v="6"/>
    <n v="30"/>
    <n v="130"/>
    <n v="68"/>
    <n v="4"/>
    <n v="44"/>
    <n v="116"/>
  </r>
  <r>
    <x v="46"/>
    <x v="4"/>
    <n v="4"/>
    <x v="0"/>
    <n v="148"/>
    <n v="100"/>
    <n v="61"/>
    <n v="161"/>
    <n v="117"/>
    <n v="44"/>
    <n v="161"/>
    <n v="470"/>
    <n v="96"/>
    <n v="13"/>
    <n v="33"/>
    <n v="142"/>
    <n v="116"/>
    <n v="14"/>
    <n v="47"/>
    <n v="177"/>
    <n v="115"/>
    <n v="6"/>
    <n v="40"/>
    <n v="161"/>
    <n v="97"/>
    <n v="21"/>
    <n v="40"/>
    <n v="158"/>
    <d v="2023-02-16T00:00:00"/>
    <x v="4"/>
    <n v="3"/>
    <x v="0"/>
    <n v="65"/>
    <n v="237"/>
    <n v="103"/>
    <n v="30"/>
    <n v="133"/>
    <n v="435"/>
    <n v="80"/>
    <n v="10"/>
    <n v="60"/>
    <n v="150"/>
    <n v="72"/>
    <n v="2"/>
    <n v="22"/>
    <n v="96"/>
    <n v="75"/>
    <n v="9"/>
    <n v="49"/>
    <n v="133"/>
    <n v="77"/>
    <n v="3"/>
    <n v="33"/>
    <n v="113"/>
  </r>
  <r>
    <x v="47"/>
    <x v="5"/>
    <n v="1"/>
    <x v="0"/>
    <n v="129"/>
    <n v="87"/>
    <n v="89"/>
    <n v="176"/>
    <n v="91"/>
    <n v="44"/>
    <n v="135"/>
    <n v="440"/>
    <n v="119"/>
    <n v="25"/>
    <n v="42"/>
    <n v="186"/>
    <n v="117"/>
    <n v="10"/>
    <n v="47"/>
    <n v="174"/>
    <n v="74"/>
    <n v="11"/>
    <n v="50"/>
    <n v="135"/>
    <n v="162"/>
    <n v="24"/>
    <n v="39"/>
    <n v="225"/>
    <d v="2023-02-17T00:00:00"/>
    <x v="5"/>
    <n v="2"/>
    <x v="0"/>
    <n v="48"/>
    <n v="299"/>
    <n v="103"/>
    <n v="52"/>
    <n v="155"/>
    <n v="502"/>
    <n v="105"/>
    <n v="5"/>
    <n v="49"/>
    <n v="159"/>
    <n v="65"/>
    <n v="5"/>
    <n v="39"/>
    <n v="109"/>
    <n v="108"/>
    <n v="7"/>
    <n v="40"/>
    <n v="155"/>
    <n v="62"/>
    <n v="3"/>
    <n v="48"/>
    <n v="113"/>
  </r>
  <r>
    <x v="48"/>
    <x v="6"/>
    <n v="1"/>
    <x v="0"/>
    <n v="169"/>
    <n v="84"/>
    <n v="88"/>
    <n v="172"/>
    <n v="102"/>
    <n v="41"/>
    <n v="143"/>
    <n v="484"/>
    <n v="132"/>
    <n v="21"/>
    <n v="52"/>
    <n v="205"/>
    <n v="121"/>
    <n v="14"/>
    <n v="52"/>
    <n v="187"/>
    <n v="86"/>
    <n v="17"/>
    <n v="40"/>
    <n v="143"/>
    <n v="167"/>
    <n v="18"/>
    <n v="64"/>
    <n v="249"/>
    <d v="2023-02-18T00:00:00"/>
    <x v="6"/>
    <n v="2"/>
    <x v="0"/>
    <n v="71"/>
    <n v="325"/>
    <n v="103"/>
    <n v="36"/>
    <n v="139"/>
    <n v="535"/>
    <n v="92"/>
    <n v="10"/>
    <n v="54"/>
    <n v="156"/>
    <n v="63"/>
    <n v="4"/>
    <n v="36"/>
    <n v="103"/>
    <n v="77"/>
    <n v="11"/>
    <n v="51"/>
    <n v="139"/>
    <n v="78"/>
    <n v="3"/>
    <n v="39"/>
    <n v="120"/>
  </r>
  <r>
    <x v="49"/>
    <x v="0"/>
    <n v="3"/>
    <x v="0"/>
    <n v="146"/>
    <n v="76"/>
    <n v="86"/>
    <n v="162"/>
    <n v="96"/>
    <n v="50"/>
    <n v="146"/>
    <n v="454"/>
    <n v="130"/>
    <n v="19"/>
    <n v="57"/>
    <n v="206"/>
    <n v="124"/>
    <n v="23"/>
    <n v="55"/>
    <n v="202"/>
    <n v="88"/>
    <n v="17"/>
    <n v="41"/>
    <n v="146"/>
    <n v="166"/>
    <n v="25"/>
    <n v="71"/>
    <n v="262"/>
    <d v="2023-02-19T00:00:00"/>
    <x v="0"/>
    <n v="4"/>
    <x v="0"/>
    <n v="55"/>
    <n v="320"/>
    <n v="115"/>
    <n v="43"/>
    <n v="158"/>
    <n v="533"/>
    <n v="110"/>
    <n v="17"/>
    <n v="30"/>
    <n v="157"/>
    <n v="75"/>
    <n v="15"/>
    <n v="32"/>
    <n v="122"/>
    <n v="100"/>
    <n v="18"/>
    <n v="40"/>
    <n v="158"/>
    <n v="85"/>
    <n v="14"/>
    <n v="22"/>
    <n v="121"/>
  </r>
  <r>
    <x v="50"/>
    <x v="1"/>
    <n v="3"/>
    <x v="0"/>
    <n v="149"/>
    <n v="73"/>
    <n v="73"/>
    <n v="146"/>
    <n v="55"/>
    <n v="90"/>
    <n v="145"/>
    <n v="440"/>
    <n v="112"/>
    <n v="12"/>
    <n v="65"/>
    <n v="189"/>
    <n v="99"/>
    <n v="25"/>
    <n v="57"/>
    <n v="181"/>
    <n v="64"/>
    <n v="21"/>
    <n v="60"/>
    <n v="145"/>
    <n v="147"/>
    <n v="16"/>
    <n v="62"/>
    <n v="225"/>
    <d v="2023-02-20T00:00:00"/>
    <x v="1"/>
    <n v="4"/>
    <x v="0"/>
    <n v="44"/>
    <n v="254"/>
    <n v="134"/>
    <n v="52"/>
    <n v="186"/>
    <n v="484"/>
    <n v="110"/>
    <n v="17"/>
    <n v="30"/>
    <n v="157"/>
    <n v="75"/>
    <n v="15"/>
    <n v="32"/>
    <n v="122"/>
    <n v="113"/>
    <n v="10"/>
    <n v="63"/>
    <n v="186"/>
    <n v="72"/>
    <n v="22"/>
    <n v="-1"/>
    <n v="93"/>
  </r>
  <r>
    <x v="51"/>
    <x v="2"/>
    <n v="2"/>
    <x v="0"/>
    <n v="161"/>
    <n v="89"/>
    <n v="87"/>
    <n v="176"/>
    <n v="108"/>
    <n v="69"/>
    <n v="177"/>
    <n v="514"/>
    <n v="107"/>
    <n v="6"/>
    <n v="63"/>
    <n v="176"/>
    <n v="89"/>
    <n v="15"/>
    <n v="81"/>
    <n v="185"/>
    <n v="96"/>
    <n v="9"/>
    <n v="72"/>
    <n v="177"/>
    <n v="100"/>
    <n v="12"/>
    <n v="72"/>
    <n v="184"/>
    <d v="2023-02-21T00:00:00"/>
    <x v="2"/>
    <n v="1"/>
    <x v="0"/>
    <n v="30"/>
    <n v="200"/>
    <n v="128"/>
    <n v="53"/>
    <n v="181"/>
    <n v="411"/>
    <n v="104"/>
    <n v="8"/>
    <n v="54"/>
    <n v="166"/>
    <n v="70"/>
    <n v="3"/>
    <n v="50"/>
    <n v="123"/>
    <n v="93"/>
    <n v="9"/>
    <n v="79"/>
    <n v="181"/>
    <n v="81"/>
    <n v="2"/>
    <n v="25"/>
    <n v="108"/>
  </r>
  <r>
    <x v="52"/>
    <x v="3"/>
    <n v="2"/>
    <x v="0"/>
    <n v="164"/>
    <n v="68"/>
    <n v="91"/>
    <n v="159"/>
    <n v="109"/>
    <n v="77"/>
    <n v="186"/>
    <n v="509"/>
    <n v="109"/>
    <n v="20"/>
    <n v="72"/>
    <n v="201"/>
    <n v="122"/>
    <n v="15"/>
    <n v="83"/>
    <n v="220"/>
    <n v="93"/>
    <n v="22"/>
    <n v="71"/>
    <n v="186"/>
    <n v="138"/>
    <n v="13"/>
    <n v="84"/>
    <n v="235"/>
    <d v="2023-02-22T00:00:00"/>
    <x v="3"/>
    <n v="1"/>
    <x v="0"/>
    <n v="55"/>
    <n v="257"/>
    <n v="146"/>
    <n v="28"/>
    <n v="174"/>
    <n v="486"/>
    <n v="102"/>
    <n v="7"/>
    <n v="68"/>
    <n v="177"/>
    <n v="67"/>
    <n v="1"/>
    <n v="31"/>
    <n v="99"/>
    <n v="101"/>
    <n v="4"/>
    <n v="69"/>
    <n v="174"/>
    <n v="68"/>
    <n v="4"/>
    <n v="30"/>
    <n v="102"/>
  </r>
  <r>
    <x v="53"/>
    <x v="4"/>
    <n v="4"/>
    <x v="0"/>
    <n v="162"/>
    <n v="76"/>
    <n v="81"/>
    <n v="157"/>
    <n v="95"/>
    <n v="63"/>
    <n v="158"/>
    <n v="477"/>
    <n v="99"/>
    <n v="7"/>
    <n v="53"/>
    <n v="159"/>
    <n v="119"/>
    <n v="11"/>
    <n v="57"/>
    <n v="187"/>
    <n v="99"/>
    <n v="15"/>
    <n v="44"/>
    <n v="158"/>
    <n v="119"/>
    <n v="3"/>
    <n v="66"/>
    <n v="188"/>
    <d v="2023-02-23T00:00:00"/>
    <x v="4"/>
    <n v="3"/>
    <x v="0"/>
    <n v="67"/>
    <n v="257"/>
    <n v="118"/>
    <n v="74"/>
    <n v="192"/>
    <n v="516"/>
    <n v="95"/>
    <n v="10"/>
    <n v="77"/>
    <n v="182"/>
    <n v="95"/>
    <n v="10"/>
    <n v="77"/>
    <n v="182"/>
    <n v="127"/>
    <n v="13"/>
    <n v="95"/>
    <n v="235"/>
    <n v="63"/>
    <n v="7"/>
    <n v="59"/>
    <n v="129"/>
  </r>
  <r>
    <x v="54"/>
    <x v="5"/>
    <n v="4"/>
    <x v="0"/>
    <n v="185"/>
    <n v="87"/>
    <n v="100"/>
    <n v="187"/>
    <n v="100"/>
    <n v="57"/>
    <n v="157"/>
    <n v="529"/>
    <n v="128"/>
    <n v="9"/>
    <n v="44"/>
    <n v="181"/>
    <n v="94"/>
    <n v="6"/>
    <n v="51"/>
    <n v="151"/>
    <n v="91"/>
    <n v="11"/>
    <n v="55"/>
    <n v="157"/>
    <n v="131"/>
    <n v="4"/>
    <n v="40"/>
    <n v="175"/>
    <d v="2023-02-24T00:00:00"/>
    <x v="5"/>
    <n v="3"/>
    <x v="0"/>
    <n v="50"/>
    <n v="278"/>
    <n v="108"/>
    <n v="59"/>
    <n v="167"/>
    <n v="495"/>
    <n v="98"/>
    <n v="8"/>
    <n v="58"/>
    <n v="164"/>
    <n v="59"/>
    <n v="7"/>
    <n v="44"/>
    <n v="110"/>
    <n v="102"/>
    <n v="11"/>
    <n v="54"/>
    <n v="167"/>
    <n v="55"/>
    <n v="4"/>
    <n v="48"/>
    <n v="107"/>
  </r>
  <r>
    <x v="55"/>
    <x v="6"/>
    <n v="1"/>
    <x v="0"/>
    <n v="116"/>
    <n v="84"/>
    <n v="96"/>
    <n v="180"/>
    <n v="121"/>
    <n v="54"/>
    <n v="175"/>
    <n v="471"/>
    <n v="126"/>
    <n v="15"/>
    <n v="47"/>
    <n v="188"/>
    <n v="120"/>
    <n v="12"/>
    <n v="63"/>
    <n v="195"/>
    <n v="111"/>
    <n v="11"/>
    <n v="53"/>
    <n v="175"/>
    <n v="135"/>
    <n v="16"/>
    <n v="57"/>
    <n v="208"/>
    <d v="2023-02-25T00:00:00"/>
    <x v="6"/>
    <n v="2"/>
    <x v="0"/>
    <n v="51"/>
    <n v="271"/>
    <n v="141"/>
    <n v="33"/>
    <n v="174"/>
    <n v="496"/>
    <n v="109"/>
    <n v="9"/>
    <n v="59"/>
    <n v="177"/>
    <n v="47"/>
    <n v="5"/>
    <n v="24"/>
    <n v="76"/>
    <n v="111"/>
    <n v="10"/>
    <n v="53"/>
    <n v="174"/>
    <n v="45"/>
    <n v="4"/>
    <n v="30"/>
    <n v="79"/>
  </r>
  <r>
    <x v="56"/>
    <x v="0"/>
    <n v="1"/>
    <x v="0"/>
    <n v="122"/>
    <n v="75"/>
    <n v="110"/>
    <n v="185"/>
    <n v="117"/>
    <n v="52"/>
    <n v="169"/>
    <n v="476"/>
    <n v="123"/>
    <n v="16"/>
    <n v="44"/>
    <n v="183"/>
    <n v="113"/>
    <n v="14"/>
    <n v="66"/>
    <n v="193"/>
    <n v="107"/>
    <n v="9"/>
    <n v="53"/>
    <n v="169"/>
    <n v="129"/>
    <n v="21"/>
    <n v="57"/>
    <n v="207"/>
    <d v="2023-02-26T00:00:00"/>
    <x v="0"/>
    <n v="2"/>
    <x v="0"/>
    <n v="28"/>
    <n v="289"/>
    <n v="121"/>
    <n v="76"/>
    <n v="197"/>
    <n v="514"/>
    <n v="94"/>
    <n v="12"/>
    <n v="46"/>
    <n v="152"/>
    <n v="74"/>
    <n v="11"/>
    <n v="32"/>
    <n v="117"/>
    <n v="115"/>
    <n v="19"/>
    <n v="63"/>
    <n v="197"/>
    <n v="53"/>
    <n v="4"/>
    <n v="15"/>
    <n v="72"/>
  </r>
  <r>
    <x v="57"/>
    <x v="1"/>
    <n v="3"/>
    <x v="0"/>
    <n v="107"/>
    <n v="72"/>
    <n v="92"/>
    <n v="164"/>
    <n v="67"/>
    <n v="84"/>
    <n v="151"/>
    <n v="422"/>
    <n v="105"/>
    <n v="17"/>
    <n v="51"/>
    <n v="173"/>
    <n v="85"/>
    <n v="17"/>
    <n v="67"/>
    <n v="169"/>
    <n v="98"/>
    <n v="10"/>
    <n v="43"/>
    <n v="151"/>
    <n v="92"/>
    <n v="24"/>
    <n v="75"/>
    <n v="191"/>
    <d v="2023-02-27T00:00:00"/>
    <x v="1"/>
    <n v="4"/>
    <x v="0"/>
    <n v="57"/>
    <n v="239"/>
    <n v="121"/>
    <n v="45"/>
    <n v="166"/>
    <n v="462"/>
    <n v="95"/>
    <n v="12"/>
    <n v="47"/>
    <n v="154"/>
    <n v="54"/>
    <n v="13"/>
    <n v="14"/>
    <n v="81"/>
    <n v="111"/>
    <n v="13"/>
    <n v="42"/>
    <n v="166"/>
    <n v="38"/>
    <n v="12"/>
    <n v="19"/>
    <n v="69"/>
  </r>
  <r>
    <x v="58"/>
    <x v="2"/>
    <n v="3"/>
    <x v="0"/>
    <n v="110"/>
    <n v="81"/>
    <n v="63"/>
    <n v="144"/>
    <n v="112"/>
    <n v="46"/>
    <n v="158"/>
    <n v="412"/>
    <n v="134"/>
    <n v="18"/>
    <n v="71"/>
    <n v="223"/>
    <n v="93"/>
    <n v="15"/>
    <n v="63"/>
    <n v="171"/>
    <n v="85"/>
    <n v="16"/>
    <n v="57"/>
    <n v="158"/>
    <n v="142"/>
    <n v="17"/>
    <n v="77"/>
    <n v="236"/>
    <d v="2023-02-28T00:00:00"/>
    <x v="2"/>
    <n v="4"/>
    <x v="0"/>
    <n v="49"/>
    <n v="283"/>
    <n v="135"/>
    <n v="27"/>
    <n v="162"/>
    <n v="494"/>
    <n v="105"/>
    <n v="10"/>
    <n v="53"/>
    <n v="168"/>
    <n v="77"/>
    <n v="4"/>
    <n v="46"/>
    <n v="127"/>
    <n v="101"/>
    <n v="3"/>
    <n v="58"/>
    <n v="162"/>
    <n v="81"/>
    <n v="11"/>
    <n v="41"/>
    <n v="133"/>
  </r>
  <r>
    <x v="59"/>
    <x v="3"/>
    <n v="2"/>
    <x v="0"/>
    <n v="180"/>
    <n v="73"/>
    <n v="74"/>
    <n v="147"/>
    <n v="144"/>
    <n v="69"/>
    <n v="213"/>
    <n v="540"/>
    <n v="152"/>
    <n v="16"/>
    <n v="52"/>
    <n v="220"/>
    <n v="123"/>
    <n v="15"/>
    <n v="91"/>
    <n v="229"/>
    <n v="125"/>
    <n v="20"/>
    <n v="68"/>
    <n v="213"/>
    <n v="150"/>
    <n v="11"/>
    <n v="75"/>
    <n v="236"/>
    <d v="2023-03-01T00:00:00"/>
    <x v="3"/>
    <n v="1"/>
    <x v="0"/>
    <n v="37"/>
    <n v="242"/>
    <n v="137"/>
    <n v="39"/>
    <n v="176"/>
    <n v="455"/>
    <n v="134"/>
    <n v="12"/>
    <n v="43"/>
    <n v="189"/>
    <n v="78"/>
    <n v="6"/>
    <n v="39"/>
    <n v="123"/>
    <n v="122"/>
    <n v="3"/>
    <n v="51"/>
    <n v="176"/>
    <n v="90"/>
    <n v="15"/>
    <n v="31"/>
    <n v="136"/>
  </r>
  <r>
    <x v="60"/>
    <x v="4"/>
    <n v="2"/>
    <x v="0"/>
    <n v="186"/>
    <n v="103"/>
    <n v="96"/>
    <n v="199"/>
    <n v="160"/>
    <n v="82"/>
    <n v="242"/>
    <n v="627"/>
    <n v="157"/>
    <n v="19"/>
    <n v="75"/>
    <n v="251"/>
    <n v="130"/>
    <n v="14"/>
    <n v="109"/>
    <n v="253"/>
    <n v="128"/>
    <n v="29"/>
    <n v="85"/>
    <n v="242"/>
    <n v="159"/>
    <n v="4"/>
    <n v="99"/>
    <n v="262"/>
    <d v="2023-03-02T00:00:00"/>
    <x v="4"/>
    <n v="1"/>
    <x v="0"/>
    <n v="47"/>
    <n v="296"/>
    <n v="147"/>
    <n v="29"/>
    <n v="176"/>
    <n v="519"/>
    <n v="147"/>
    <n v="8"/>
    <n v="66"/>
    <n v="221"/>
    <n v="94"/>
    <n v="5"/>
    <n v="25"/>
    <n v="124"/>
    <n v="115"/>
    <n v="8"/>
    <n v="53"/>
    <n v="176"/>
    <n v="126"/>
    <n v="5"/>
    <n v="38"/>
    <n v="169"/>
  </r>
  <r>
    <x v="61"/>
    <x v="5"/>
    <n v="4"/>
    <x v="0"/>
    <n v="225"/>
    <n v="91"/>
    <n v="103"/>
    <n v="194"/>
    <n v="93"/>
    <n v="47"/>
    <n v="140"/>
    <n v="559"/>
    <n v="129"/>
    <n v="16"/>
    <n v="45"/>
    <n v="190"/>
    <n v="121"/>
    <n v="24"/>
    <n v="33"/>
    <n v="178"/>
    <n v="84"/>
    <n v="14"/>
    <n v="42"/>
    <n v="140"/>
    <n v="166"/>
    <n v="26"/>
    <n v="36"/>
    <n v="228"/>
    <d v="2023-03-03T00:00:00"/>
    <x v="5"/>
    <n v="3"/>
    <x v="0"/>
    <n v="52"/>
    <n v="283"/>
    <n v="138"/>
    <n v="29"/>
    <n v="167"/>
    <n v="502"/>
    <n v="107"/>
    <n v="8"/>
    <n v="45"/>
    <n v="160"/>
    <n v="59"/>
    <n v="3"/>
    <n v="31"/>
    <n v="93"/>
    <n v="101"/>
    <n v="9"/>
    <n v="57"/>
    <n v="167"/>
    <n v="65"/>
    <n v="2"/>
    <n v="19"/>
    <n v="86"/>
  </r>
  <r>
    <x v="62"/>
    <x v="6"/>
    <n v="4"/>
    <x v="0"/>
    <n v="170"/>
    <n v="123"/>
    <n v="99"/>
    <n v="222"/>
    <n v="129"/>
    <n v="75"/>
    <n v="204"/>
    <n v="596"/>
    <n v="118"/>
    <n v="24"/>
    <n v="39"/>
    <n v="181"/>
    <n v="125"/>
    <n v="27"/>
    <n v="73"/>
    <n v="225"/>
    <n v="106"/>
    <n v="19"/>
    <n v="79"/>
    <n v="204"/>
    <n v="137"/>
    <n v="32"/>
    <n v="33"/>
    <n v="202"/>
    <d v="2023-03-04T00:00:00"/>
    <x v="6"/>
    <n v="3"/>
    <x v="0"/>
    <n v="46"/>
    <n v="288"/>
    <n v="114"/>
    <n v="33"/>
    <n v="147"/>
    <n v="481"/>
    <n v="107"/>
    <n v="11"/>
    <n v="47"/>
    <n v="165"/>
    <n v="66"/>
    <n v="3"/>
    <n v="34"/>
    <n v="103"/>
    <n v="95"/>
    <n v="12"/>
    <n v="40"/>
    <n v="147"/>
    <n v="78"/>
    <n v="2"/>
    <n v="41"/>
    <n v="121"/>
  </r>
  <r>
    <x v="63"/>
    <x v="0"/>
    <n v="1"/>
    <x v="0"/>
    <n v="130"/>
    <n v="88"/>
    <n v="78"/>
    <n v="166"/>
    <n v="150"/>
    <n v="71"/>
    <n v="221"/>
    <n v="517"/>
    <n v="134"/>
    <n v="18"/>
    <n v="56"/>
    <n v="208"/>
    <n v="119"/>
    <n v="24"/>
    <n v="69"/>
    <n v="212"/>
    <n v="128"/>
    <n v="23"/>
    <n v="70"/>
    <n v="221"/>
    <n v="125"/>
    <n v="19"/>
    <n v="55"/>
    <n v="199"/>
    <d v="2023-03-05T00:00:00"/>
    <x v="0"/>
    <n v="2"/>
    <x v="0"/>
    <n v="43"/>
    <n v="277"/>
    <n v="138"/>
    <n v="70"/>
    <n v="208"/>
    <n v="528"/>
    <n v="99"/>
    <n v="10"/>
    <n v="58"/>
    <n v="167"/>
    <n v="63"/>
    <n v="6"/>
    <n v="52"/>
    <n v="121"/>
    <n v="124"/>
    <n v="12"/>
    <n v="72"/>
    <n v="208"/>
    <n v="38"/>
    <n v="4"/>
    <n v="38"/>
    <n v="80"/>
  </r>
  <r>
    <x v="64"/>
    <x v="1"/>
    <n v="1"/>
    <x v="0"/>
    <n v="112"/>
    <n v="83"/>
    <n v="88"/>
    <n v="171"/>
    <n v="110"/>
    <n v="65"/>
    <n v="175"/>
    <n v="458"/>
    <n v="94"/>
    <n v="16"/>
    <n v="66"/>
    <n v="176"/>
    <n v="97"/>
    <n v="19"/>
    <n v="59"/>
    <n v="175"/>
    <n v="76"/>
    <n v="20"/>
    <n v="79"/>
    <n v="175"/>
    <n v="115"/>
    <n v="15"/>
    <n v="46"/>
    <n v="176"/>
    <d v="2023-03-06T00:00:00"/>
    <x v="1"/>
    <n v="2"/>
    <x v="0"/>
    <n v="41"/>
    <n v="238"/>
    <n v="120"/>
    <n v="82"/>
    <n v="202"/>
    <n v="481"/>
    <n v="90"/>
    <n v="8"/>
    <n v="59"/>
    <n v="157"/>
    <n v="71"/>
    <n v="2"/>
    <n v="45"/>
    <n v="118"/>
    <n v="111"/>
    <n v="10"/>
    <n v="81"/>
    <n v="202"/>
    <n v="50"/>
    <n v="0"/>
    <n v="23"/>
    <n v="73"/>
  </r>
  <r>
    <x v="65"/>
    <x v="2"/>
    <n v="3"/>
    <x v="0"/>
    <n v="97"/>
    <n v="71"/>
    <n v="92"/>
    <n v="163"/>
    <n v="92"/>
    <n v="67"/>
    <n v="159"/>
    <n v="419"/>
    <n v="106"/>
    <n v="17"/>
    <n v="55"/>
    <n v="178"/>
    <n v="121"/>
    <n v="20"/>
    <n v="61"/>
    <n v="202"/>
    <n v="97"/>
    <n v="14"/>
    <n v="48"/>
    <n v="159"/>
    <n v="130"/>
    <n v="23"/>
    <n v="68"/>
    <n v="221"/>
    <d v="2023-03-07T00:00:00"/>
    <x v="2"/>
    <n v="4"/>
    <x v="0"/>
    <n v="30"/>
    <n v="285"/>
    <n v="117"/>
    <n v="36"/>
    <n v="153"/>
    <n v="468"/>
    <n v="85"/>
    <n v="5"/>
    <n v="54"/>
    <n v="144"/>
    <n v="72"/>
    <n v="8"/>
    <n v="31"/>
    <n v="111"/>
    <n v="87"/>
    <n v="6"/>
    <n v="60"/>
    <n v="153"/>
    <n v="70"/>
    <n v="7"/>
    <n v="25"/>
    <n v="102"/>
  </r>
  <r>
    <x v="66"/>
    <x v="3"/>
    <n v="3"/>
    <x v="0"/>
    <n v="127"/>
    <n v="81"/>
    <n v="67"/>
    <n v="148"/>
    <n v="107"/>
    <n v="45"/>
    <n v="152"/>
    <n v="427"/>
    <n v="126"/>
    <n v="21"/>
    <n v="64"/>
    <n v="211"/>
    <n v="105"/>
    <n v="13"/>
    <n v="70"/>
    <n v="188"/>
    <n v="91"/>
    <n v="13"/>
    <n v="48"/>
    <n v="152"/>
    <n v="140"/>
    <n v="21"/>
    <n v="86"/>
    <n v="247"/>
    <d v="2023-03-08T00:00:00"/>
    <x v="3"/>
    <n v="4"/>
    <x v="0"/>
    <n v="51"/>
    <n v="320"/>
    <n v="131"/>
    <n v="49"/>
    <n v="180"/>
    <n v="551"/>
    <n v="79"/>
    <n v="7"/>
    <n v="86"/>
    <n v="172"/>
    <n v="49"/>
    <n v="2"/>
    <n v="37"/>
    <n v="88"/>
    <n v="89"/>
    <n v="6"/>
    <n v="85"/>
    <n v="180"/>
    <n v="39"/>
    <n v="3"/>
    <n v="38"/>
    <n v="80"/>
  </r>
  <r>
    <x v="67"/>
    <x v="4"/>
    <n v="2"/>
    <x v="0"/>
    <n v="129"/>
    <n v="92"/>
    <n v="90"/>
    <n v="182"/>
    <n v="130"/>
    <n v="64"/>
    <n v="194"/>
    <n v="505"/>
    <n v="142"/>
    <n v="16"/>
    <n v="54"/>
    <n v="212"/>
    <n v="114"/>
    <n v="22"/>
    <n v="54"/>
    <n v="190"/>
    <n v="110"/>
    <n v="23"/>
    <n v="61"/>
    <n v="194"/>
    <n v="146"/>
    <n v="15"/>
    <n v="47"/>
    <n v="208"/>
    <d v="2023-03-09T00:00:00"/>
    <x v="4"/>
    <n v="1"/>
    <x v="0"/>
    <n v="36"/>
    <n v="220"/>
    <n v="138"/>
    <n v="36"/>
    <n v="174"/>
    <n v="430"/>
    <n v="105"/>
    <n v="14"/>
    <n v="48"/>
    <n v="167"/>
    <n v="63"/>
    <n v="6"/>
    <n v="47"/>
    <n v="116"/>
    <n v="107"/>
    <n v="16"/>
    <n v="51"/>
    <n v="174"/>
    <n v="61"/>
    <n v="4"/>
    <n v="44"/>
    <n v="109"/>
  </r>
  <r>
    <x v="68"/>
    <x v="5"/>
    <n v="2"/>
    <x v="0"/>
    <n v="158"/>
    <n v="87"/>
    <n v="93"/>
    <n v="180"/>
    <n v="129"/>
    <n v="83"/>
    <n v="212"/>
    <n v="550"/>
    <n v="121"/>
    <n v="23"/>
    <n v="58"/>
    <n v="202"/>
    <n v="118"/>
    <n v="23"/>
    <n v="64"/>
    <n v="205"/>
    <n v="122"/>
    <n v="27"/>
    <n v="63"/>
    <n v="212"/>
    <n v="117"/>
    <n v="19"/>
    <n v="59"/>
    <n v="195"/>
    <d v="2023-03-10T00:00:00"/>
    <x v="5"/>
    <n v="1"/>
    <x v="0"/>
    <n v="30"/>
    <n v="238"/>
    <n v="133"/>
    <n v="81"/>
    <n v="214"/>
    <n v="482"/>
    <n v="103"/>
    <n v="7"/>
    <n v="48"/>
    <n v="158"/>
    <n v="72"/>
    <n v="10"/>
    <n v="46"/>
    <n v="128"/>
    <n v="116"/>
    <n v="15"/>
    <n v="83"/>
    <n v="214"/>
    <n v="59"/>
    <n v="2"/>
    <n v="11"/>
    <n v="72"/>
  </r>
  <r>
    <x v="69"/>
    <x v="6"/>
    <n v="4"/>
    <x v="0"/>
    <n v="153"/>
    <n v="96"/>
    <n v="84"/>
    <n v="180"/>
    <n v="102"/>
    <n v="43"/>
    <n v="145"/>
    <n v="478"/>
    <n v="125"/>
    <n v="16"/>
    <n v="41"/>
    <n v="182"/>
    <n v="119"/>
    <n v="13"/>
    <n v="53"/>
    <n v="185"/>
    <n v="97"/>
    <n v="10"/>
    <n v="38"/>
    <n v="145"/>
    <n v="147"/>
    <n v="19"/>
    <n v="56"/>
    <n v="222"/>
    <d v="2023-03-11T00:00:00"/>
    <x v="6"/>
    <n v="3"/>
    <x v="0"/>
    <n v="64"/>
    <n v="295"/>
    <n v="111"/>
    <n v="45"/>
    <n v="156"/>
    <n v="515"/>
    <n v="106"/>
    <n v="12"/>
    <n v="33"/>
    <n v="151"/>
    <n v="68"/>
    <n v="9"/>
    <n v="45"/>
    <n v="122"/>
    <n v="104"/>
    <n v="10"/>
    <n v="42"/>
    <n v="156"/>
    <n v="70"/>
    <n v="11"/>
    <n v="36"/>
    <n v="117"/>
  </r>
  <r>
    <x v="70"/>
    <x v="0"/>
    <n v="4"/>
    <x v="0"/>
    <n v="167"/>
    <n v="95"/>
    <n v="84"/>
    <n v="179"/>
    <n v="135"/>
    <n v="89"/>
    <n v="224"/>
    <n v="570"/>
    <n v="108"/>
    <n v="24"/>
    <n v="42"/>
    <n v="174"/>
    <n v="109"/>
    <n v="20"/>
    <n v="68"/>
    <n v="197"/>
    <n v="125"/>
    <n v="22"/>
    <n v="77"/>
    <n v="224"/>
    <n v="92"/>
    <n v="22"/>
    <n v="33"/>
    <n v="147"/>
    <d v="2023-03-12T00:00:00"/>
    <x v="0"/>
    <n v="3"/>
    <x v="0"/>
    <n v="19"/>
    <n v="207"/>
    <n v="125"/>
    <n v="59"/>
    <n v="184"/>
    <n v="410"/>
    <n v="98"/>
    <n v="13"/>
    <n v="39"/>
    <n v="150"/>
    <n v="88"/>
    <n v="8"/>
    <n v="39"/>
    <n v="135"/>
    <n v="117"/>
    <n v="15"/>
    <n v="52"/>
    <n v="184"/>
    <n v="69"/>
    <n v="6"/>
    <n v="26"/>
    <n v="101"/>
  </r>
  <r>
    <x v="71"/>
    <x v="1"/>
    <n v="1"/>
    <x v="0"/>
    <n v="133"/>
    <n v="83"/>
    <n v="78"/>
    <n v="161"/>
    <n v="115"/>
    <n v="51"/>
    <n v="166"/>
    <n v="460"/>
    <n v="125"/>
    <n v="21"/>
    <n v="36"/>
    <n v="182"/>
    <n v="119"/>
    <n v="20"/>
    <n v="45"/>
    <n v="184"/>
    <n v="102"/>
    <n v="22"/>
    <n v="42"/>
    <n v="166"/>
    <n v="142"/>
    <n v="19"/>
    <n v="39"/>
    <n v="200"/>
    <d v="2023-03-13T00:00:00"/>
    <x v="1"/>
    <n v="2"/>
    <x v="0"/>
    <n v="20"/>
    <n v="256"/>
    <n v="129"/>
    <n v="62"/>
    <n v="191"/>
    <n v="467"/>
    <n v="122"/>
    <n v="15"/>
    <n v="31"/>
    <n v="168"/>
    <n v="68"/>
    <n v="3"/>
    <n v="23"/>
    <n v="94"/>
    <n v="137"/>
    <n v="10"/>
    <n v="44"/>
    <n v="191"/>
    <n v="53"/>
    <n v="8"/>
    <n v="10"/>
    <n v="71"/>
  </r>
  <r>
    <x v="72"/>
    <x v="2"/>
    <n v="1"/>
    <x v="0"/>
    <n v="106"/>
    <n v="78"/>
    <n v="90"/>
    <n v="168"/>
    <n v="104"/>
    <n v="48"/>
    <n v="152"/>
    <n v="426"/>
    <n v="131"/>
    <n v="20"/>
    <n v="45"/>
    <n v="196"/>
    <n v="121"/>
    <n v="22"/>
    <n v="72"/>
    <n v="215"/>
    <n v="84"/>
    <n v="22"/>
    <n v="46"/>
    <n v="152"/>
    <n v="168"/>
    <n v="20"/>
    <n v="71"/>
    <n v="259"/>
    <d v="2023-03-14T00:00:00"/>
    <x v="2"/>
    <n v="2"/>
    <x v="0"/>
    <n v="20"/>
    <n v="256"/>
    <n v="129"/>
    <n v="62"/>
    <n v="191"/>
    <n v="467"/>
    <n v="122"/>
    <n v="15"/>
    <n v="31"/>
    <n v="168"/>
    <n v="68"/>
    <n v="3"/>
    <n v="23"/>
    <n v="94"/>
    <n v="137"/>
    <n v="10"/>
    <n v="44"/>
    <n v="191"/>
    <n v="53"/>
    <n v="8"/>
    <n v="10"/>
    <n v="71"/>
  </r>
  <r>
    <x v="73"/>
    <x v="3"/>
    <n v="3"/>
    <x v="0"/>
    <n v="172"/>
    <n v="86"/>
    <n v="70"/>
    <n v="156"/>
    <n v="126"/>
    <n v="76"/>
    <n v="202"/>
    <n v="530"/>
    <n v="138"/>
    <n v="19"/>
    <n v="58"/>
    <n v="215"/>
    <n v="150"/>
    <n v="19"/>
    <n v="70"/>
    <n v="239"/>
    <n v="123"/>
    <n v="22"/>
    <n v="57"/>
    <n v="202"/>
    <n v="165"/>
    <n v="16"/>
    <n v="71"/>
    <n v="252"/>
    <d v="2023-03-15T00:00:00"/>
    <x v="3"/>
    <n v="4"/>
    <x v="0"/>
    <n v="41"/>
    <n v="316"/>
    <n v="131"/>
    <n v="36"/>
    <n v="167"/>
    <n v="524"/>
    <n v="123"/>
    <n v="8"/>
    <n v="54"/>
    <n v="185"/>
    <n v="81"/>
    <n v="9"/>
    <n v="20"/>
    <n v="110"/>
    <n v="119"/>
    <n v="9"/>
    <n v="39"/>
    <n v="167"/>
    <n v="85"/>
    <n v="8"/>
    <n v="35"/>
    <n v="128"/>
  </r>
  <r>
    <x v="74"/>
    <x v="4"/>
    <n v="3"/>
    <x v="0"/>
    <n v="155"/>
    <n v="98"/>
    <n v="77"/>
    <n v="175"/>
    <n v="122"/>
    <n v="69"/>
    <n v="191"/>
    <n v="521"/>
    <n v="140"/>
    <n v="21"/>
    <n v="60"/>
    <n v="221"/>
    <n v="141"/>
    <n v="23"/>
    <n v="73"/>
    <n v="237"/>
    <n v="133"/>
    <n v="18"/>
    <n v="40"/>
    <n v="191"/>
    <n v="148"/>
    <n v="26"/>
    <n v="93"/>
    <n v="267"/>
    <d v="2023-03-16T00:00:00"/>
    <x v="4"/>
    <n v="4"/>
    <x v="0"/>
    <n v="64"/>
    <n v="335"/>
    <n v="132"/>
    <n v="45"/>
    <n v="177"/>
    <n v="576"/>
    <n v="115"/>
    <n v="10"/>
    <n v="57"/>
    <n v="182"/>
    <n v="70"/>
    <n v="6"/>
    <n v="34"/>
    <n v="110"/>
    <n v="119"/>
    <n v="12"/>
    <n v="46"/>
    <n v="177"/>
    <n v="66"/>
    <n v="4"/>
    <n v="45"/>
    <n v="115"/>
  </r>
  <r>
    <x v="75"/>
    <x v="5"/>
    <n v="2"/>
    <x v="0"/>
    <n v="155"/>
    <n v="78"/>
    <n v="92"/>
    <n v="170"/>
    <n v="127"/>
    <n v="89"/>
    <n v="216"/>
    <n v="541"/>
    <n v="135"/>
    <n v="26"/>
    <n v="42"/>
    <n v="203"/>
    <n v="139"/>
    <n v="19"/>
    <n v="49"/>
    <n v="207"/>
    <n v="148"/>
    <n v="30"/>
    <n v="38"/>
    <n v="216"/>
    <n v="126"/>
    <n v="15"/>
    <n v="53"/>
    <n v="194"/>
    <d v="2023-03-17T00:00:00"/>
    <x v="5"/>
    <n v="1"/>
    <x v="0"/>
    <n v="41"/>
    <n v="234"/>
    <n v="120"/>
    <n v="56"/>
    <n v="176"/>
    <n v="451"/>
    <n v="107"/>
    <n v="9"/>
    <n v="52"/>
    <n v="168"/>
    <n v="79"/>
    <n v="6"/>
    <n v="48"/>
    <n v="133"/>
    <n v="115"/>
    <n v="9"/>
    <n v="52"/>
    <n v="176"/>
    <n v="71"/>
    <n v="6"/>
    <n v="48"/>
    <n v="125"/>
  </r>
  <r>
    <x v="76"/>
    <x v="6"/>
    <n v="2"/>
    <x v="0"/>
    <n v="148"/>
    <n v="101"/>
    <n v="95"/>
    <n v="196"/>
    <n v="149"/>
    <n v="80"/>
    <n v="229"/>
    <n v="573"/>
    <n v="139"/>
    <n v="13"/>
    <n v="66"/>
    <n v="218"/>
    <n v="139"/>
    <n v="13"/>
    <n v="66"/>
    <n v="218"/>
    <n v="278"/>
    <n v="9"/>
    <n v="46"/>
    <n v="333"/>
    <n v="0"/>
    <n v="17"/>
    <n v="86"/>
    <n v="103"/>
    <d v="2023-03-18T00:00:00"/>
    <x v="6"/>
    <n v="1"/>
    <x v="0"/>
    <n v="36"/>
    <n v="264"/>
    <n v="121"/>
    <n v="41"/>
    <n v="162"/>
    <n v="462"/>
    <n v="112"/>
    <n v="18"/>
    <n v="48"/>
    <n v="178"/>
    <n v="57"/>
    <n v="6"/>
    <n v="37"/>
    <n v="100"/>
    <n v="92"/>
    <n v="16"/>
    <n v="54"/>
    <n v="162"/>
    <n v="77"/>
    <n v="8"/>
    <n v="31"/>
    <n v="116"/>
  </r>
  <r>
    <x v="77"/>
    <x v="0"/>
    <n v="4"/>
    <x v="0"/>
    <n v="168"/>
    <n v="85"/>
    <n v="96"/>
    <n v="181"/>
    <n v="129"/>
    <n v="79"/>
    <n v="208"/>
    <n v="557"/>
    <n v="126"/>
    <n v="11"/>
    <n v="67"/>
    <n v="204"/>
    <n v="123"/>
    <n v="13"/>
    <n v="63"/>
    <n v="199"/>
    <n v="120"/>
    <n v="17"/>
    <n v="71"/>
    <n v="208"/>
    <n v="129"/>
    <n v="7"/>
    <n v="59"/>
    <n v="195"/>
    <d v="2023-03-19T00:00:00"/>
    <x v="0"/>
    <n v="3"/>
    <x v="0"/>
    <n v="35"/>
    <n v="279"/>
    <n v="123"/>
    <n v="59"/>
    <n v="182"/>
    <n v="496"/>
    <n v="108"/>
    <n v="16"/>
    <n v="35"/>
    <n v="159"/>
    <n v="76"/>
    <n v="4"/>
    <n v="44"/>
    <n v="124"/>
    <n v="119"/>
    <n v="13"/>
    <n v="50"/>
    <n v="182"/>
    <n v="65"/>
    <n v="7"/>
    <n v="29"/>
    <n v="101"/>
  </r>
  <r>
    <x v="78"/>
    <x v="1"/>
    <n v="4"/>
    <x v="0"/>
    <n v="137"/>
    <n v="91"/>
    <n v="70"/>
    <n v="161"/>
    <n v="162"/>
    <n v="74"/>
    <n v="236"/>
    <n v="534"/>
    <n v="151"/>
    <n v="24"/>
    <n v="54"/>
    <n v="229"/>
    <n v="96"/>
    <n v="16"/>
    <n v="65"/>
    <n v="177"/>
    <n v="152"/>
    <n v="26"/>
    <n v="58"/>
    <n v="236"/>
    <n v="95"/>
    <n v="14"/>
    <n v="61"/>
    <n v="170"/>
    <d v="2023-03-20T00:00:00"/>
    <x v="1"/>
    <n v="3"/>
    <x v="0"/>
    <n v="46"/>
    <n v="225"/>
    <n v="128"/>
    <n v="67"/>
    <n v="195"/>
    <n v="466"/>
    <n v="99"/>
    <n v="16"/>
    <n v="61"/>
    <n v="176"/>
    <n v="58"/>
    <n v="12"/>
    <n v="51"/>
    <n v="121"/>
    <n v="106"/>
    <n v="21"/>
    <n v="68"/>
    <n v="195"/>
    <n v="51"/>
    <n v="7"/>
    <n v="44"/>
    <n v="102"/>
  </r>
  <r>
    <x v="79"/>
    <x v="2"/>
    <n v="1"/>
    <x v="0"/>
    <n v="103"/>
    <n v="75"/>
    <n v="84"/>
    <n v="159"/>
    <n v="120"/>
    <n v="66"/>
    <n v="186"/>
    <n v="448"/>
    <n v="133"/>
    <n v="22"/>
    <n v="47"/>
    <n v="202"/>
    <n v="128"/>
    <n v="16"/>
    <n v="49"/>
    <n v="193"/>
    <n v="118"/>
    <n v="16"/>
    <n v="52"/>
    <n v="186"/>
    <n v="143"/>
    <n v="22"/>
    <n v="44"/>
    <n v="209"/>
    <d v="2023-03-21T00:00:00"/>
    <x v="2"/>
    <n v="2"/>
    <x v="0"/>
    <n v="38"/>
    <n v="265"/>
    <n v="132"/>
    <n v="58"/>
    <n v="190"/>
    <n v="493"/>
    <n v="88"/>
    <n v="4"/>
    <n v="59"/>
    <n v="151"/>
    <n v="68"/>
    <n v="7"/>
    <n v="44"/>
    <n v="119"/>
    <n v="109"/>
    <n v="11"/>
    <n v="70"/>
    <n v="190"/>
    <n v="47"/>
    <n v="0"/>
    <n v="33"/>
    <n v="80"/>
  </r>
  <r>
    <x v="80"/>
    <x v="3"/>
    <n v="1"/>
    <x v="0"/>
    <n v="121"/>
    <n v="84"/>
    <n v="90"/>
    <n v="174"/>
    <n v="154"/>
    <n v="58"/>
    <n v="212"/>
    <n v="507"/>
    <n v="161"/>
    <n v="20"/>
    <n v="50"/>
    <n v="231"/>
    <n v="126"/>
    <n v="21"/>
    <n v="59"/>
    <n v="206"/>
    <n v="124"/>
    <n v="21"/>
    <n v="67"/>
    <n v="212"/>
    <n v="163"/>
    <n v="20"/>
    <n v="42"/>
    <n v="225"/>
    <d v="2023-03-22T00:00:00"/>
    <x v="3"/>
    <n v="2"/>
    <x v="0"/>
    <n v="52"/>
    <n v="307"/>
    <n v="158"/>
    <n v="76"/>
    <n v="234"/>
    <n v="593"/>
    <n v="107"/>
    <n v="13"/>
    <n v="73"/>
    <n v="193"/>
    <n v="91"/>
    <n v="2"/>
    <n v="40"/>
    <n v="133"/>
    <n v="124"/>
    <n v="12"/>
    <n v="98"/>
    <n v="234"/>
    <n v="74"/>
    <n v="3"/>
    <n v="15"/>
    <n v="92"/>
  </r>
  <r>
    <x v="81"/>
    <x v="4"/>
    <n v="3"/>
    <x v="0"/>
    <n v="147"/>
    <n v="101"/>
    <n v="103"/>
    <n v="204"/>
    <n v="136"/>
    <n v="67"/>
    <n v="203"/>
    <n v="554"/>
    <n v="145"/>
    <n v="27"/>
    <n v="64"/>
    <n v="236"/>
    <n v="119"/>
    <n v="16"/>
    <n v="57"/>
    <n v="192"/>
    <n v="127"/>
    <n v="21"/>
    <n v="55"/>
    <n v="203"/>
    <n v="137"/>
    <n v="22"/>
    <n v="66"/>
    <n v="225"/>
    <d v="2023-03-23T00:00:00"/>
    <x v="4"/>
    <n v="4"/>
    <x v="0"/>
    <n v="62"/>
    <n v="336"/>
    <n v="170"/>
    <n v="68"/>
    <n v="238"/>
    <n v="636"/>
    <n v="105"/>
    <n v="11"/>
    <n v="100"/>
    <n v="216"/>
    <n v="78"/>
    <n v="10"/>
    <n v="67"/>
    <n v="155"/>
    <n v="133"/>
    <n v="11"/>
    <n v="94"/>
    <n v="238"/>
    <n v="50"/>
    <n v="10"/>
    <n v="73"/>
    <n v="133"/>
  </r>
  <r>
    <x v="82"/>
    <x v="5"/>
    <n v="3"/>
    <x v="0"/>
    <n v="166"/>
    <n v="93"/>
    <n v="114"/>
    <n v="207"/>
    <n v="127"/>
    <n v="68"/>
    <n v="195"/>
    <n v="568"/>
    <n v="156"/>
    <n v="21"/>
    <n v="50"/>
    <n v="227"/>
    <n v="115"/>
    <n v="19"/>
    <n v="71"/>
    <n v="205"/>
    <n v="117"/>
    <n v="22"/>
    <n v="56"/>
    <n v="195"/>
    <n v="154"/>
    <n v="18"/>
    <n v="65"/>
    <n v="237"/>
    <d v="2023-03-24T00:00:00"/>
    <x v="5"/>
    <n v="4"/>
    <x v="0"/>
    <n v="52"/>
    <n v="292"/>
    <n v="178"/>
    <n v="71"/>
    <n v="249"/>
    <n v="593"/>
    <n v="127"/>
    <n v="9"/>
    <n v="57"/>
    <n v="193"/>
    <n v="70"/>
    <n v="8"/>
    <n v="23"/>
    <n v="101"/>
    <n v="152"/>
    <n v="11"/>
    <n v="86"/>
    <n v="249"/>
    <n v="45"/>
    <n v="6"/>
    <n v="-6"/>
    <n v="45"/>
  </r>
  <r>
    <x v="83"/>
    <x v="6"/>
    <n v="2"/>
    <x v="0"/>
    <n v="128"/>
    <n v="106"/>
    <n v="66"/>
    <n v="172"/>
    <n v="155"/>
    <n v="76"/>
    <n v="231"/>
    <n v="531"/>
    <n v="166"/>
    <n v="22"/>
    <n v="86"/>
    <n v="274"/>
    <n v="115"/>
    <n v="15"/>
    <n v="56"/>
    <n v="186"/>
    <n v="127"/>
    <n v="26"/>
    <n v="78"/>
    <n v="231"/>
    <n v="154"/>
    <n v="11"/>
    <n v="64"/>
    <n v="229"/>
    <d v="2023-03-25T00:00:00"/>
    <x v="6"/>
    <n v="1"/>
    <x v="0"/>
    <n v="28"/>
    <n v="269"/>
    <n v="145"/>
    <n v="56"/>
    <n v="201"/>
    <n v="498"/>
    <n v="100"/>
    <n v="13"/>
    <n v="73"/>
    <n v="186"/>
    <n v="65"/>
    <n v="7"/>
    <n v="37"/>
    <n v="109"/>
    <n v="111"/>
    <n v="15"/>
    <n v="75"/>
    <n v="201"/>
    <n v="54"/>
    <n v="5"/>
    <n v="35"/>
    <n v="94"/>
  </r>
  <r>
    <x v="84"/>
    <x v="0"/>
    <n v="2"/>
    <x v="0"/>
    <n v="142"/>
    <n v="112"/>
    <n v="69"/>
    <n v="181"/>
    <n v="158"/>
    <n v="77"/>
    <n v="235"/>
    <n v="558"/>
    <n v="160"/>
    <n v="26"/>
    <n v="60"/>
    <n v="246"/>
    <n v="126"/>
    <n v="18"/>
    <n v="64"/>
    <n v="208"/>
    <n v="138"/>
    <n v="22"/>
    <n v="75"/>
    <n v="235"/>
    <n v="148"/>
    <n v="22"/>
    <n v="49"/>
    <n v="219"/>
    <d v="2023-03-26T00:00:00"/>
    <x v="0"/>
    <n v="1"/>
    <x v="0"/>
    <n v="33"/>
    <n v="281"/>
    <n v="139"/>
    <n v="62"/>
    <n v="201"/>
    <n v="515"/>
    <n v="118"/>
    <n v="11"/>
    <n v="55"/>
    <n v="184"/>
    <n v="70"/>
    <n v="5"/>
    <n v="44"/>
    <n v="119"/>
    <n v="126"/>
    <n v="12"/>
    <n v="63"/>
    <n v="201"/>
    <n v="62"/>
    <n v="4"/>
    <n v="36"/>
    <n v="102"/>
  </r>
  <r>
    <x v="85"/>
    <x v="1"/>
    <n v="4"/>
    <x v="0"/>
    <n v="135"/>
    <n v="86"/>
    <n v="101"/>
    <n v="187"/>
    <n v="132"/>
    <n v="72"/>
    <n v="204"/>
    <n v="526"/>
    <n v="138"/>
    <n v="23"/>
    <n v="49"/>
    <n v="210"/>
    <n v="115"/>
    <n v="16"/>
    <n v="66"/>
    <n v="197"/>
    <n v="124"/>
    <n v="15"/>
    <n v="65"/>
    <n v="204"/>
    <n v="129"/>
    <n v="24"/>
    <n v="50"/>
    <n v="203"/>
    <d v="2023-03-27T00:00:00"/>
    <x v="1"/>
    <n v="3"/>
    <x v="0"/>
    <n v="27"/>
    <n v="278"/>
    <n v="126"/>
    <n v="61"/>
    <n v="187"/>
    <n v="492"/>
    <n v="118"/>
    <n v="15"/>
    <n v="36"/>
    <n v="169"/>
    <n v="84"/>
    <n v="6"/>
    <n v="42"/>
    <n v="132"/>
    <n v="125"/>
    <n v="15"/>
    <n v="47"/>
    <n v="187"/>
    <n v="77"/>
    <n v="6"/>
    <n v="31"/>
    <n v="114"/>
  </r>
  <r>
    <x v="86"/>
    <x v="2"/>
    <n v="4"/>
    <x v="0"/>
    <n v="136"/>
    <n v="80"/>
    <n v="74"/>
    <n v="154"/>
    <n v="148"/>
    <n v="65"/>
    <n v="213"/>
    <n v="503"/>
    <n v="128"/>
    <n v="15"/>
    <n v="58"/>
    <n v="201"/>
    <n v="127"/>
    <n v="23"/>
    <n v="63"/>
    <n v="213"/>
    <n v="121"/>
    <n v="20"/>
    <n v="72"/>
    <n v="213"/>
    <n v="134"/>
    <n v="18"/>
    <n v="49"/>
    <n v="201"/>
    <d v="2023-03-28T00:00:00"/>
    <x v="2"/>
    <n v="3"/>
    <x v="0"/>
    <n v="53"/>
    <n v="231"/>
    <n v="115"/>
    <n v="38"/>
    <n v="153"/>
    <n v="437"/>
    <n v="105"/>
    <n v="13"/>
    <n v="35"/>
    <n v="153"/>
    <n v="86"/>
    <n v="6"/>
    <n v="23"/>
    <n v="115"/>
    <n v="112"/>
    <n v="12"/>
    <n v="29"/>
    <n v="153"/>
    <n v="79"/>
    <n v="7"/>
    <n v="29"/>
    <n v="115"/>
  </r>
  <r>
    <x v="87"/>
    <x v="3"/>
    <n v="1"/>
    <x v="0"/>
    <n v="124"/>
    <n v="102"/>
    <n v="55"/>
    <n v="157"/>
    <n v="139"/>
    <n v="64"/>
    <n v="203"/>
    <n v="484"/>
    <n v="149"/>
    <n v="27"/>
    <n v="57"/>
    <n v="233"/>
    <n v="131"/>
    <n v="23"/>
    <n v="69"/>
    <n v="223"/>
    <n v="102"/>
    <n v="29"/>
    <n v="72"/>
    <n v="203"/>
    <n v="178"/>
    <n v="21"/>
    <n v="54"/>
    <n v="253"/>
    <d v="2023-03-29T00:00:00"/>
    <x v="3"/>
    <n v="2"/>
    <x v="0"/>
    <n v="45"/>
    <n v="317"/>
    <n v="160"/>
    <n v="33"/>
    <n v="193"/>
    <n v="555"/>
    <n v="136"/>
    <n v="12"/>
    <n v="42"/>
    <n v="190"/>
    <n v="94"/>
    <n v="4"/>
    <n v="27"/>
    <n v="125"/>
    <n v="133"/>
    <n v="6"/>
    <n v="54"/>
    <n v="193"/>
    <n v="97"/>
    <n v="10"/>
    <n v="15"/>
    <n v="122"/>
  </r>
  <r>
    <x v="88"/>
    <x v="4"/>
    <n v="1"/>
    <x v="0"/>
    <n v="163"/>
    <n v="84"/>
    <n v="83"/>
    <n v="167"/>
    <n v="157"/>
    <n v="65"/>
    <n v="222"/>
    <n v="552"/>
    <n v="188"/>
    <n v="22"/>
    <n v="74"/>
    <n v="284"/>
    <n v="133"/>
    <n v="25"/>
    <n v="35"/>
    <n v="193"/>
    <n v="118"/>
    <n v="22"/>
    <n v="82"/>
    <n v="222"/>
    <n v="203"/>
    <n v="25"/>
    <n v="27"/>
    <n v="255"/>
    <d v="2023-03-30T00:00:00"/>
    <x v="4"/>
    <n v="2"/>
    <x v="0"/>
    <n v="48"/>
    <n v="319"/>
    <n v="118"/>
    <n v="74"/>
    <n v="192"/>
    <n v="559"/>
    <n v="112"/>
    <n v="8"/>
    <n v="34"/>
    <n v="154"/>
    <n v="109"/>
    <n v="4"/>
    <n v="53"/>
    <n v="166"/>
    <n v="138"/>
    <n v="12"/>
    <n v="42"/>
    <n v="192"/>
    <n v="83"/>
    <n v="0"/>
    <n v="45"/>
    <n v="128"/>
  </r>
  <r>
    <x v="89"/>
    <x v="5"/>
    <n v="3"/>
    <x v="0"/>
    <n v="133"/>
    <n v="106"/>
    <n v="122"/>
    <n v="228"/>
    <n v="163"/>
    <n v="56"/>
    <n v="219"/>
    <n v="580"/>
    <n v="159"/>
    <n v="18"/>
    <n v="70"/>
    <n v="247"/>
    <n v="136"/>
    <n v="15"/>
    <n v="69"/>
    <n v="220"/>
    <n v="137"/>
    <n v="23"/>
    <n v="59"/>
    <n v="219"/>
    <n v="158"/>
    <n v="10"/>
    <n v="80"/>
    <n v="248"/>
    <d v="2023-03-31T00:00:00"/>
    <x v="5"/>
    <n v="4"/>
    <x v="0"/>
    <n v="48"/>
    <n v="337"/>
    <n v="154"/>
    <n v="49"/>
    <n v="203"/>
    <n v="588"/>
    <n v="142"/>
    <n v="12"/>
    <n v="48"/>
    <n v="202"/>
    <n v="100"/>
    <n v="5"/>
    <n v="33"/>
    <n v="138"/>
    <n v="146"/>
    <n v="14"/>
    <n v="43"/>
    <n v="203"/>
    <n v="96"/>
    <n v="3"/>
    <n v="38"/>
    <n v="137"/>
  </r>
  <r>
    <x v="90"/>
    <x v="6"/>
    <n v="3"/>
    <x v="0"/>
    <n v="168"/>
    <n v="103"/>
    <n v="88"/>
    <n v="191"/>
    <n v="167"/>
    <n v="47"/>
    <n v="214"/>
    <n v="573"/>
    <n v="196"/>
    <n v="15"/>
    <n v="85"/>
    <n v="296"/>
    <n v="101"/>
    <n v="10"/>
    <n v="56"/>
    <n v="167"/>
    <n v="89"/>
    <n v="-3"/>
    <n v="55"/>
    <n v="141"/>
    <n v="208"/>
    <n v="28"/>
    <n v="86"/>
    <n v="322"/>
    <d v="2023-04-01T00:00:00"/>
    <x v="6"/>
    <n v="4"/>
    <x v="0"/>
    <n v="57"/>
    <n v="367"/>
    <n v="142"/>
    <n v="47"/>
    <n v="189"/>
    <n v="613"/>
    <n v="142"/>
    <n v="12"/>
    <n v="48"/>
    <n v="202"/>
    <n v="100"/>
    <n v="5"/>
    <n v="33"/>
    <n v="138"/>
    <n v="114"/>
    <n v="12"/>
    <n v="63"/>
    <n v="189"/>
    <n v="128"/>
    <n v="5"/>
    <n v="18"/>
    <n v="151"/>
  </r>
  <r>
    <x v="91"/>
    <x v="0"/>
    <n v="2"/>
    <x v="0"/>
    <n v="186"/>
    <n v="119"/>
    <n v="121"/>
    <n v="240"/>
    <n v="172"/>
    <n v="70"/>
    <n v="242"/>
    <n v="668"/>
    <n v="178"/>
    <n v="25"/>
    <n v="84"/>
    <n v="287"/>
    <n v="165"/>
    <n v="27"/>
    <n v="72"/>
    <n v="264"/>
    <n v="223"/>
    <n v="32"/>
    <n v="102"/>
    <n v="357"/>
    <n v="120"/>
    <n v="20"/>
    <n v="54"/>
    <n v="194"/>
    <d v="2023-04-02T00:00:00"/>
    <x v="0"/>
    <n v="1"/>
    <x v="0"/>
    <n v="51"/>
    <n v="284"/>
    <n v="159"/>
    <n v="63"/>
    <n v="222"/>
    <n v="557"/>
    <n v="123"/>
    <n v="22"/>
    <n v="57"/>
    <n v="202"/>
    <n v="99"/>
    <n v="13"/>
    <n v="47"/>
    <n v="159"/>
    <n v="26"/>
    <n v="3"/>
    <n v="23"/>
    <n v="52"/>
    <n v="196"/>
    <n v="32"/>
    <n v="81"/>
    <n v="309"/>
  </r>
  <r>
    <x v="92"/>
    <x v="1"/>
    <n v="2"/>
    <x v="0"/>
    <n v="173"/>
    <n v="113"/>
    <n v="94"/>
    <n v="207"/>
    <n v="159"/>
    <n v="89"/>
    <n v="248"/>
    <n v="628"/>
    <n v="178"/>
    <n v="21"/>
    <n v="83"/>
    <n v="282"/>
    <n v="113"/>
    <n v="22"/>
    <n v="64"/>
    <n v="199"/>
    <n v="141"/>
    <n v="18"/>
    <n v="89"/>
    <n v="248"/>
    <n v="150"/>
    <n v="25"/>
    <n v="58"/>
    <n v="233"/>
    <d v="2023-04-03T00:00:00"/>
    <x v="1"/>
    <n v="1"/>
    <x v="0"/>
    <n v="31"/>
    <n v="261"/>
    <n v="189"/>
    <n v="74"/>
    <n v="263"/>
    <n v="555"/>
    <n v="144"/>
    <n v="18"/>
    <n v="62"/>
    <n v="224"/>
    <n v="82"/>
    <n v="6"/>
    <n v="45"/>
    <n v="133"/>
    <n v="166"/>
    <n v="18"/>
    <n v="79"/>
    <n v="263"/>
    <n v="60"/>
    <n v="6"/>
    <n v="28"/>
    <n v="94"/>
  </r>
  <r>
    <x v="93"/>
    <x v="2"/>
    <n v="4"/>
    <x v="0"/>
    <n v="136"/>
    <n v="109"/>
    <n v="88"/>
    <n v="197"/>
    <n v="153"/>
    <n v="67"/>
    <n v="220"/>
    <n v="553"/>
    <n v="181"/>
    <n v="9"/>
    <n v="76"/>
    <n v="266"/>
    <n v="132"/>
    <n v="18"/>
    <n v="51"/>
    <n v="201"/>
    <n v="141"/>
    <n v="14"/>
    <n v="65"/>
    <n v="220"/>
    <n v="172"/>
    <n v="13"/>
    <n v="62"/>
    <n v="247"/>
    <d v="2023-04-04T00:00:00"/>
    <x v="2"/>
    <n v="3"/>
    <x v="0"/>
    <n v="38"/>
    <n v="317"/>
    <n v="108"/>
    <n v="83"/>
    <n v="191"/>
    <n v="546"/>
    <n v="122"/>
    <n v="13"/>
    <n v="54"/>
    <n v="189"/>
    <n v="75"/>
    <n v="5"/>
    <n v="35"/>
    <n v="115"/>
    <n v="122"/>
    <n v="11"/>
    <n v="58"/>
    <n v="191"/>
    <n v="75"/>
    <n v="7"/>
    <n v="31"/>
    <n v="113"/>
  </r>
  <r>
    <x v="94"/>
    <x v="3"/>
    <n v="4"/>
    <x v="0"/>
    <n v="170"/>
    <n v="102"/>
    <n v="80"/>
    <n v="182"/>
    <n v="125"/>
    <n v="88"/>
    <n v="213"/>
    <n v="565"/>
    <n v="150"/>
    <n v="11"/>
    <n v="65"/>
    <n v="226"/>
    <n v="142"/>
    <n v="22"/>
    <n v="93"/>
    <n v="257"/>
    <n v="120"/>
    <n v="20"/>
    <n v="73"/>
    <n v="213"/>
    <n v="172"/>
    <n v="13"/>
    <n v="85"/>
    <n v="270"/>
    <d v="2023-04-05T00:00:00"/>
    <x v="3"/>
    <n v="3"/>
    <x v="0"/>
    <n v="40"/>
    <n v="364"/>
    <n v="120"/>
    <n v="60"/>
    <n v="180"/>
    <n v="584"/>
    <n v="109"/>
    <n v="5"/>
    <n v="60"/>
    <n v="174"/>
    <n v="72"/>
    <n v="4"/>
    <n v="55"/>
    <n v="131"/>
    <n v="116"/>
    <n v="6"/>
    <n v="58"/>
    <n v="180"/>
    <n v="65"/>
    <n v="3"/>
    <n v="57"/>
    <n v="125"/>
  </r>
  <r>
    <x v="95"/>
    <x v="4"/>
    <n v="1"/>
    <x v="0"/>
    <n v="153"/>
    <n v="116"/>
    <n v="81"/>
    <n v="197"/>
    <n v="174"/>
    <n v="80"/>
    <n v="254"/>
    <n v="604"/>
    <n v="183"/>
    <n v="30"/>
    <n v="72"/>
    <n v="285"/>
    <n v="144"/>
    <n v="17"/>
    <n v="76"/>
    <n v="237"/>
    <n v="143"/>
    <n v="27"/>
    <n v="84"/>
    <n v="254"/>
    <n v="184"/>
    <n v="20"/>
    <n v="64"/>
    <n v="268"/>
    <d v="2023-04-06T00:00:00"/>
    <x v="4"/>
    <n v="2"/>
    <x v="0"/>
    <n v="72"/>
    <n v="320"/>
    <n v="145"/>
    <n v="68"/>
    <n v="213"/>
    <n v="605"/>
    <n v="116"/>
    <n v="4"/>
    <n v="44"/>
    <n v="164"/>
    <n v="81"/>
    <n v="6"/>
    <n v="47"/>
    <n v="134"/>
    <n v="137"/>
    <n v="8"/>
    <n v="68"/>
    <n v="213"/>
    <n v="60"/>
    <n v="2"/>
    <n v="23"/>
    <n v="85"/>
  </r>
  <r>
    <x v="96"/>
    <x v="5"/>
    <n v="1"/>
    <x v="0"/>
    <n v="133"/>
    <n v="105"/>
    <n v="109"/>
    <n v="214"/>
    <n v="138"/>
    <n v="76"/>
    <n v="214"/>
    <n v="561"/>
    <n v="148"/>
    <n v="23"/>
    <n v="74"/>
    <n v="245"/>
    <n v="146"/>
    <n v="16"/>
    <n v="66"/>
    <n v="228"/>
    <n v="112"/>
    <n v="20"/>
    <n v="82"/>
    <n v="214"/>
    <n v="182"/>
    <n v="19"/>
    <n v="58"/>
    <n v="259"/>
    <d v="2023-04-07T00:00:00"/>
    <x v="5"/>
    <n v="2"/>
    <x v="0"/>
    <n v="62"/>
    <n v="338"/>
    <n v="157"/>
    <n v="70"/>
    <n v="227"/>
    <n v="627"/>
    <n v="124"/>
    <n v="7"/>
    <n v="65"/>
    <n v="196"/>
    <n v="79"/>
    <n v="4"/>
    <n v="42"/>
    <n v="125"/>
    <n v="137"/>
    <n v="10"/>
    <n v="80"/>
    <n v="227"/>
    <n v="66"/>
    <n v="1"/>
    <n v="27"/>
    <n v="94"/>
  </r>
  <r>
    <x v="97"/>
    <x v="6"/>
    <n v="3"/>
    <x v="0"/>
    <n v="160"/>
    <n v="92"/>
    <n v="99"/>
    <n v="191"/>
    <n v="156"/>
    <n v="78"/>
    <n v="234"/>
    <n v="585"/>
    <n v="156"/>
    <n v="23"/>
    <n v="89"/>
    <n v="268"/>
    <n v="155"/>
    <n v="29"/>
    <n v="100"/>
    <n v="284"/>
    <n v="139"/>
    <n v="22"/>
    <n v="75"/>
    <n v="236"/>
    <n v="172"/>
    <n v="30"/>
    <n v="114"/>
    <n v="316"/>
    <d v="2023-04-08T00:00:00"/>
    <x v="6"/>
    <n v="4"/>
    <x v="0"/>
    <n v="76"/>
    <n v="353"/>
    <n v="154"/>
    <n v="106"/>
    <n v="260"/>
    <n v="689"/>
    <n v="117"/>
    <n v="11"/>
    <n v="75"/>
    <n v="203"/>
    <n v="108"/>
    <n v="6"/>
    <n v="64"/>
    <n v="178"/>
    <n v="152"/>
    <n v="13"/>
    <n v="95"/>
    <n v="260"/>
    <n v="73"/>
    <n v="4"/>
    <n v="44"/>
    <n v="121"/>
  </r>
  <r>
    <x v="98"/>
    <x v="0"/>
    <n v="3"/>
    <x v="0"/>
    <n v="135"/>
    <n v="105"/>
    <n v="107"/>
    <n v="212"/>
    <n v="131"/>
    <n v="68"/>
    <n v="199"/>
    <n v="546"/>
    <n v="153"/>
    <n v="24"/>
    <n v="88"/>
    <n v="265"/>
    <n v="100"/>
    <n v="16"/>
    <n v="58"/>
    <n v="174"/>
    <n v="104"/>
    <n v="22"/>
    <n v="73"/>
    <n v="199"/>
    <n v="149"/>
    <n v="18"/>
    <n v="73"/>
    <n v="240"/>
    <d v="2023-04-09T00:00:00"/>
    <x v="0"/>
    <n v="4"/>
    <x v="0"/>
    <n v="36"/>
    <n v="295"/>
    <n v="174"/>
    <n v="97"/>
    <n v="271"/>
    <n v="602"/>
    <n v="115"/>
    <n v="10"/>
    <n v="73"/>
    <n v="198"/>
    <n v="86"/>
    <n v="12"/>
    <n v="27"/>
    <n v="125"/>
    <n v="170"/>
    <n v="11"/>
    <n v="90"/>
    <n v="271"/>
    <n v="31"/>
    <n v="11"/>
    <n v="10"/>
    <n v="52"/>
  </r>
  <r>
    <x v="99"/>
    <x v="1"/>
    <n v="2"/>
    <x v="0"/>
    <n v="145"/>
    <n v="84"/>
    <n v="92"/>
    <n v="176"/>
    <n v="150"/>
    <n v="82"/>
    <n v="232"/>
    <n v="553"/>
    <n v="163"/>
    <n v="17"/>
    <n v="89"/>
    <n v="269"/>
    <n v="93"/>
    <n v="12"/>
    <n v="60"/>
    <n v="165"/>
    <n v="134"/>
    <n v="13"/>
    <n v="85"/>
    <n v="232"/>
    <n v="122"/>
    <n v="16"/>
    <n v="64"/>
    <n v="202"/>
    <d v="2023-04-10T00:00:00"/>
    <x v="1"/>
    <n v="1"/>
    <x v="0"/>
    <n v="21"/>
    <n v="216"/>
    <n v="162"/>
    <n v="50"/>
    <n v="212"/>
    <n v="449"/>
    <n v="133"/>
    <n v="15"/>
    <n v="53"/>
    <n v="201"/>
    <n v="76"/>
    <n v="6"/>
    <n v="26"/>
    <n v="108"/>
    <n v="133"/>
    <n v="20"/>
    <n v="59"/>
    <n v="212"/>
    <n v="76"/>
    <n v="1"/>
    <n v="20"/>
    <n v="97"/>
  </r>
  <r>
    <x v="100"/>
    <x v="2"/>
    <n v="2"/>
    <x v="0"/>
    <n v="104"/>
    <n v="95"/>
    <n v="69"/>
    <n v="164"/>
    <n v="149"/>
    <n v="69"/>
    <n v="218"/>
    <n v="486"/>
    <n v="160"/>
    <n v="11"/>
    <n v="67"/>
    <n v="238"/>
    <n v="87"/>
    <n v="9"/>
    <n v="81"/>
    <n v="177"/>
    <n v="149"/>
    <n v="13"/>
    <n v="57"/>
    <n v="219"/>
    <n v="98"/>
    <n v="7"/>
    <n v="91"/>
    <n v="196"/>
    <d v="2023-04-11T00:00:00"/>
    <x v="2"/>
    <n v="1"/>
    <x v="0"/>
    <n v="33"/>
    <n v="228"/>
    <n v="161"/>
    <n v="42"/>
    <n v="203"/>
    <n v="464"/>
    <n v="126"/>
    <n v="11"/>
    <n v="65"/>
    <n v="202"/>
    <n v="48"/>
    <n v="9"/>
    <n v="42"/>
    <n v="99"/>
    <n v="127"/>
    <n v="13"/>
    <n v="63"/>
    <n v="203"/>
    <n v="47"/>
    <n v="7"/>
    <n v="44"/>
    <n v="98"/>
  </r>
  <r>
    <x v="101"/>
    <x v="3"/>
    <n v="4"/>
    <x v="0"/>
    <n v="91"/>
    <n v="74"/>
    <n v="84"/>
    <n v="158"/>
    <n v="154"/>
    <n v="77"/>
    <n v="231"/>
    <n v="480"/>
    <n v="152"/>
    <n v="19"/>
    <n v="74"/>
    <n v="245"/>
    <n v="119"/>
    <n v="15"/>
    <n v="77"/>
    <n v="211"/>
    <n v="113"/>
    <n v="17"/>
    <n v="101"/>
    <n v="231"/>
    <n v="158"/>
    <n v="17"/>
    <n v="50"/>
    <n v="225"/>
    <d v="2023-04-12T00:00:00"/>
    <x v="3"/>
    <n v="3"/>
    <x v="0"/>
    <n v="36"/>
    <n v="287"/>
    <n v="146"/>
    <n v="74"/>
    <n v="220"/>
    <n v="543"/>
    <n v="121"/>
    <n v="15"/>
    <n v="64"/>
    <n v="200"/>
    <n v="74"/>
    <n v="6"/>
    <n v="54"/>
    <n v="134"/>
    <n v="130"/>
    <n v="17"/>
    <n v="73"/>
    <n v="220"/>
    <n v="65"/>
    <n v="4"/>
    <n v="45"/>
    <n v="114"/>
  </r>
  <r>
    <x v="102"/>
    <x v="4"/>
    <n v="4"/>
    <x v="0"/>
    <n v="148"/>
    <n v="126"/>
    <n v="99"/>
    <n v="225"/>
    <n v="153"/>
    <n v="49"/>
    <n v="202"/>
    <n v="575"/>
    <n v="177"/>
    <n v="20"/>
    <n v="89"/>
    <n v="286"/>
    <n v="103"/>
    <n v="11"/>
    <n v="86"/>
    <n v="200"/>
    <n v="120"/>
    <n v="15"/>
    <n v="67"/>
    <n v="202"/>
    <n v="160"/>
    <n v="16"/>
    <n v="108"/>
    <n v="284"/>
    <d v="2023-04-13T00:00:00"/>
    <x v="4"/>
    <n v="3"/>
    <x v="0"/>
    <n v="49"/>
    <n v="339"/>
    <n v="143"/>
    <n v="60"/>
    <n v="203"/>
    <n v="591"/>
    <n v="111"/>
    <n v="18"/>
    <n v="65"/>
    <n v="194"/>
    <n v="66"/>
    <n v="5"/>
    <n v="44"/>
    <n v="115"/>
    <n v="130"/>
    <n v="12"/>
    <n v="61"/>
    <n v="203"/>
    <n v="47"/>
    <n v="11"/>
    <n v="48"/>
    <n v="106"/>
  </r>
  <r>
    <x v="103"/>
    <x v="5"/>
    <n v="1"/>
    <x v="0"/>
    <n v="142"/>
    <n v="96"/>
    <n v="89"/>
    <n v="185"/>
    <n v="171"/>
    <n v="68"/>
    <n v="239"/>
    <n v="566"/>
    <n v="149"/>
    <n v="23"/>
    <n v="86"/>
    <n v="258"/>
    <n v="108"/>
    <n v="10"/>
    <n v="63"/>
    <n v="181"/>
    <n v="120"/>
    <n v="24"/>
    <n v="99"/>
    <n v="243"/>
    <n v="137"/>
    <n v="9"/>
    <n v="50"/>
    <n v="196"/>
    <d v="2023-04-14T00:00:00"/>
    <x v="5"/>
    <n v="2"/>
    <x v="0"/>
    <n v="38"/>
    <n v="280"/>
    <n v="154"/>
    <n v="67"/>
    <n v="221"/>
    <n v="539"/>
    <n v="102"/>
    <n v="8"/>
    <n v="44"/>
    <n v="154"/>
    <n v="94"/>
    <n v="13"/>
    <n v="41"/>
    <n v="148"/>
    <n v="121"/>
    <n v="12"/>
    <n v="40"/>
    <n v="173"/>
    <n v="75"/>
    <n v="9"/>
    <n v="45"/>
    <n v="129"/>
  </r>
  <r>
    <x v="104"/>
    <x v="6"/>
    <n v="1"/>
    <x v="0"/>
    <n v="141"/>
    <n v="108"/>
    <n v="83"/>
    <n v="191"/>
    <n v="155"/>
    <n v="74"/>
    <n v="229"/>
    <n v="561"/>
    <n v="185"/>
    <n v="23"/>
    <n v="79"/>
    <n v="287"/>
    <n v="130"/>
    <n v="26"/>
    <n v="63"/>
    <n v="219"/>
    <n v="122"/>
    <n v="15"/>
    <n v="92"/>
    <n v="229"/>
    <n v="193"/>
    <n v="34"/>
    <n v="50"/>
    <n v="277"/>
    <d v="2023-04-15T00:00:00"/>
    <x v="6"/>
    <n v="2"/>
    <x v="0"/>
    <n v="42"/>
    <n v="336"/>
    <n v="125"/>
    <n v="74"/>
    <n v="199"/>
    <n v="577"/>
    <n v="115"/>
    <n v="12"/>
    <n v="54"/>
    <n v="181"/>
    <n v="74"/>
    <n v="5"/>
    <n v="38"/>
    <n v="117"/>
    <n v="119"/>
    <n v="12"/>
    <n v="68"/>
    <n v="199"/>
    <n v="70"/>
    <n v="5"/>
    <n v="24"/>
    <n v="99"/>
  </r>
  <r>
    <x v="105"/>
    <x v="0"/>
    <n v="3"/>
    <x v="0"/>
    <n v="148"/>
    <n v="93"/>
    <n v="101"/>
    <n v="194"/>
    <n v="166"/>
    <n v="63"/>
    <n v="229"/>
    <n v="571"/>
    <n v="194"/>
    <n v="20"/>
    <n v="121"/>
    <n v="335"/>
    <n v="133"/>
    <n v="20"/>
    <n v="81"/>
    <n v="234"/>
    <n v="131"/>
    <n v="25"/>
    <n v="73"/>
    <n v="229"/>
    <n v="196"/>
    <n v="15"/>
    <n v="129"/>
    <n v="340"/>
    <d v="2023-04-16T00:00:00"/>
    <x v="0"/>
    <n v="4"/>
    <x v="0"/>
    <n v="69"/>
    <n v="368"/>
    <n v="159"/>
    <n v="52"/>
    <n v="211"/>
    <n v="648"/>
    <n v="145"/>
    <n v="10"/>
    <n v="85"/>
    <n v="240"/>
    <n v="81"/>
    <n v="4"/>
    <n v="45"/>
    <n v="130"/>
    <n v="131"/>
    <n v="12"/>
    <n v="68"/>
    <n v="211"/>
    <n v="95"/>
    <n v="2"/>
    <n v="62"/>
    <n v="159"/>
  </r>
  <r>
    <x v="106"/>
    <x v="1"/>
    <n v="3"/>
    <x v="0"/>
    <n v="186"/>
    <n v="99"/>
    <n v="107"/>
    <n v="206"/>
    <n v="170"/>
    <n v="52"/>
    <n v="222"/>
    <n v="614"/>
    <n v="147"/>
    <n v="26"/>
    <n v="89"/>
    <n v="262"/>
    <n v="112"/>
    <n v="26"/>
    <n v="64"/>
    <n v="202"/>
    <n v="126"/>
    <n v="24"/>
    <n v="72"/>
    <n v="222"/>
    <n v="133"/>
    <n v="28"/>
    <n v="81"/>
    <n v="242"/>
    <d v="2023-04-17T00:00:00"/>
    <x v="1"/>
    <n v="4"/>
    <x v="0"/>
    <n v="34"/>
    <n v="295"/>
    <n v="142"/>
    <n v="91"/>
    <n v="233"/>
    <n v="562"/>
    <n v="108"/>
    <n v="8"/>
    <n v="62"/>
    <n v="178"/>
    <n v="92"/>
    <n v="6"/>
    <n v="37"/>
    <n v="135"/>
    <n v="141"/>
    <n v="10"/>
    <n v="82"/>
    <n v="233"/>
    <n v="59"/>
    <n v="4"/>
    <n v="17"/>
    <n v="80"/>
  </r>
  <r>
    <x v="107"/>
    <x v="2"/>
    <n v="2"/>
    <x v="0"/>
    <n v="106"/>
    <n v="74"/>
    <n v="92"/>
    <n v="166"/>
    <n v="189"/>
    <n v="69"/>
    <n v="258"/>
    <n v="530"/>
    <n v="148"/>
    <n v="26"/>
    <n v="92"/>
    <n v="266"/>
    <n v="108"/>
    <n v="13"/>
    <n v="67"/>
    <n v="188"/>
    <n v="138"/>
    <n v="23"/>
    <n v="97"/>
    <n v="258"/>
    <n v="118"/>
    <n v="16"/>
    <n v="62"/>
    <n v="196"/>
    <d v="2023-04-18T00:00:00"/>
    <x v="2"/>
    <n v="1"/>
    <x v="0"/>
    <n v="42"/>
    <n v="229"/>
    <n v="154"/>
    <n v="39"/>
    <n v="193"/>
    <n v="464"/>
    <n v="127"/>
    <n v="10"/>
    <n v="57"/>
    <n v="194"/>
    <n v="43"/>
    <n v="6"/>
    <n v="41"/>
    <n v="90"/>
    <n v="131"/>
    <n v="12"/>
    <n v="50"/>
    <n v="193"/>
    <n v="39"/>
    <n v="4"/>
    <n v="48"/>
    <n v="91"/>
  </r>
  <r>
    <x v="108"/>
    <x v="3"/>
    <n v="2"/>
    <x v="0"/>
    <n v="116"/>
    <n v="115"/>
    <n v="75"/>
    <n v="190"/>
    <n v="183"/>
    <n v="72"/>
    <n v="255"/>
    <n v="561"/>
    <n v="142"/>
    <n v="27"/>
    <n v="87"/>
    <n v="256"/>
    <n v="102"/>
    <n v="19"/>
    <n v="85"/>
    <n v="206"/>
    <n v="127"/>
    <n v="29"/>
    <n v="99"/>
    <n v="255"/>
    <n v="117"/>
    <n v="17"/>
    <n v="73"/>
    <n v="207"/>
    <d v="2023-04-19T00:00:00"/>
    <x v="3"/>
    <n v="1"/>
    <x v="0"/>
    <n v="48"/>
    <n v="269"/>
    <n v="112"/>
    <n v="53"/>
    <n v="165"/>
    <n v="482"/>
    <n v="86"/>
    <n v="9"/>
    <n v="46"/>
    <n v="141"/>
    <n v="72"/>
    <n v="2"/>
    <n v="24"/>
    <n v="98"/>
    <n v="99"/>
    <n v="11"/>
    <n v="55"/>
    <n v="165"/>
    <n v="59"/>
    <n v="0"/>
    <n v="15"/>
    <n v="74"/>
  </r>
  <r>
    <x v="109"/>
    <x v="4"/>
    <n v="4"/>
    <x v="0"/>
    <n v="147"/>
    <n v="104"/>
    <n v="94"/>
    <n v="198"/>
    <n v="166"/>
    <n v="94"/>
    <n v="260"/>
    <n v="605"/>
    <n v="168"/>
    <n v="17"/>
    <n v="62"/>
    <n v="247"/>
    <n v="130"/>
    <n v="24"/>
    <n v="94"/>
    <n v="248"/>
    <n v="154"/>
    <n v="24"/>
    <n v="82"/>
    <n v="260"/>
    <n v="144"/>
    <n v="17"/>
    <n v="74"/>
    <n v="235"/>
    <d v="2023-04-20T00:00:00"/>
    <x v="4"/>
    <n v="3"/>
    <x v="0"/>
    <n v="72"/>
    <n v="305"/>
    <n v="142"/>
    <n v="65"/>
    <n v="207"/>
    <n v="584"/>
    <n v="100"/>
    <n v="15"/>
    <n v="81"/>
    <n v="196"/>
    <n v="66"/>
    <n v="3"/>
    <n v="53"/>
    <n v="122"/>
    <n v="119"/>
    <n v="12"/>
    <n v="76"/>
    <n v="207"/>
    <n v="47"/>
    <n v="6"/>
    <n v="58"/>
    <n v="111"/>
  </r>
  <r>
    <x v="110"/>
    <x v="5"/>
    <n v="4"/>
    <x v="0"/>
    <n v="150"/>
    <n v="86"/>
    <n v="124"/>
    <n v="210"/>
    <n v="187"/>
    <n v="88"/>
    <n v="275"/>
    <n v="635"/>
    <n v="133"/>
    <n v="27"/>
    <n v="80"/>
    <n v="240"/>
    <n v="140"/>
    <n v="24"/>
    <n v="78"/>
    <n v="242"/>
    <n v="154"/>
    <n v="28"/>
    <n v="93"/>
    <n v="275"/>
    <n v="119"/>
    <n v="23"/>
    <n v="65"/>
    <n v="207"/>
    <d v="2023-04-21T00:00:00"/>
    <x v="5"/>
    <n v="3"/>
    <x v="0"/>
    <n v="27"/>
    <n v="252"/>
    <n v="159"/>
    <n v="72"/>
    <n v="231"/>
    <n v="510"/>
    <n v="125"/>
    <n v="14"/>
    <n v="60"/>
    <n v="199"/>
    <n v="69"/>
    <n v="4"/>
    <n v="56"/>
    <n v="129"/>
    <n v="144"/>
    <n v="13"/>
    <n v="74"/>
    <n v="231"/>
    <n v="50"/>
    <n v="5"/>
    <n v="42"/>
    <n v="97"/>
  </r>
  <r>
    <x v="111"/>
    <x v="6"/>
    <n v="1"/>
    <x v="0"/>
    <n v="114"/>
    <n v="115"/>
    <n v="90"/>
    <n v="205"/>
    <n v="194"/>
    <n v="78"/>
    <n v="272"/>
    <n v="591"/>
    <n v="141"/>
    <n v="18"/>
    <n v="88"/>
    <n v="247"/>
    <n v="128"/>
    <n v="16"/>
    <n v="86"/>
    <n v="230"/>
    <n v="141"/>
    <n v="21"/>
    <n v="110"/>
    <n v="272"/>
    <n v="128"/>
    <n v="13"/>
    <n v="64"/>
    <n v="205"/>
    <d v="2023-04-22T00:00:00"/>
    <x v="6"/>
    <n v="2"/>
    <x v="0"/>
    <n v="27"/>
    <n v="262"/>
    <n v="157"/>
    <n v="64"/>
    <n v="221"/>
    <n v="510"/>
    <n v="100"/>
    <n v="10"/>
    <n v="90"/>
    <n v="200"/>
    <n v="68"/>
    <n v="3"/>
    <n v="62"/>
    <n v="133"/>
    <n v="131"/>
    <n v="11"/>
    <n v="79"/>
    <n v="221"/>
    <n v="37"/>
    <n v="2"/>
    <n v="73"/>
    <n v="112"/>
  </r>
  <r>
    <x v="112"/>
    <x v="0"/>
    <n v="1"/>
    <x v="0"/>
    <n v="118"/>
    <n v="102"/>
    <n v="102"/>
    <n v="204"/>
    <n v="163"/>
    <n v="52"/>
    <n v="215"/>
    <n v="537"/>
    <n v="128"/>
    <n v="19"/>
    <n v="80"/>
    <n v="227"/>
    <n v="117"/>
    <n v="26"/>
    <n v="52"/>
    <n v="195"/>
    <n v="117"/>
    <n v="16"/>
    <n v="82"/>
    <n v="215"/>
    <n v="128"/>
    <n v="29"/>
    <n v="50"/>
    <n v="207"/>
    <d v="2023-04-23T00:00:00"/>
    <x v="0"/>
    <n v="2"/>
    <x v="0"/>
    <n v="24"/>
    <n v="253"/>
    <n v="147"/>
    <n v="58"/>
    <n v="205"/>
    <n v="482"/>
    <n v="104"/>
    <n v="13"/>
    <n v="47"/>
    <n v="164"/>
    <n v="61"/>
    <n v="3"/>
    <n v="30"/>
    <n v="94"/>
    <n v="148"/>
    <n v="15"/>
    <n v="42"/>
    <n v="205"/>
    <n v="17"/>
    <n v="1"/>
    <n v="35"/>
    <n v="53"/>
  </r>
  <r>
    <x v="113"/>
    <x v="1"/>
    <n v="3"/>
    <x v="0"/>
    <n v="91"/>
    <n v="87"/>
    <n v="101"/>
    <n v="188"/>
    <n v="139"/>
    <n v="52"/>
    <n v="191"/>
    <n v="470"/>
    <n v="131"/>
    <n v="31"/>
    <n v="51"/>
    <n v="213"/>
    <n v="99"/>
    <n v="19"/>
    <n v="41"/>
    <n v="159"/>
    <n v="108"/>
    <n v="29"/>
    <n v="54"/>
    <n v="191"/>
    <n v="122"/>
    <n v="21"/>
    <n v="38"/>
    <n v="181"/>
    <d v="2023-04-24T00:00:00"/>
    <x v="1"/>
    <n v="4"/>
    <x v="0"/>
    <n v="23"/>
    <n v="245"/>
    <n v="171"/>
    <n v="100"/>
    <n v="271"/>
    <n v="539"/>
    <n v="127"/>
    <n v="22"/>
    <n v="50"/>
    <n v="199"/>
    <n v="75"/>
    <n v="9"/>
    <n v="68"/>
    <n v="152"/>
    <n v="173"/>
    <n v="14"/>
    <n v="84"/>
    <n v="271"/>
    <n v="29"/>
    <n v="17"/>
    <n v="34"/>
    <n v="80"/>
  </r>
  <r>
    <x v="114"/>
    <x v="2"/>
    <n v="3"/>
    <x v="0"/>
    <n v="104"/>
    <n v="69"/>
    <n v="96"/>
    <n v="165"/>
    <n v="132"/>
    <n v="60"/>
    <n v="192"/>
    <n v="461"/>
    <n v="158"/>
    <n v="22"/>
    <n v="48"/>
    <n v="228"/>
    <n v="120"/>
    <n v="12"/>
    <n v="47"/>
    <n v="179"/>
    <n v="133"/>
    <n v="13"/>
    <n v="46"/>
    <n v="192"/>
    <n v="145"/>
    <n v="21"/>
    <n v="49"/>
    <n v="215"/>
    <d v="2023-04-25T00:00:00"/>
    <x v="2"/>
    <n v="4"/>
    <x v="0"/>
    <n v="55"/>
    <n v="236"/>
    <n v="119"/>
    <n v="73"/>
    <n v="192"/>
    <n v="483"/>
    <n v="102"/>
    <n v="15"/>
    <n v="31"/>
    <n v="148"/>
    <n v="83"/>
    <n v="4"/>
    <n v="33"/>
    <n v="120"/>
    <n v="115"/>
    <n v="20"/>
    <n v="57"/>
    <n v="192"/>
    <n v="70"/>
    <n v="-1"/>
    <n v="7"/>
    <n v="76"/>
  </r>
  <r>
    <x v="115"/>
    <x v="3"/>
    <n v="2"/>
    <x v="0"/>
    <n v="125"/>
    <n v="89"/>
    <n v="81"/>
    <n v="170"/>
    <n v="158"/>
    <n v="62"/>
    <n v="220"/>
    <n v="515"/>
    <n v="146"/>
    <n v="27"/>
    <n v="62"/>
    <n v="235"/>
    <n v="119"/>
    <n v="22"/>
    <n v="45"/>
    <n v="186"/>
    <n v="134"/>
    <n v="29"/>
    <n v="57"/>
    <n v="220"/>
    <n v="131"/>
    <n v="20"/>
    <n v="50"/>
    <n v="201"/>
    <d v="2023-04-26T00:00:00"/>
    <x v="3"/>
    <n v="1"/>
    <x v="0"/>
    <n v="31"/>
    <n v="220"/>
    <n v="123"/>
    <n v="26"/>
    <n v="149"/>
    <n v="400"/>
    <n v="106"/>
    <n v="9"/>
    <n v="42"/>
    <n v="157"/>
    <n v="68"/>
    <n v="7"/>
    <n v="20"/>
    <n v="95"/>
    <n v="99"/>
    <n v="10"/>
    <n v="40"/>
    <n v="149"/>
    <n v="75"/>
    <n v="6"/>
    <n v="22"/>
    <n v="103"/>
  </r>
  <r>
    <x v="116"/>
    <x v="4"/>
    <n v="2"/>
    <x v="0"/>
    <n v="126"/>
    <n v="91"/>
    <n v="100"/>
    <n v="191"/>
    <n v="149"/>
    <n v="76"/>
    <n v="225"/>
    <n v="542"/>
    <n v="148"/>
    <n v="17"/>
    <n v="75"/>
    <n v="240"/>
    <n v="124"/>
    <n v="23"/>
    <n v="44"/>
    <n v="191"/>
    <n v="143"/>
    <n v="22"/>
    <n v="60"/>
    <n v="225"/>
    <n v="129"/>
    <n v="18"/>
    <n v="59"/>
    <n v="206"/>
    <d v="2023-04-27T00:00:00"/>
    <x v="4"/>
    <n v="1"/>
    <x v="0"/>
    <n v="38"/>
    <n v="245"/>
    <n v="133"/>
    <n v="76"/>
    <n v="209"/>
    <n v="492"/>
    <n v="116"/>
    <n v="12"/>
    <n v="43"/>
    <n v="171"/>
    <n v="83"/>
    <n v="6"/>
    <n v="29"/>
    <n v="118"/>
    <n v="147"/>
    <n v="16"/>
    <n v="46"/>
    <n v="209"/>
    <n v="52"/>
    <n v="2"/>
    <n v="26"/>
    <n v="80"/>
  </r>
  <r>
    <x v="117"/>
    <x v="5"/>
    <n v="4"/>
    <x v="0"/>
    <n v="143"/>
    <n v="80"/>
    <n v="108"/>
    <n v="188"/>
    <n v="169"/>
    <n v="83"/>
    <n v="252"/>
    <n v="583"/>
    <n v="170"/>
    <n v="20"/>
    <n v="52"/>
    <n v="242"/>
    <n v="112"/>
    <n v="25"/>
    <n v="57"/>
    <n v="194"/>
    <n v="150"/>
    <n v="33"/>
    <n v="69"/>
    <n v="252"/>
    <n v="132"/>
    <n v="12"/>
    <n v="40"/>
    <n v="184"/>
    <d v="2023-04-28T00:00:00"/>
    <x v="5"/>
    <n v="3"/>
    <x v="0"/>
    <n v="41"/>
    <n v="266"/>
    <n v="140"/>
    <n v="65"/>
    <n v="205"/>
    <n v="512"/>
    <n v="126"/>
    <n v="13"/>
    <n v="49"/>
    <n v="188"/>
    <n v="73"/>
    <n v="6"/>
    <n v="35"/>
    <n v="114"/>
    <n v="147"/>
    <n v="8"/>
    <n v="50"/>
    <n v="205"/>
    <n v="52"/>
    <n v="11"/>
    <n v="34"/>
    <n v="97"/>
  </r>
  <r>
    <x v="118"/>
    <x v="6"/>
    <n v="4"/>
    <x v="0"/>
    <n v="132"/>
    <n v="71"/>
    <n v="89"/>
    <n v="160"/>
    <n v="163"/>
    <n v="92"/>
    <n v="255"/>
    <n v="547"/>
    <n v="165"/>
    <n v="7"/>
    <n v="70"/>
    <n v="242"/>
    <n v="141"/>
    <n v="9"/>
    <n v="72"/>
    <n v="222"/>
    <n v="150"/>
    <n v="15"/>
    <n v="90"/>
    <n v="255"/>
    <n v="156"/>
    <n v="1"/>
    <n v="52"/>
    <n v="209"/>
    <d v="2023-04-29T00:00:00"/>
    <x v="6"/>
    <n v="3"/>
    <x v="0"/>
    <n v="31"/>
    <n v="275"/>
    <n v="138"/>
    <n v="72"/>
    <n v="210"/>
    <n v="516"/>
    <n v="125"/>
    <n v="11"/>
    <n v="61"/>
    <n v="197"/>
    <n v="98"/>
    <n v="2"/>
    <n v="35"/>
    <n v="135"/>
    <n v="152"/>
    <n v="10"/>
    <n v="48"/>
    <n v="210"/>
    <n v="71"/>
    <n v="3"/>
    <n v="48"/>
    <n v="122"/>
  </r>
  <r>
    <x v="119"/>
    <x v="0"/>
    <n v="1"/>
    <x v="0"/>
    <n v="150"/>
    <n v="89"/>
    <n v="94"/>
    <n v="183"/>
    <n v="135"/>
    <n v="64"/>
    <n v="199"/>
    <n v="532"/>
    <n v="143"/>
    <n v="24"/>
    <n v="44"/>
    <n v="211"/>
    <n v="126"/>
    <n v="31"/>
    <n v="51"/>
    <n v="208"/>
    <n v="111"/>
    <n v="28"/>
    <n v="60"/>
    <n v="199"/>
    <n v="158"/>
    <n v="27"/>
    <n v="35"/>
    <n v="220"/>
    <d v="2023-04-30T00:00:00"/>
    <x v="0"/>
    <n v="2"/>
    <x v="0"/>
    <n v="51"/>
    <n v="298"/>
    <n v="129"/>
    <n v="45"/>
    <n v="174"/>
    <n v="523"/>
    <n v="127"/>
    <n v="12"/>
    <n v="46"/>
    <n v="185"/>
    <n v="74"/>
    <n v="6"/>
    <n v="50"/>
    <n v="130"/>
    <n v="112"/>
    <n v="14"/>
    <n v="48"/>
    <n v="174"/>
    <n v="89"/>
    <n v="4"/>
    <n v="48"/>
    <n v="141"/>
  </r>
  <r>
    <x v="120"/>
    <x v="1"/>
    <n v="1"/>
    <x v="0"/>
    <n v="151"/>
    <n v="78"/>
    <n v="81"/>
    <n v="159"/>
    <n v="134"/>
    <n v="61"/>
    <n v="195"/>
    <n v="505"/>
    <n v="134"/>
    <n v="34"/>
    <n v="45"/>
    <n v="213"/>
    <n v="101"/>
    <n v="15"/>
    <n v="54"/>
    <n v="170"/>
    <n v="105"/>
    <n v="20"/>
    <n v="70"/>
    <n v="195"/>
    <n v="130"/>
    <n v="29"/>
    <n v="29"/>
    <n v="188"/>
    <d v="2023-05-01T00:00:00"/>
    <x v="1"/>
    <n v="2"/>
    <x v="0"/>
    <n v="35"/>
    <n v="243"/>
    <n v="161"/>
    <n v="68"/>
    <n v="229"/>
    <n v="507"/>
    <n v="120"/>
    <n v="16"/>
    <n v="62"/>
    <n v="198"/>
    <n v="65"/>
    <n v="7"/>
    <n v="50"/>
    <n v="122"/>
    <n v="131"/>
    <n v="20"/>
    <n v="78"/>
    <n v="229"/>
    <n v="54"/>
    <n v="3"/>
    <n v="34"/>
    <n v="91"/>
  </r>
  <r>
    <x v="121"/>
    <x v="2"/>
    <n v="3"/>
    <x v="0"/>
    <n v="97"/>
    <n v="73"/>
    <n v="127"/>
    <n v="200"/>
    <n v="108"/>
    <n v="65"/>
    <n v="173"/>
    <n v="470"/>
    <n v="125"/>
    <n v="13"/>
    <n v="55"/>
    <n v="193"/>
    <n v="89"/>
    <n v="9"/>
    <n v="67"/>
    <n v="165"/>
    <n v="103"/>
    <n v="19"/>
    <n v="51"/>
    <n v="173"/>
    <n v="111"/>
    <n v="3"/>
    <n v="71"/>
    <n v="185"/>
    <d v="2023-05-02T00:00:00"/>
    <x v="2"/>
    <n v="4"/>
    <x v="0"/>
    <n v="32"/>
    <n v="253"/>
    <n v="134"/>
    <n v="78"/>
    <n v="212"/>
    <n v="497"/>
    <n v="93"/>
    <n v="13"/>
    <n v="62"/>
    <n v="168"/>
    <n v="42"/>
    <n v="1"/>
    <n v="44"/>
    <n v="87"/>
    <n v="105"/>
    <n v="10"/>
    <n v="97"/>
    <n v="212"/>
    <n v="30"/>
    <n v="4"/>
    <n v="9"/>
    <n v="43"/>
  </r>
  <r>
    <x v="122"/>
    <x v="3"/>
    <n v="3"/>
    <x v="0"/>
    <n v="101"/>
    <n v="75"/>
    <n v="71"/>
    <n v="146"/>
    <n v="127"/>
    <n v="76"/>
    <n v="203"/>
    <n v="450"/>
    <n v="143"/>
    <n v="9"/>
    <n v="51"/>
    <n v="203"/>
    <n v="124"/>
    <n v="11"/>
    <n v="78"/>
    <n v="213"/>
    <n v="132"/>
    <n v="8"/>
    <n v="64"/>
    <n v="204"/>
    <n v="135"/>
    <n v="12"/>
    <n v="65"/>
    <n v="212"/>
    <d v="2023-05-03T00:00:00"/>
    <x v="3"/>
    <n v="4"/>
    <x v="0"/>
    <n v="42"/>
    <n v="252"/>
    <n v="150"/>
    <n v="65"/>
    <n v="215"/>
    <n v="509"/>
    <m/>
    <m/>
    <m/>
    <n v="0"/>
    <m/>
    <m/>
    <m/>
    <n v="0"/>
    <n v="140"/>
    <n v="9"/>
    <n v="66"/>
    <n v="215"/>
    <n v="-140"/>
    <n v="-9"/>
    <n v="-66"/>
    <n v="-215"/>
  </r>
  <r>
    <x v="123"/>
    <x v="4"/>
    <n v="2"/>
    <x v="0"/>
    <n v="134"/>
    <n v="125"/>
    <n v="76"/>
    <n v="201"/>
    <n v="128"/>
    <n v="80"/>
    <n v="208"/>
    <n v="543"/>
    <n v="141"/>
    <n v="13"/>
    <n v="67"/>
    <n v="221"/>
    <n v="132"/>
    <n v="12"/>
    <n v="39"/>
    <n v="183"/>
    <n v="135"/>
    <n v="19"/>
    <n v="54"/>
    <n v="208"/>
    <n v="138"/>
    <n v="6"/>
    <n v="52"/>
    <n v="196"/>
    <d v="2023-05-04T00:00:00"/>
    <x v="4"/>
    <n v="1"/>
    <x v="0"/>
    <n v="41"/>
    <n v="204"/>
    <n v="123"/>
    <n v="66"/>
    <n v="189"/>
    <n v="434"/>
    <n v="103"/>
    <n v="8"/>
    <n v="43"/>
    <n v="154"/>
    <n v="87"/>
    <n v="5"/>
    <n v="20"/>
    <n v="112"/>
    <n v="132"/>
    <n v="11"/>
    <n v="46"/>
    <n v="189"/>
    <n v="58"/>
    <n v="2"/>
    <n v="17"/>
    <n v="77"/>
  </r>
  <r>
    <x v="124"/>
    <x v="5"/>
    <n v="2"/>
    <x v="0"/>
    <n v="111"/>
    <n v="84"/>
    <n v="114"/>
    <n v="198"/>
    <n v="120"/>
    <n v="84"/>
    <n v="204"/>
    <n v="513"/>
    <n v="115"/>
    <n v="8"/>
    <n v="75"/>
    <n v="198"/>
    <n v="121"/>
    <n v="17"/>
    <n v="52"/>
    <n v="190"/>
    <n v="98"/>
    <n v="19"/>
    <n v="75"/>
    <n v="192"/>
    <n v="138"/>
    <n v="6"/>
    <n v="52"/>
    <n v="196"/>
    <d v="2023-05-05T00:00:00"/>
    <x v="5"/>
    <n v="1"/>
    <x v="0"/>
    <n v="40"/>
    <n v="240"/>
    <n v="133"/>
    <n v="68"/>
    <n v="201"/>
    <n v="481"/>
    <n v="100"/>
    <n v="12"/>
    <n v="50"/>
    <n v="162"/>
    <n v="90"/>
    <n v="3"/>
    <n v="25"/>
    <n v="118"/>
    <n v="128"/>
    <n v="13"/>
    <n v="60"/>
    <n v="201"/>
    <n v="62"/>
    <n v="2"/>
    <n v="15"/>
    <n v="79"/>
  </r>
  <r>
    <x v="125"/>
    <x v="6"/>
    <n v="4"/>
    <x v="0"/>
    <n v="137"/>
    <n v="67"/>
    <n v="103"/>
    <n v="170"/>
    <n v="138"/>
    <n v="78"/>
    <n v="216"/>
    <n v="523"/>
    <n v="143"/>
    <n v="19"/>
    <n v="53"/>
    <n v="215"/>
    <n v="110"/>
    <n v="18"/>
    <n v="60"/>
    <n v="188"/>
    <n v="130"/>
    <n v="14"/>
    <n v="72"/>
    <n v="216"/>
    <n v="123"/>
    <n v="23"/>
    <n v="41"/>
    <n v="187"/>
    <d v="2023-05-06T00:00:00"/>
    <x v="6"/>
    <n v="3"/>
    <x v="0"/>
    <n v="40"/>
    <n v="284"/>
    <n v="135"/>
    <n v="71"/>
    <n v="206"/>
    <n v="530"/>
    <n v="121"/>
    <n v="9"/>
    <n v="59"/>
    <n v="189"/>
    <n v="80"/>
    <n v="5"/>
    <n v="46"/>
    <n v="131"/>
    <n v="149"/>
    <n v="13"/>
    <n v="44"/>
    <n v="206"/>
    <n v="52"/>
    <n v="1"/>
    <n v="61"/>
    <n v="114"/>
  </r>
  <r>
    <x v="126"/>
    <x v="0"/>
    <n v="4"/>
    <x v="0"/>
    <n v="148"/>
    <n v="104"/>
    <n v="114"/>
    <n v="218"/>
    <n v="147"/>
    <n v="81"/>
    <n v="228"/>
    <n v="594"/>
    <n v="127"/>
    <n v="18"/>
    <n v="56"/>
    <n v="201"/>
    <n v="109"/>
    <n v="16"/>
    <n v="58"/>
    <n v="183"/>
    <n v="130"/>
    <n v="17"/>
    <n v="81"/>
    <n v="228"/>
    <n v="106"/>
    <n v="17"/>
    <n v="33"/>
    <n v="156"/>
    <d v="2023-05-07T00:00:00"/>
    <x v="0"/>
    <n v="3"/>
    <x v="0"/>
    <n v="41"/>
    <n v="218"/>
    <n v="152"/>
    <n v="58"/>
    <n v="210"/>
    <n v="469"/>
    <n v="116"/>
    <n v="15"/>
    <n v="69"/>
    <n v="200"/>
    <n v="64"/>
    <n v="8"/>
    <n v="42"/>
    <n v="114"/>
    <n v="135"/>
    <n v="17"/>
    <n v="58"/>
    <n v="210"/>
    <n v="45"/>
    <n v="6"/>
    <n v="53"/>
    <n v="104"/>
  </r>
  <r>
    <x v="127"/>
    <x v="1"/>
    <n v="1"/>
    <x v="0"/>
    <n v="118"/>
    <n v="125"/>
    <n v="73"/>
    <n v="198"/>
    <n v="130"/>
    <n v="72"/>
    <n v="202"/>
    <n v="518"/>
    <n v="113"/>
    <n v="18"/>
    <n v="60"/>
    <n v="191"/>
    <n v="104"/>
    <n v="19"/>
    <n v="54"/>
    <n v="177"/>
    <n v="104"/>
    <n v="21"/>
    <n v="77"/>
    <n v="202"/>
    <n v="113"/>
    <n v="16"/>
    <n v="37"/>
    <n v="166"/>
    <d v="2023-05-08T00:00:00"/>
    <x v="1"/>
    <n v="2"/>
    <x v="0"/>
    <n v="42"/>
    <n v="219"/>
    <n v="141"/>
    <n v="63"/>
    <n v="204"/>
    <n v="465"/>
    <n v="117"/>
    <n v="10"/>
    <n v="47"/>
    <n v="174"/>
    <n v="71"/>
    <n v="8"/>
    <n v="24"/>
    <n v="103"/>
    <n v="137"/>
    <n v="16"/>
    <n v="51"/>
    <n v="204"/>
    <n v="51"/>
    <n v="2"/>
    <n v="20"/>
    <n v="73"/>
  </r>
  <r>
    <x v="128"/>
    <x v="2"/>
    <n v="1"/>
    <x v="0"/>
    <n v="96"/>
    <n v="88"/>
    <n v="62"/>
    <n v="150"/>
    <n v="136"/>
    <n v="51"/>
    <n v="187"/>
    <n v="433"/>
    <n v="113"/>
    <n v="22"/>
    <n v="60"/>
    <n v="195"/>
    <n v="104"/>
    <n v="15"/>
    <n v="54"/>
    <n v="173"/>
    <n v="98"/>
    <n v="25"/>
    <n v="64"/>
    <n v="187"/>
    <n v="119"/>
    <n v="12"/>
    <n v="50"/>
    <n v="181"/>
    <d v="2023-05-09T00:00:00"/>
    <x v="2"/>
    <n v="2"/>
    <x v="0"/>
    <n v="45"/>
    <n v="233"/>
    <n v="133"/>
    <n v="43"/>
    <n v="176"/>
    <n v="454"/>
    <n v="115"/>
    <n v="10"/>
    <n v="40"/>
    <n v="165"/>
    <n v="36"/>
    <n v="4"/>
    <n v="24"/>
    <n v="64"/>
    <n v="109"/>
    <n v="14"/>
    <n v="53"/>
    <n v="176"/>
    <n v="42"/>
    <n v="0"/>
    <n v="11"/>
    <n v="53"/>
  </r>
  <r>
    <x v="129"/>
    <x v="3"/>
    <n v="3"/>
    <x v="0"/>
    <n v="88"/>
    <n v="91"/>
    <n v="81"/>
    <n v="172"/>
    <n v="108"/>
    <n v="62"/>
    <n v="170"/>
    <n v="430"/>
    <n v="127"/>
    <n v="18"/>
    <n v="45"/>
    <n v="190"/>
    <n v="131"/>
    <n v="22"/>
    <n v="31"/>
    <n v="184"/>
    <n v="108"/>
    <n v="20"/>
    <n v="42"/>
    <n v="170"/>
    <n v="150"/>
    <n v="20"/>
    <n v="34"/>
    <n v="204"/>
    <d v="2023-05-10T00:00:00"/>
    <x v="3"/>
    <n v="4"/>
    <x v="0"/>
    <n v="47"/>
    <n v="274"/>
    <n v="161"/>
    <n v="69"/>
    <n v="230"/>
    <n v="551"/>
    <n v="143"/>
    <n v="9"/>
    <n v="24"/>
    <n v="176"/>
    <n v="88"/>
    <n v="2"/>
    <n v="24"/>
    <n v="114"/>
    <n v="166"/>
    <n v="11"/>
    <n v="53"/>
    <n v="230"/>
    <n v="65"/>
    <n v="0"/>
    <n v="-5"/>
    <n v="60"/>
  </r>
  <r>
    <x v="130"/>
    <x v="4"/>
    <n v="3"/>
    <x v="0"/>
    <n v="134"/>
    <n v="105"/>
    <n v="79"/>
    <n v="184"/>
    <n v="156"/>
    <n v="47"/>
    <n v="203"/>
    <n v="521"/>
    <n v="158"/>
    <n v="15"/>
    <n v="87"/>
    <n v="260"/>
    <n v="100"/>
    <n v="6"/>
    <n v="29"/>
    <n v="135"/>
    <n v="112"/>
    <n v="16"/>
    <n v="75"/>
    <n v="203"/>
    <n v="146"/>
    <n v="5"/>
    <n v="41"/>
    <n v="192"/>
    <d v="2023-05-11T00:00:00"/>
    <x v="4"/>
    <n v="4"/>
    <x v="0"/>
    <n v="68"/>
    <n v="301"/>
    <n v="148"/>
    <n v="55"/>
    <n v="203"/>
    <n v="572"/>
    <n v="128"/>
    <n v="5"/>
    <n v="62"/>
    <n v="195"/>
    <n v="74"/>
    <n v="6"/>
    <n v="15"/>
    <n v="95"/>
    <n v="131"/>
    <n v="12"/>
    <n v="60"/>
    <n v="203"/>
    <n v="71"/>
    <n v="-1"/>
    <n v="17"/>
    <n v="87"/>
  </r>
  <r>
    <x v="131"/>
    <x v="5"/>
    <n v="2"/>
    <x v="0"/>
    <n v="136"/>
    <n v="77"/>
    <n v="97"/>
    <n v="174"/>
    <n v="158"/>
    <n v="57"/>
    <n v="215"/>
    <n v="525"/>
    <n v="164"/>
    <n v="15"/>
    <n v="81"/>
    <n v="260"/>
    <n v="112"/>
    <n v="13"/>
    <n v="67"/>
    <n v="192"/>
    <n v="134"/>
    <n v="20"/>
    <n v="61"/>
    <n v="215"/>
    <n v="142"/>
    <n v="8"/>
    <n v="87"/>
    <n v="237"/>
    <d v="2023-05-12T00:00:00"/>
    <x v="5"/>
    <n v="1"/>
    <x v="0"/>
    <n v="64"/>
    <n v="225"/>
    <n v="121"/>
    <n v="42"/>
    <n v="163"/>
    <n v="452"/>
    <n v="117"/>
    <n v="8"/>
    <n v="43"/>
    <n v="168"/>
    <n v="59"/>
    <n v="8"/>
    <n v="30"/>
    <n v="97"/>
    <n v="102"/>
    <n v="13"/>
    <n v="48"/>
    <n v="163"/>
    <n v="74"/>
    <n v="3"/>
    <n v="25"/>
    <n v="102"/>
  </r>
  <r>
    <x v="132"/>
    <x v="6"/>
    <n v="2"/>
    <x v="0"/>
    <n v="165"/>
    <n v="96"/>
    <n v="92"/>
    <n v="188"/>
    <n v="139"/>
    <n v="79"/>
    <n v="218"/>
    <n v="571"/>
    <n v="166"/>
    <n v="31"/>
    <n v="89"/>
    <n v="286"/>
    <n v="135"/>
    <n v="17"/>
    <n v="78"/>
    <n v="230"/>
    <n v="118"/>
    <n v="20"/>
    <n v="80"/>
    <n v="218"/>
    <n v="183"/>
    <n v="28"/>
    <n v="87"/>
    <n v="298"/>
    <d v="2023-05-13T00:00:00"/>
    <x v="6"/>
    <n v="1"/>
    <x v="0"/>
    <n v="57"/>
    <n v="317"/>
    <n v="160"/>
    <n v="41"/>
    <n v="201"/>
    <n v="575"/>
    <n v="111"/>
    <n v="6"/>
    <n v="43"/>
    <n v="160"/>
    <n v="93"/>
    <n v="16"/>
    <n v="68"/>
    <n v="177"/>
    <n v="111"/>
    <n v="6"/>
    <n v="43"/>
    <n v="160"/>
    <n v="93"/>
    <n v="16"/>
    <n v="68"/>
    <n v="177"/>
  </r>
  <r>
    <x v="133"/>
    <x v="0"/>
    <n v="4"/>
    <x v="0"/>
    <n v="189"/>
    <n v="105"/>
    <n v="98"/>
    <n v="203"/>
    <n v="151"/>
    <n v="54"/>
    <n v="205"/>
    <n v="597"/>
    <n v="185"/>
    <n v="25"/>
    <n v="52"/>
    <n v="262"/>
    <n v="119"/>
    <n v="23"/>
    <n v="47"/>
    <n v="189"/>
    <n v="134"/>
    <n v="19"/>
    <n v="52"/>
    <n v="205"/>
    <n v="170"/>
    <n v="29"/>
    <n v="47"/>
    <n v="246"/>
    <d v="2023-05-14T00:00:00"/>
    <x v="0"/>
    <n v="3"/>
    <x v="0"/>
    <n v="75"/>
    <n v="300"/>
    <n v="147"/>
    <n v="56"/>
    <n v="203"/>
    <n v="578"/>
    <n v="152"/>
    <n v="17"/>
    <n v="48"/>
    <n v="217"/>
    <n v="99"/>
    <n v="8"/>
    <n v="30"/>
    <n v="137"/>
    <n v="158"/>
    <n v="13"/>
    <n v="32"/>
    <n v="203"/>
    <n v="93"/>
    <n v="12"/>
    <n v="46"/>
    <n v="151"/>
  </r>
  <r>
    <x v="134"/>
    <x v="1"/>
    <n v="4"/>
    <x v="0"/>
    <n v="178"/>
    <n v="93"/>
    <n v="108"/>
    <n v="201"/>
    <n v="158"/>
    <n v="57"/>
    <n v="215"/>
    <n v="594"/>
    <n v="164"/>
    <n v="29"/>
    <n v="66"/>
    <n v="259"/>
    <n v="107"/>
    <n v="15"/>
    <n v="44"/>
    <n v="166"/>
    <n v="117"/>
    <n v="29"/>
    <n v="69"/>
    <n v="215"/>
    <n v="154"/>
    <n v="15"/>
    <n v="41"/>
    <n v="210"/>
    <d v="2023-05-15T00:00:00"/>
    <x v="1"/>
    <n v="3"/>
    <x v="0"/>
    <n v="37"/>
    <n v="255"/>
    <n v="166"/>
    <n v="93"/>
    <n v="259"/>
    <n v="551"/>
    <n v="141"/>
    <n v="12"/>
    <n v="55"/>
    <n v="208"/>
    <n v="72"/>
    <n v="5"/>
    <n v="54"/>
    <n v="131"/>
    <n v="168"/>
    <n v="14"/>
    <n v="77"/>
    <n v="259"/>
    <n v="45"/>
    <n v="3"/>
    <n v="32"/>
    <n v="80"/>
  </r>
  <r>
    <x v="135"/>
    <x v="2"/>
    <n v="1"/>
    <x v="0"/>
    <n v="94"/>
    <n v="81"/>
    <n v="85"/>
    <n v="166"/>
    <n v="135"/>
    <n v="75"/>
    <n v="210"/>
    <n v="470"/>
    <n v="142"/>
    <n v="13"/>
    <n v="58"/>
    <n v="213"/>
    <n v="109"/>
    <n v="19"/>
    <n v="55"/>
    <n v="183"/>
    <n v="122"/>
    <n v="15"/>
    <n v="73"/>
    <n v="210"/>
    <n v="129"/>
    <n v="17"/>
    <n v="40"/>
    <n v="186"/>
    <d v="2023-05-16T00:00:00"/>
    <x v="2"/>
    <n v="2"/>
    <x v="0"/>
    <n v="35"/>
    <n v="249"/>
    <n v="133"/>
    <n v="68"/>
    <n v="201"/>
    <n v="485"/>
    <n v="107"/>
    <n v="11"/>
    <n v="55"/>
    <n v="173"/>
    <n v="64"/>
    <n v="7"/>
    <n v="37"/>
    <n v="108"/>
    <n v="127"/>
    <n v="11"/>
    <n v="63"/>
    <n v="201"/>
    <n v="44"/>
    <n v="7"/>
    <n v="29"/>
    <n v="80"/>
  </r>
  <r>
    <x v="136"/>
    <x v="3"/>
    <n v="1"/>
    <x v="0"/>
    <n v="117"/>
    <n v="92"/>
    <n v="80"/>
    <n v="172"/>
    <n v="149"/>
    <n v="75"/>
    <n v="224"/>
    <n v="513"/>
    <n v="182"/>
    <n v="29"/>
    <n v="79"/>
    <n v="290"/>
    <n v="138"/>
    <n v="25"/>
    <n v="53"/>
    <n v="216"/>
    <n v="122"/>
    <n v="26"/>
    <n v="83"/>
    <n v="231"/>
    <n v="198"/>
    <n v="28"/>
    <n v="49"/>
    <n v="275"/>
    <d v="2023-05-17T00:00:00"/>
    <x v="3"/>
    <n v="2"/>
    <x v="0"/>
    <n v="48"/>
    <n v="354"/>
    <n v="177"/>
    <n v="44"/>
    <n v="221"/>
    <n v="623"/>
    <n v="155"/>
    <n v="15"/>
    <n v="68"/>
    <n v="238"/>
    <n v="70"/>
    <n v="6"/>
    <n v="42"/>
    <n v="118"/>
    <n v="144"/>
    <n v="12"/>
    <n v="65"/>
    <n v="221"/>
    <n v="81"/>
    <n v="9"/>
    <n v="45"/>
    <n v="135"/>
  </r>
  <r>
    <x v="137"/>
    <x v="4"/>
    <n v="3"/>
    <x v="0"/>
    <n v="154"/>
    <n v="67"/>
    <n v="99"/>
    <n v="166"/>
    <n v="119"/>
    <n v="58"/>
    <n v="177"/>
    <n v="497"/>
    <n v="138"/>
    <n v="22"/>
    <n v="50"/>
    <n v="210"/>
    <n v="116"/>
    <n v="15"/>
    <n v="71"/>
    <n v="202"/>
    <n v="105"/>
    <n v="27"/>
    <n v="48"/>
    <n v="180"/>
    <n v="149"/>
    <n v="10"/>
    <n v="73"/>
    <n v="232"/>
    <d v="2023-05-18T00:00:00"/>
    <x v="4"/>
    <n v="4"/>
    <x v="0"/>
    <n v="81"/>
    <n v="301"/>
    <n v="143"/>
    <n v="72"/>
    <n v="215"/>
    <n v="597"/>
    <n v="128"/>
    <n v="13"/>
    <n v="32"/>
    <n v="173"/>
    <n v="69"/>
    <n v="5"/>
    <n v="32"/>
    <n v="106"/>
    <n v="132"/>
    <n v="17"/>
    <n v="66"/>
    <n v="215"/>
    <n v="65"/>
    <n v="1"/>
    <n v="-2"/>
    <n v="64"/>
  </r>
  <r>
    <x v="138"/>
    <x v="5"/>
    <n v="3"/>
    <x v="0"/>
    <n v="144"/>
    <n v="99"/>
    <n v="100"/>
    <n v="199"/>
    <n v="124"/>
    <n v="66"/>
    <n v="190"/>
    <n v="533"/>
    <n v="138"/>
    <n v="17"/>
    <n v="56"/>
    <n v="211"/>
    <n v="117"/>
    <n v="15"/>
    <n v="65"/>
    <n v="197"/>
    <n v="110"/>
    <n v="17"/>
    <n v="63"/>
    <n v="190"/>
    <n v="145"/>
    <n v="15"/>
    <n v="58"/>
    <n v="218"/>
    <d v="2023-05-19T00:00:00"/>
    <x v="5"/>
    <n v="4"/>
    <x v="0"/>
    <n v="88"/>
    <n v="305"/>
    <n v="135"/>
    <n v="95"/>
    <n v="230"/>
    <n v="623"/>
    <n v="114"/>
    <n v="14"/>
    <n v="40"/>
    <n v="168"/>
    <n v="104"/>
    <n v="4"/>
    <n v="39"/>
    <n v="147"/>
    <n v="140"/>
    <n v="15"/>
    <n v="75"/>
    <n v="230"/>
    <n v="78"/>
    <n v="3"/>
    <n v="4"/>
    <n v="85"/>
  </r>
  <r>
    <x v="139"/>
    <x v="6"/>
    <n v="2"/>
    <x v="0"/>
    <n v="168"/>
    <n v="85"/>
    <n v="88"/>
    <n v="173"/>
    <n v="151"/>
    <n v="78"/>
    <n v="229"/>
    <n v="570"/>
    <n v="162"/>
    <n v="24"/>
    <n v="101"/>
    <n v="287"/>
    <n v="122"/>
    <n v="18"/>
    <n v="62"/>
    <n v="202"/>
    <n v="130"/>
    <n v="24"/>
    <n v="75"/>
    <n v="229"/>
    <n v="154"/>
    <n v="18"/>
    <n v="88"/>
    <n v="260"/>
    <d v="2023-05-20T00:00:00"/>
    <x v="6"/>
    <n v="1"/>
    <x v="0"/>
    <n v="45"/>
    <n v="247"/>
    <n v="126"/>
    <n v="49"/>
    <n v="175"/>
    <n v="467"/>
    <n v="131"/>
    <n v="13"/>
    <n v="60"/>
    <n v="204"/>
    <n v="90"/>
    <n v="10"/>
    <n v="24"/>
    <n v="124"/>
    <n v="122"/>
    <n v="13"/>
    <n v="40"/>
    <n v="175"/>
    <n v="99"/>
    <n v="10"/>
    <n v="44"/>
    <n v="153"/>
  </r>
  <r>
    <x v="140"/>
    <x v="0"/>
    <n v="2"/>
    <x v="0"/>
    <n v="174"/>
    <n v="99"/>
    <n v="82"/>
    <n v="181"/>
    <n v="140"/>
    <n v="74"/>
    <n v="214"/>
    <n v="569"/>
    <n v="169"/>
    <n v="22"/>
    <n v="80"/>
    <n v="271"/>
    <n v="118"/>
    <n v="11"/>
    <n v="80"/>
    <n v="209"/>
    <n v="127"/>
    <n v="14"/>
    <n v="73"/>
    <n v="214"/>
    <n v="160"/>
    <n v="19"/>
    <n v="87"/>
    <n v="266"/>
    <d v="2023-05-21T00:00:00"/>
    <x v="0"/>
    <n v="1"/>
    <x v="0"/>
    <n v="61"/>
    <n v="265"/>
    <n v="172"/>
    <n v="78"/>
    <n v="250"/>
    <n v="576"/>
    <n v="149"/>
    <n v="12"/>
    <n v="72"/>
    <n v="233"/>
    <n v="94"/>
    <n v="10"/>
    <n v="51"/>
    <n v="155"/>
    <n v="175"/>
    <n v="11"/>
    <n v="64"/>
    <n v="250"/>
    <n v="68"/>
    <n v="11"/>
    <n v="59"/>
    <n v="138"/>
  </r>
  <r>
    <x v="141"/>
    <x v="1"/>
    <n v="4"/>
    <x v="0"/>
    <n v="187"/>
    <n v="80"/>
    <n v="84"/>
    <n v="164"/>
    <n v="148"/>
    <n v="57"/>
    <n v="205"/>
    <n v="556"/>
    <n v="156"/>
    <n v="29"/>
    <n v="71"/>
    <n v="256"/>
    <n v="100"/>
    <n v="10"/>
    <n v="45"/>
    <n v="155"/>
    <n v="136"/>
    <n v="18"/>
    <n v="51"/>
    <n v="205"/>
    <n v="120"/>
    <n v="21"/>
    <n v="65"/>
    <n v="206"/>
    <d v="2023-05-22T00:00:00"/>
    <x v="1"/>
    <n v="3"/>
    <x v="0"/>
    <n v="44"/>
    <n v="210"/>
    <n v="133"/>
    <n v="73"/>
    <n v="206"/>
    <n v="460"/>
    <n v="132"/>
    <n v="8"/>
    <n v="47"/>
    <n v="187"/>
    <n v="80"/>
    <n v="3"/>
    <n v="38"/>
    <n v="121"/>
    <n v="154"/>
    <n v="8"/>
    <n v="44"/>
    <n v="206"/>
    <n v="58"/>
    <n v="3"/>
    <n v="41"/>
    <n v="102"/>
  </r>
  <r>
    <x v="142"/>
    <x v="2"/>
    <n v="4"/>
    <x v="0"/>
    <n v="121"/>
    <n v="86"/>
    <n v="84"/>
    <n v="170"/>
    <n v="174"/>
    <n v="53"/>
    <n v="227"/>
    <n v="518"/>
    <n v="166"/>
    <n v="21"/>
    <n v="58"/>
    <n v="245"/>
    <n v="102"/>
    <n v="21"/>
    <n v="46"/>
    <n v="169"/>
    <n v="133"/>
    <n v="31"/>
    <n v="63"/>
    <n v="227"/>
    <n v="135"/>
    <n v="11"/>
    <n v="41"/>
    <n v="187"/>
    <d v="2023-05-23T00:00:00"/>
    <x v="2"/>
    <n v="3"/>
    <x v="0"/>
    <n v="44"/>
    <n v="204"/>
    <n v="168"/>
    <n v="65"/>
    <n v="233"/>
    <n v="481"/>
    <n v="144"/>
    <n v="14"/>
    <n v="61"/>
    <n v="219"/>
    <n v="82"/>
    <n v="9"/>
    <n v="30"/>
    <n v="121"/>
    <n v="158"/>
    <n v="15"/>
    <n v="60"/>
    <n v="233"/>
    <n v="68"/>
    <n v="8"/>
    <n v="31"/>
    <n v="107"/>
  </r>
  <r>
    <x v="143"/>
    <x v="3"/>
    <n v="1"/>
    <x v="0"/>
    <n v="130"/>
    <n v="76"/>
    <n v="77"/>
    <n v="153"/>
    <n v="153"/>
    <n v="75"/>
    <n v="228"/>
    <n v="511"/>
    <n v="138"/>
    <n v="18"/>
    <n v="81"/>
    <n v="237"/>
    <n v="123"/>
    <n v="25"/>
    <n v="52"/>
    <n v="200"/>
    <n v="121"/>
    <n v="26"/>
    <n v="81"/>
    <n v="228"/>
    <n v="140"/>
    <n v="17"/>
    <n v="52"/>
    <n v="209"/>
    <d v="2023-05-24T00:00:00"/>
    <x v="3"/>
    <n v="2"/>
    <x v="0"/>
    <n v="48"/>
    <n v="284"/>
    <n v="160"/>
    <n v="64"/>
    <n v="224"/>
    <n v="556"/>
    <n v="129"/>
    <n v="13"/>
    <n v="53"/>
    <n v="195"/>
    <n v="78"/>
    <n v="5"/>
    <n v="33"/>
    <n v="116"/>
    <n v="159"/>
    <n v="16"/>
    <n v="49"/>
    <n v="224"/>
    <n v="48"/>
    <n v="2"/>
    <n v="37"/>
    <n v="87"/>
  </r>
  <r>
    <x v="144"/>
    <x v="4"/>
    <n v="1"/>
    <x v="0"/>
    <n v="148"/>
    <n v="107"/>
    <n v="90"/>
    <n v="197"/>
    <n v="145"/>
    <n v="65"/>
    <n v="210"/>
    <n v="555"/>
    <n v="160"/>
    <n v="11"/>
    <n v="65"/>
    <n v="236"/>
    <n v="153"/>
    <n v="17"/>
    <n v="54"/>
    <n v="224"/>
    <n v="130"/>
    <n v="16"/>
    <n v="66"/>
    <n v="212"/>
    <n v="183"/>
    <n v="12"/>
    <n v="53"/>
    <n v="248"/>
    <d v="2023-05-25T00:00:00"/>
    <x v="4"/>
    <n v="2"/>
    <x v="0"/>
    <n v="56"/>
    <n v="341"/>
    <n v="122"/>
    <n v="64"/>
    <n v="186"/>
    <n v="583"/>
    <n v="119"/>
    <n v="5"/>
    <n v="48"/>
    <n v="172"/>
    <n v="79"/>
    <n v="7"/>
    <n v="48"/>
    <n v="134"/>
    <n v="141"/>
    <n v="8"/>
    <n v="37"/>
    <n v="186"/>
    <n v="57"/>
    <n v="4"/>
    <n v="59"/>
    <n v="120"/>
  </r>
  <r>
    <x v="145"/>
    <x v="5"/>
    <n v="3"/>
    <x v="0"/>
    <n v="132"/>
    <n v="71"/>
    <n v="115"/>
    <n v="186"/>
    <n v="121"/>
    <n v="75"/>
    <n v="196"/>
    <n v="514"/>
    <n v="146"/>
    <n v="17"/>
    <n v="71"/>
    <n v="234"/>
    <n v="134"/>
    <n v="14"/>
    <n v="69"/>
    <n v="217"/>
    <n v="122"/>
    <n v="20"/>
    <n v="54"/>
    <n v="196"/>
    <n v="158"/>
    <n v="11"/>
    <n v="86"/>
    <n v="255"/>
    <d v="2023-05-26T00:00:00"/>
    <x v="5"/>
    <n v="4"/>
    <x v="0"/>
    <n v="80"/>
    <n v="326"/>
    <n v="124"/>
    <n v="57"/>
    <n v="181"/>
    <n v="587"/>
    <n v="127"/>
    <n v="11"/>
    <n v="44"/>
    <n v="182"/>
    <n v="92"/>
    <n v="7"/>
    <n v="33"/>
    <n v="132"/>
    <n v="128"/>
    <n v="4"/>
    <n v="49"/>
    <n v="181"/>
    <n v="91"/>
    <n v="14"/>
    <n v="28"/>
    <n v="133"/>
  </r>
  <r>
    <x v="146"/>
    <x v="6"/>
    <n v="3"/>
    <x v="0"/>
    <n v="148"/>
    <n v="116"/>
    <n v="85"/>
    <n v="201"/>
    <n v="126"/>
    <n v="79"/>
    <n v="205"/>
    <n v="554"/>
    <n v="164"/>
    <n v="25"/>
    <n v="89"/>
    <n v="278"/>
    <n v="128"/>
    <n v="24"/>
    <n v="65"/>
    <n v="217"/>
    <n v="104"/>
    <n v="21"/>
    <n v="80"/>
    <n v="205"/>
    <n v="188"/>
    <n v="28"/>
    <n v="74"/>
    <n v="290"/>
    <d v="2023-05-27T00:00:00"/>
    <x v="6"/>
    <n v="4"/>
    <x v="0"/>
    <n v="96"/>
    <n v="367"/>
    <n v="136"/>
    <n v="30"/>
    <n v="166"/>
    <n v="629"/>
    <n v="143"/>
    <n v="12"/>
    <n v="58"/>
    <n v="213"/>
    <n v="85"/>
    <n v="7"/>
    <n v="17"/>
    <n v="109"/>
    <n v="117"/>
    <n v="8"/>
    <n v="41"/>
    <n v="166"/>
    <n v="111"/>
    <n v="11"/>
    <n v="34"/>
    <n v="156"/>
  </r>
  <r>
    <x v="147"/>
    <x v="0"/>
    <n v="2"/>
    <x v="0"/>
    <n v="195"/>
    <n v="108"/>
    <n v="93"/>
    <n v="201"/>
    <n v="134"/>
    <n v="96"/>
    <n v="230"/>
    <n v="626"/>
    <n v="179"/>
    <n v="28"/>
    <n v="114"/>
    <n v="321"/>
    <n v="129"/>
    <n v="16"/>
    <n v="79"/>
    <n v="224"/>
    <n v="116"/>
    <n v="21"/>
    <n v="93"/>
    <n v="230"/>
    <n v="192"/>
    <n v="23"/>
    <n v="100"/>
    <n v="315"/>
    <d v="2023-05-28T00:00:00"/>
    <x v="0"/>
    <n v="1"/>
    <x v="0"/>
    <n v="60"/>
    <n v="320"/>
    <n v="159"/>
    <n v="54"/>
    <n v="213"/>
    <n v="593"/>
    <n v="162"/>
    <n v="16"/>
    <n v="68"/>
    <n v="246"/>
    <n v="73"/>
    <n v="7"/>
    <n v="37"/>
    <n v="117"/>
    <n v="161"/>
    <n v="7"/>
    <n v="45"/>
    <n v="213"/>
    <n v="74"/>
    <n v="16"/>
    <n v="60"/>
    <n v="150"/>
  </r>
  <r>
    <x v="148"/>
    <x v="1"/>
    <n v="2"/>
    <x v="0"/>
    <n v="190"/>
    <n v="105"/>
    <n v="82"/>
    <n v="187"/>
    <n v="161"/>
    <n v="88"/>
    <n v="249"/>
    <n v="626"/>
    <n v="165"/>
    <n v="18"/>
    <n v="115"/>
    <n v="298"/>
    <n v="111"/>
    <n v="15"/>
    <n v="79"/>
    <n v="205"/>
    <n v="124"/>
    <n v="23"/>
    <n v="102"/>
    <n v="249"/>
    <n v="152"/>
    <n v="10"/>
    <n v="92"/>
    <n v="254"/>
    <d v="2023-05-29T00:00:00"/>
    <x v="1"/>
    <n v="1"/>
    <x v="0"/>
    <n v="54"/>
    <n v="268"/>
    <n v="136"/>
    <n v="54"/>
    <n v="190"/>
    <n v="512"/>
    <n v="130"/>
    <n v="10"/>
    <n v="54"/>
    <n v="194"/>
    <n v="70"/>
    <n v="7"/>
    <n v="14"/>
    <n v="91"/>
    <n v="130"/>
    <n v="13"/>
    <n v="47"/>
    <n v="190"/>
    <n v="70"/>
    <n v="4"/>
    <n v="21"/>
    <n v="95"/>
  </r>
  <r>
    <x v="149"/>
    <x v="2"/>
    <n v="4"/>
    <x v="0"/>
    <n v="151"/>
    <n v="87"/>
    <n v="90"/>
    <n v="177"/>
    <n v="146"/>
    <n v="56"/>
    <n v="202"/>
    <n v="530"/>
    <n v="147"/>
    <n v="25"/>
    <n v="93"/>
    <n v="265"/>
    <n v="96"/>
    <n v="13"/>
    <n v="50"/>
    <n v="159"/>
    <n v="105"/>
    <n v="13"/>
    <n v="84"/>
    <n v="202"/>
    <n v="138"/>
    <n v="25"/>
    <n v="59"/>
    <n v="222"/>
    <d v="2023-05-30T00:00:00"/>
    <x v="2"/>
    <n v="3"/>
    <x v="0"/>
    <n v="55"/>
    <n v="251"/>
    <n v="138"/>
    <n v="55"/>
    <n v="193"/>
    <n v="499"/>
    <n v="136"/>
    <n v="13"/>
    <n v="48"/>
    <n v="197"/>
    <n v="53"/>
    <n v="5"/>
    <n v="42"/>
    <n v="100"/>
    <n v="132"/>
    <n v="9"/>
    <n v="52"/>
    <n v="193"/>
    <n v="57"/>
    <n v="9"/>
    <n v="38"/>
    <n v="104"/>
  </r>
  <r>
    <x v="150"/>
    <x v="3"/>
    <n v="4"/>
    <x v="0"/>
    <n v="128"/>
    <n v="103"/>
    <n v="106"/>
    <n v="209"/>
    <n v="146"/>
    <n v="64"/>
    <n v="210"/>
    <n v="547"/>
    <n v="145"/>
    <n v="18"/>
    <n v="90"/>
    <n v="253"/>
    <n v="119"/>
    <n v="17"/>
    <n v="53"/>
    <n v="189"/>
    <n v="112"/>
    <n v="21"/>
    <n v="77"/>
    <n v="210"/>
    <n v="152"/>
    <n v="14"/>
    <n v="66"/>
    <n v="232"/>
    <d v="2023-05-31T00:00:00"/>
    <x v="3"/>
    <n v="3"/>
    <x v="0"/>
    <n v="57"/>
    <n v="280"/>
    <n v="129"/>
    <n v="54"/>
    <n v="183"/>
    <n v="520"/>
    <n v="114"/>
    <n v="12"/>
    <n v="58"/>
    <n v="184"/>
    <n v="76"/>
    <n v="11"/>
    <n v="27"/>
    <n v="114"/>
    <n v="127"/>
    <n v="13"/>
    <n v="43"/>
    <n v="183"/>
    <n v="63"/>
    <n v="10"/>
    <n v="42"/>
    <n v="115"/>
  </r>
  <r>
    <x v="151"/>
    <x v="4"/>
    <n v="1"/>
    <x v="0"/>
    <n v="159"/>
    <n v="113"/>
    <n v="90"/>
    <n v="203"/>
    <n v="147"/>
    <n v="44"/>
    <n v="191"/>
    <n v="553"/>
    <n v="196"/>
    <n v="15"/>
    <n v="70"/>
    <n v="281"/>
    <n v="122"/>
    <n v="11"/>
    <n v="65"/>
    <n v="198"/>
    <n v="109"/>
    <n v="16"/>
    <n v="66"/>
    <n v="191"/>
    <n v="209"/>
    <n v="10"/>
    <n v="69"/>
    <n v="288"/>
    <d v="2023-06-01T00:00:00"/>
    <x v="4"/>
    <n v="2"/>
    <x v="0"/>
    <n v="55"/>
    <n v="356"/>
    <n v="150"/>
    <n v="45"/>
    <n v="195"/>
    <n v="606"/>
    <n v="127"/>
    <n v="14"/>
    <n v="58"/>
    <n v="199"/>
    <n v="53"/>
    <n v="6"/>
    <n v="24"/>
    <n v="83"/>
    <n v="149"/>
    <n v="12"/>
    <n v="34"/>
    <n v="195"/>
    <n v="31"/>
    <n v="8"/>
    <n v="48"/>
    <n v="87"/>
  </r>
  <r>
    <x v="152"/>
    <x v="5"/>
    <n v="1"/>
    <x v="0"/>
    <n v="164"/>
    <n v="92"/>
    <n v="88"/>
    <n v="180"/>
    <n v="137"/>
    <n v="88"/>
    <n v="225"/>
    <n v="569"/>
    <n v="154"/>
    <n v="22"/>
    <n v="48"/>
    <n v="224"/>
    <n v="135"/>
    <n v="23"/>
    <n v="56"/>
    <n v="214"/>
    <n v="136"/>
    <n v="26"/>
    <n v="66"/>
    <n v="228"/>
    <n v="153"/>
    <n v="19"/>
    <n v="38"/>
    <n v="210"/>
    <d v="2023-06-02T00:00:00"/>
    <x v="5"/>
    <n v="2"/>
    <x v="0"/>
    <n v="70"/>
    <n v="296"/>
    <n v="138"/>
    <n v="46"/>
    <n v="184"/>
    <n v="550"/>
    <n v="131"/>
    <n v="9"/>
    <n v="53"/>
    <n v="193"/>
    <n v="92"/>
    <n v="3"/>
    <n v="21"/>
    <n v="116"/>
    <n v="140"/>
    <n v="11"/>
    <n v="33"/>
    <n v="184"/>
    <n v="83"/>
    <n v="1"/>
    <n v="41"/>
    <n v="125"/>
  </r>
  <r>
    <x v="153"/>
    <x v="6"/>
    <n v="3"/>
    <x v="0"/>
    <n v="157"/>
    <n v="97"/>
    <n v="102"/>
    <n v="199"/>
    <n v="131"/>
    <n v="68"/>
    <n v="199"/>
    <n v="555"/>
    <n v="163"/>
    <n v="19"/>
    <n v="56"/>
    <n v="238"/>
    <n v="117"/>
    <n v="15"/>
    <n v="62"/>
    <n v="194"/>
    <n v="117"/>
    <n v="7"/>
    <n v="75"/>
    <n v="199"/>
    <n v="163"/>
    <n v="27"/>
    <n v="43"/>
    <n v="233"/>
    <d v="2023-06-03T00:00:00"/>
    <x v="6"/>
    <n v="4"/>
    <x v="0"/>
    <n v="77"/>
    <n v="337"/>
    <n v="155"/>
    <n v="51"/>
    <n v="206"/>
    <n v="620"/>
    <n v="160"/>
    <n v="19"/>
    <n v="50"/>
    <n v="229"/>
    <n v="93"/>
    <n v="10"/>
    <n v="34"/>
    <n v="137"/>
    <n v="156"/>
    <n v="16"/>
    <n v="34"/>
    <n v="206"/>
    <n v="97"/>
    <n v="13"/>
    <n v="50"/>
    <n v="160"/>
  </r>
  <r>
    <x v="154"/>
    <x v="0"/>
    <n v="3"/>
    <x v="0"/>
    <n v="209"/>
    <n v="114"/>
    <n v="116"/>
    <n v="230"/>
    <n v="149"/>
    <n v="67"/>
    <n v="216"/>
    <n v="655"/>
    <n v="195"/>
    <n v="26"/>
    <n v="92"/>
    <n v="313"/>
    <n v="118"/>
    <n v="59"/>
    <n v="59"/>
    <n v="236"/>
    <n v="111"/>
    <n v="21"/>
    <n v="84"/>
    <n v="216"/>
    <n v="202"/>
    <n v="64"/>
    <n v="67"/>
    <n v="333"/>
    <d v="2023-06-04T00:00:00"/>
    <x v="0"/>
    <n v="4"/>
    <x v="0"/>
    <n v="96"/>
    <n v="387"/>
    <n v="135"/>
    <n v="30"/>
    <n v="165"/>
    <n v="648"/>
    <n v="132"/>
    <n v="16"/>
    <n v="51"/>
    <n v="199"/>
    <n v="70"/>
    <n v="5"/>
    <n v="25"/>
    <n v="100"/>
    <n v="126"/>
    <n v="13"/>
    <n v="26"/>
    <n v="165"/>
    <n v="76"/>
    <n v="8"/>
    <n v="50"/>
    <n v="134"/>
  </r>
  <r>
    <x v="155"/>
    <x v="1"/>
    <n v="2"/>
    <x v="0"/>
    <n v="175"/>
    <n v="104"/>
    <n v="90"/>
    <n v="194"/>
    <n v="156"/>
    <n v="78"/>
    <n v="234"/>
    <n v="603"/>
    <n v="174"/>
    <n v="17"/>
    <n v="98"/>
    <n v="289"/>
    <n v="111"/>
    <n v="18"/>
    <n v="92"/>
    <n v="221"/>
    <n v="129"/>
    <n v="21"/>
    <n v="84"/>
    <n v="234"/>
    <n v="156"/>
    <n v="14"/>
    <n v="106"/>
    <n v="276"/>
    <d v="2023-06-05T00:00:00"/>
    <x v="1"/>
    <n v="1"/>
    <x v="0"/>
    <n v="48"/>
    <n v="282"/>
    <n v="123"/>
    <n v="82"/>
    <n v="205"/>
    <n v="535"/>
    <n v="122"/>
    <n v="12"/>
    <n v="44"/>
    <n v="178"/>
    <n v="101"/>
    <n v="4"/>
    <n v="36"/>
    <n v="141"/>
    <n v="135"/>
    <n v="15"/>
    <n v="55"/>
    <n v="205"/>
    <n v="88"/>
    <n v="1"/>
    <n v="25"/>
    <n v="114"/>
  </r>
  <r>
    <x v="156"/>
    <x v="2"/>
    <n v="2"/>
    <x v="0"/>
    <n v="178"/>
    <n v="99"/>
    <n v="92"/>
    <n v="191"/>
    <n v="163"/>
    <n v="54"/>
    <n v="217"/>
    <n v="586"/>
    <n v="139"/>
    <n v="32"/>
    <n v="82"/>
    <n v="253"/>
    <n v="98"/>
    <n v="10"/>
    <n v="77"/>
    <n v="185"/>
    <n v="114"/>
    <n v="17"/>
    <n v="86"/>
    <n v="217"/>
    <n v="123"/>
    <n v="25"/>
    <n v="73"/>
    <n v="221"/>
    <d v="2023-06-06T00:00:00"/>
    <x v="2"/>
    <n v="1"/>
    <x v="0"/>
    <n v="45"/>
    <n v="256"/>
    <n v="138"/>
    <n v="48"/>
    <n v="186"/>
    <n v="487"/>
    <n v="119"/>
    <n v="11"/>
    <n v="45"/>
    <n v="175"/>
    <n v="58"/>
    <n v="7"/>
    <n v="24"/>
    <n v="89"/>
    <n v="115"/>
    <n v="18"/>
    <n v="53"/>
    <n v="186"/>
    <n v="62"/>
    <n v="0"/>
    <n v="16"/>
    <n v="78"/>
  </r>
  <r>
    <x v="157"/>
    <x v="3"/>
    <n v="4"/>
    <x v="0"/>
    <n v="157"/>
    <n v="111"/>
    <n v="85"/>
    <n v="196"/>
    <n v="155"/>
    <n v="93"/>
    <n v="248"/>
    <n v="601"/>
    <n v="150"/>
    <n v="18"/>
    <n v="55"/>
    <n v="223"/>
    <n v="127"/>
    <n v="15"/>
    <n v="86"/>
    <n v="228"/>
    <n v="126"/>
    <n v="11"/>
    <n v="111"/>
    <n v="248"/>
    <n v="151"/>
    <n v="22"/>
    <n v="30"/>
    <n v="203"/>
    <d v="2023-06-07T00:00:00"/>
    <x v="3"/>
    <n v="3"/>
    <x v="0"/>
    <n v="40"/>
    <n v="271"/>
    <n v="135"/>
    <n v="78"/>
    <n v="213"/>
    <n v="524"/>
    <n v="109"/>
    <n v="11"/>
    <n v="70"/>
    <n v="190"/>
    <n v="110"/>
    <n v="6"/>
    <n v="33"/>
    <n v="149"/>
    <n v="137"/>
    <n v="15"/>
    <n v="61"/>
    <n v="213"/>
    <n v="82"/>
    <n v="2"/>
    <n v="42"/>
    <n v="126"/>
  </r>
  <r>
    <x v="158"/>
    <x v="4"/>
    <n v="4"/>
    <x v="0"/>
    <n v="174"/>
    <n v="126"/>
    <n v="86"/>
    <n v="212"/>
    <n v="152"/>
    <n v="76"/>
    <n v="228"/>
    <n v="614"/>
    <n v="153"/>
    <n v="24"/>
    <n v="74"/>
    <n v="251"/>
    <n v="106"/>
    <n v="13"/>
    <n v="76"/>
    <n v="195"/>
    <n v="114"/>
    <n v="19"/>
    <n v="95"/>
    <n v="228"/>
    <n v="145"/>
    <n v="18"/>
    <n v="55"/>
    <n v="218"/>
    <d v="2023-06-08T00:00:00"/>
    <x v="4"/>
    <n v="3"/>
    <x v="0"/>
    <n v="62"/>
    <n v="265"/>
    <n v="129"/>
    <n v="57"/>
    <n v="186"/>
    <n v="513"/>
    <n v="113"/>
    <n v="15"/>
    <n v="51"/>
    <n v="179"/>
    <n v="80"/>
    <n v="15"/>
    <n v="30"/>
    <n v="125"/>
    <n v="124"/>
    <n v="17"/>
    <n v="45"/>
    <n v="186"/>
    <n v="69"/>
    <n v="13"/>
    <n v="36"/>
    <n v="118"/>
  </r>
  <r>
    <x v="159"/>
    <x v="5"/>
    <n v="1"/>
    <x v="0"/>
    <n v="146"/>
    <n v="110"/>
    <n v="85"/>
    <n v="195"/>
    <n v="124"/>
    <n v="75"/>
    <n v="199"/>
    <n v="540"/>
    <n v="151"/>
    <n v="10"/>
    <n v="67"/>
    <n v="228"/>
    <n v="133"/>
    <n v="18"/>
    <n v="35"/>
    <n v="186"/>
    <n v="113"/>
    <n v="19"/>
    <n v="70"/>
    <n v="202"/>
    <n v="171"/>
    <n v="9"/>
    <n v="32"/>
    <n v="212"/>
    <d v="2023-06-09T00:00:00"/>
    <x v="5"/>
    <n v="2"/>
    <x v="0"/>
    <n v="54"/>
    <n v="295"/>
    <n v="122"/>
    <n v="82"/>
    <n v="204"/>
    <n v="553"/>
    <n v="96"/>
    <n v="16"/>
    <n v="34"/>
    <n v="146"/>
    <n v="75"/>
    <n v="4"/>
    <n v="43"/>
    <n v="122"/>
    <n v="119"/>
    <n v="14"/>
    <n v="71"/>
    <n v="204"/>
    <n v="52"/>
    <n v="6"/>
    <n v="6"/>
    <n v="64"/>
  </r>
  <r>
    <x v="160"/>
    <x v="6"/>
    <n v="1"/>
    <x v="0"/>
    <n v="130"/>
    <n v="97"/>
    <n v="75"/>
    <n v="172"/>
    <n v="145"/>
    <n v="83"/>
    <n v="228"/>
    <n v="530"/>
    <n v="138"/>
    <n v="21"/>
    <n v="85"/>
    <n v="244"/>
    <n v="125"/>
    <n v="18"/>
    <n v="55"/>
    <n v="198"/>
    <n v="120"/>
    <n v="19"/>
    <n v="89"/>
    <n v="228"/>
    <n v="143"/>
    <n v="20"/>
    <n v="51"/>
    <n v="214"/>
    <d v="2023-06-10T00:00:00"/>
    <x v="6"/>
    <n v="2"/>
    <x v="0"/>
    <n v="52"/>
    <n v="299"/>
    <n v="151"/>
    <n v="59"/>
    <n v="210"/>
    <n v="561"/>
    <n v="128"/>
    <n v="16"/>
    <n v="40"/>
    <n v="184"/>
    <n v="75"/>
    <n v="8"/>
    <n v="44"/>
    <n v="127"/>
    <n v="137"/>
    <n v="20"/>
    <n v="53"/>
    <n v="210"/>
    <n v="66"/>
    <n v="4"/>
    <n v="31"/>
    <n v="101"/>
  </r>
  <r>
    <x v="161"/>
    <x v="0"/>
    <n v="3"/>
    <x v="0"/>
    <n v="121"/>
    <n v="93"/>
    <n v="93"/>
    <n v="186"/>
    <n v="130"/>
    <n v="60"/>
    <n v="190"/>
    <n v="497"/>
    <n v="189"/>
    <n v="22"/>
    <n v="75"/>
    <n v="286"/>
    <n v="97"/>
    <n v="14"/>
    <n v="54"/>
    <n v="165"/>
    <n v="99"/>
    <n v="19"/>
    <n v="72"/>
    <n v="190"/>
    <n v="187"/>
    <n v="17"/>
    <n v="57"/>
    <n v="261"/>
    <d v="2023-06-11T00:00:00"/>
    <x v="0"/>
    <n v="4"/>
    <x v="0"/>
    <n v="63"/>
    <n v="347"/>
    <n v="162"/>
    <n v="53"/>
    <n v="215"/>
    <n v="625"/>
    <n v="146"/>
    <n v="17"/>
    <n v="56"/>
    <n v="219"/>
    <n v="85"/>
    <n v="6"/>
    <n v="22"/>
    <n v="113"/>
    <n v="151"/>
    <n v="18"/>
    <n v="46"/>
    <n v="215"/>
    <n v="80"/>
    <n v="5"/>
    <n v="32"/>
    <n v="117"/>
  </r>
  <r>
    <x v="162"/>
    <x v="1"/>
    <n v="3"/>
    <x v="0"/>
    <n v="157"/>
    <n v="94"/>
    <n v="89"/>
    <n v="183"/>
    <n v="125"/>
    <n v="89"/>
    <n v="214"/>
    <n v="554"/>
    <n v="137"/>
    <n v="25"/>
    <n v="60"/>
    <n v="222"/>
    <n v="107"/>
    <n v="14"/>
    <n v="50"/>
    <n v="171"/>
    <n v="113"/>
    <n v="18"/>
    <n v="83"/>
    <n v="214"/>
    <n v="131"/>
    <n v="21"/>
    <n v="27"/>
    <n v="179"/>
    <d v="2023-06-12T00:00:00"/>
    <x v="1"/>
    <n v="4"/>
    <x v="0"/>
    <n v="65"/>
    <n v="264"/>
    <n v="155"/>
    <n v="54"/>
    <n v="209"/>
    <n v="538"/>
    <n v="144"/>
    <n v="12"/>
    <n v="47"/>
    <n v="203"/>
    <n v="99"/>
    <n v="1"/>
    <n v="11"/>
    <n v="111"/>
    <n v="144"/>
    <n v="10"/>
    <n v="55"/>
    <n v="209"/>
    <n v="99"/>
    <n v="3"/>
    <n v="3"/>
    <n v="105"/>
  </r>
  <r>
    <x v="163"/>
    <x v="2"/>
    <n v="2"/>
    <x v="0"/>
    <n v="118"/>
    <n v="90"/>
    <n v="90"/>
    <n v="180"/>
    <n v="144"/>
    <n v="58"/>
    <n v="202"/>
    <n v="500"/>
    <n v="131"/>
    <n v="22"/>
    <n v="78"/>
    <n v="231"/>
    <n v="93"/>
    <n v="21"/>
    <n v="37"/>
    <n v="151"/>
    <n v="97"/>
    <n v="21"/>
    <n v="84"/>
    <n v="202"/>
    <n v="127"/>
    <n v="22"/>
    <n v="31"/>
    <n v="180"/>
    <d v="2023-06-13T00:00:00"/>
    <x v="2"/>
    <n v="1"/>
    <x v="0"/>
    <n v="44"/>
    <n v="219"/>
    <n v="100"/>
    <n v="54"/>
    <n v="154"/>
    <n v="417"/>
    <n v="88"/>
    <n v="14"/>
    <n v="48"/>
    <n v="150"/>
    <n v="78"/>
    <n v="7"/>
    <n v="33"/>
    <n v="118"/>
    <n v="84"/>
    <n v="14"/>
    <n v="56"/>
    <n v="154"/>
    <n v="82"/>
    <n v="7"/>
    <n v="25"/>
    <n v="114"/>
  </r>
  <r>
    <x v="164"/>
    <x v="3"/>
    <n v="2"/>
    <x v="0"/>
    <n v="137"/>
    <n v="72"/>
    <n v="79"/>
    <n v="151"/>
    <n v="152"/>
    <n v="66"/>
    <n v="218"/>
    <n v="506"/>
    <n v="132"/>
    <n v="18"/>
    <n v="60"/>
    <n v="210"/>
    <n v="108"/>
    <n v="16"/>
    <n v="65"/>
    <n v="189"/>
    <n v="110"/>
    <n v="21"/>
    <n v="87"/>
    <n v="218"/>
    <n v="130"/>
    <n v="13"/>
    <n v="38"/>
    <n v="181"/>
    <d v="2023-06-14T00:00:00"/>
    <x v="3"/>
    <n v="1"/>
    <x v="0"/>
    <n v="53"/>
    <n v="267"/>
    <n v="129"/>
    <n v="42"/>
    <n v="171"/>
    <n v="491"/>
    <n v="120"/>
    <n v="21"/>
    <n v="58"/>
    <n v="199"/>
    <n v="84"/>
    <n v="14"/>
    <n v="23"/>
    <n v="121"/>
    <n v="112"/>
    <n v="10"/>
    <n v="49"/>
    <n v="171"/>
    <n v="92"/>
    <n v="25"/>
    <n v="32"/>
    <n v="149"/>
  </r>
  <r>
    <x v="165"/>
    <x v="4"/>
    <n v="4"/>
    <x v="0"/>
    <n v="202"/>
    <n v="86"/>
    <n v="98"/>
    <n v="184"/>
    <n v="142"/>
    <n v="48"/>
    <n v="190"/>
    <n v="576"/>
    <n v="146"/>
    <n v="23"/>
    <n v="75"/>
    <n v="244"/>
    <n v="96"/>
    <n v="22"/>
    <n v="53"/>
    <n v="171"/>
    <n v="104"/>
    <n v="20"/>
    <n v="66"/>
    <n v="190"/>
    <n v="138"/>
    <n v="25"/>
    <n v="62"/>
    <n v="225"/>
    <d v="2023-06-15T00:00:00"/>
    <x v="4"/>
    <n v="3"/>
    <x v="0"/>
    <n v="72"/>
    <n v="280"/>
    <n v="115"/>
    <n v="63"/>
    <n v="178"/>
    <n v="530"/>
    <n v="108"/>
    <n v="19"/>
    <n v="36"/>
    <n v="163"/>
    <n v="83"/>
    <n v="6"/>
    <n v="35"/>
    <n v="124"/>
    <n v="121"/>
    <n v="13"/>
    <n v="44"/>
    <n v="178"/>
    <n v="70"/>
    <n v="12"/>
    <n v="27"/>
    <n v="109"/>
  </r>
  <r>
    <x v="166"/>
    <x v="5"/>
    <n v="4"/>
    <x v="0"/>
    <n v="171"/>
    <n v="99"/>
    <n v="97"/>
    <n v="196"/>
    <n v="166"/>
    <n v="59"/>
    <n v="225"/>
    <n v="592"/>
    <n v="141"/>
    <n v="24"/>
    <n v="69"/>
    <n v="234"/>
    <n v="128"/>
    <n v="14"/>
    <n v="50"/>
    <n v="192"/>
    <n v="121"/>
    <n v="23"/>
    <n v="81"/>
    <n v="225"/>
    <n v="148"/>
    <n v="15"/>
    <n v="38"/>
    <n v="201"/>
    <d v="2023-06-16T00:00:00"/>
    <x v="5"/>
    <n v="3"/>
    <x v="0"/>
    <n v="68"/>
    <n v="258"/>
    <n v="137"/>
    <n v="61"/>
    <n v="198"/>
    <n v="524"/>
    <n v="117"/>
    <n v="19"/>
    <n v="55"/>
    <n v="191"/>
    <n v="77"/>
    <n v="7"/>
    <n v="36"/>
    <n v="120"/>
    <n v="126"/>
    <n v="21"/>
    <n v="51"/>
    <n v="198"/>
    <n v="68"/>
    <n v="5"/>
    <n v="40"/>
    <n v="113"/>
  </r>
  <r>
    <x v="167"/>
    <x v="6"/>
    <n v="1"/>
    <x v="0"/>
    <n v="142"/>
    <n v="111"/>
    <n v="65"/>
    <n v="176"/>
    <n v="124"/>
    <n v="64"/>
    <n v="188"/>
    <n v="506"/>
    <n v="132"/>
    <n v="16"/>
    <n v="64"/>
    <n v="212"/>
    <n v="134"/>
    <n v="17"/>
    <n v="52"/>
    <n v="203"/>
    <n v="93"/>
    <n v="19"/>
    <n v="76"/>
    <n v="188"/>
    <n v="173"/>
    <n v="14"/>
    <n v="40"/>
    <n v="227"/>
    <d v="2023-06-17T00:00:00"/>
    <x v="6"/>
    <n v="2"/>
    <x v="0"/>
    <n v="52"/>
    <n v="280"/>
    <n v="130"/>
    <n v="64"/>
    <n v="194"/>
    <n v="526"/>
    <n v="117"/>
    <n v="8"/>
    <n v="50"/>
    <n v="175"/>
    <n v="84"/>
    <n v="7"/>
    <n v="33"/>
    <n v="124"/>
    <n v="128"/>
    <n v="14"/>
    <n v="52"/>
    <n v="194"/>
    <n v="73"/>
    <n v="1"/>
    <n v="31"/>
    <n v="105"/>
  </r>
  <r>
    <x v="168"/>
    <x v="0"/>
    <n v="1"/>
    <x v="0"/>
    <n v="179"/>
    <n v="120"/>
    <n v="80"/>
    <n v="200"/>
    <n v="145"/>
    <n v="74"/>
    <n v="219"/>
    <n v="598"/>
    <n v="153"/>
    <n v="11"/>
    <n v="69"/>
    <n v="233"/>
    <n v="124"/>
    <n v="13"/>
    <n v="52"/>
    <n v="189"/>
    <n v="108"/>
    <n v="21"/>
    <n v="90"/>
    <n v="219"/>
    <n v="169"/>
    <n v="3"/>
    <n v="31"/>
    <n v="203"/>
    <d v="2023-06-18T00:00:00"/>
    <x v="0"/>
    <n v="2"/>
    <x v="0"/>
    <n v="45"/>
    <n v="262"/>
    <n v="143"/>
    <n v="80"/>
    <n v="223"/>
    <n v="530"/>
    <n v="150"/>
    <n v="11"/>
    <n v="40"/>
    <n v="201"/>
    <n v="84"/>
    <n v="3"/>
    <n v="39"/>
    <n v="126"/>
    <n v="158"/>
    <n v="11"/>
    <n v="54"/>
    <n v="223"/>
    <n v="76"/>
    <n v="3"/>
    <n v="25"/>
    <n v="104"/>
  </r>
  <r>
    <x v="169"/>
    <x v="1"/>
    <n v="3"/>
    <x v="0"/>
    <n v="126"/>
    <n v="94"/>
    <n v="91"/>
    <n v="185"/>
    <n v="152"/>
    <n v="73"/>
    <n v="225"/>
    <n v="536"/>
    <n v="179"/>
    <n v="25"/>
    <n v="73"/>
    <n v="277"/>
    <n v="106"/>
    <n v="20"/>
    <n v="41"/>
    <n v="167"/>
    <n v="131"/>
    <n v="19"/>
    <n v="75"/>
    <n v="225"/>
    <n v="154"/>
    <n v="26"/>
    <n v="39"/>
    <n v="219"/>
    <d v="2023-06-19T00:00:00"/>
    <x v="1"/>
    <n v="4"/>
    <x v="0"/>
    <n v="65"/>
    <n v="320"/>
    <n v="147"/>
    <n v="73"/>
    <n v="220"/>
    <n v="605"/>
    <n v="129"/>
    <n v="13"/>
    <n v="43"/>
    <n v="185"/>
    <n v="77"/>
    <n v="8"/>
    <n v="20"/>
    <n v="105"/>
    <n v="159"/>
    <n v="14"/>
    <n v="47"/>
    <n v="220"/>
    <n v="47"/>
    <n v="7"/>
    <n v="16"/>
    <n v="70"/>
  </r>
  <r>
    <x v="170"/>
    <x v="2"/>
    <n v="3"/>
    <x v="0"/>
    <n v="146"/>
    <n v="72"/>
    <n v="95"/>
    <n v="167"/>
    <n v="146"/>
    <n v="75"/>
    <n v="221"/>
    <n v="534"/>
    <n v="157"/>
    <n v="20"/>
    <n v="77"/>
    <n v="254"/>
    <n v="97"/>
    <n v="16"/>
    <n v="61"/>
    <n v="174"/>
    <n v="124"/>
    <n v="14"/>
    <n v="83"/>
    <n v="221"/>
    <n v="130"/>
    <n v="22"/>
    <n v="55"/>
    <n v="207"/>
    <d v="2023-06-20T00:00:00"/>
    <x v="2"/>
    <n v="4"/>
    <x v="0"/>
    <n v="65"/>
    <n v="261"/>
    <n v="122"/>
    <n v="69"/>
    <n v="191"/>
    <n v="517"/>
    <n v="115"/>
    <n v="8"/>
    <n v="32"/>
    <n v="155"/>
    <n v="72"/>
    <n v="8"/>
    <n v="26"/>
    <n v="106"/>
    <n v="129"/>
    <n v="18"/>
    <n v="44"/>
    <n v="191"/>
    <n v="58"/>
    <n v="-2"/>
    <n v="14"/>
    <n v="70"/>
  </r>
  <r>
    <x v="171"/>
    <x v="3"/>
    <n v="2"/>
    <x v="0"/>
    <n v="134"/>
    <n v="100"/>
    <n v="56"/>
    <n v="156"/>
    <n v="146"/>
    <n v="73"/>
    <n v="219"/>
    <n v="509"/>
    <n v="131"/>
    <n v="18"/>
    <n v="80"/>
    <n v="229"/>
    <n v="117"/>
    <n v="18"/>
    <n v="72"/>
    <n v="207"/>
    <n v="109"/>
    <n v="26"/>
    <n v="84"/>
    <n v="219"/>
    <n v="139"/>
    <n v="10"/>
    <n v="68"/>
    <n v="217"/>
    <d v="2023-06-21T00:00:00"/>
    <x v="3"/>
    <n v="1"/>
    <x v="0"/>
    <n v="48"/>
    <n v="268"/>
    <n v="139"/>
    <n v="32"/>
    <n v="171"/>
    <n v="487"/>
    <n v="141"/>
    <n v="12"/>
    <n v="65"/>
    <n v="218"/>
    <n v="90"/>
    <n v="6"/>
    <n v="38"/>
    <n v="134"/>
    <n v="126"/>
    <n v="8"/>
    <n v="37"/>
    <n v="171"/>
    <n v="105"/>
    <n v="10"/>
    <n v="66"/>
    <n v="181"/>
  </r>
  <r>
    <x v="172"/>
    <x v="4"/>
    <n v="2"/>
    <x v="0"/>
    <n v="206"/>
    <n v="111"/>
    <n v="84"/>
    <n v="195"/>
    <n v="160"/>
    <n v="51"/>
    <n v="211"/>
    <n v="612"/>
    <n v="170"/>
    <n v="25"/>
    <n v="61"/>
    <n v="256"/>
    <n v="119"/>
    <n v="21"/>
    <n v="55"/>
    <n v="195"/>
    <n v="115"/>
    <n v="11"/>
    <n v="85"/>
    <n v="211"/>
    <n v="174"/>
    <n v="35"/>
    <n v="31"/>
    <n v="240"/>
    <d v="2023-06-22T00:00:00"/>
    <x v="4"/>
    <n v="1"/>
    <x v="0"/>
    <n v="79"/>
    <n v="302"/>
    <n v="136"/>
    <n v="29"/>
    <n v="165"/>
    <n v="546"/>
    <n v="122"/>
    <n v="11"/>
    <n v="47"/>
    <n v="180"/>
    <n v="94"/>
    <n v="9"/>
    <n v="25"/>
    <n v="128"/>
    <n v="115"/>
    <n v="13"/>
    <n v="37"/>
    <n v="165"/>
    <n v="101"/>
    <n v="7"/>
    <n v="35"/>
    <n v="143"/>
  </r>
  <r>
    <x v="173"/>
    <x v="5"/>
    <n v="4"/>
    <x v="0"/>
    <n v="201"/>
    <n v="86"/>
    <n v="89"/>
    <n v="175"/>
    <n v="146"/>
    <n v="55"/>
    <n v="201"/>
    <n v="577"/>
    <n v="188"/>
    <n v="34"/>
    <n v="76"/>
    <n v="298"/>
    <n v="130"/>
    <n v="18"/>
    <n v="50"/>
    <n v="198"/>
    <n v="126"/>
    <n v="19"/>
    <n v="56"/>
    <n v="201"/>
    <n v="192"/>
    <n v="33"/>
    <n v="70"/>
    <n v="295"/>
    <d v="2023-06-23T00:00:00"/>
    <x v="5"/>
    <n v="3"/>
    <x v="0"/>
    <n v="75"/>
    <n v="348"/>
    <n v="131"/>
    <n v="50"/>
    <n v="181"/>
    <n v="604"/>
    <n v="130"/>
    <n v="16"/>
    <n v="62"/>
    <n v="208"/>
    <n v="98"/>
    <n v="6"/>
    <n v="27"/>
    <n v="131"/>
    <n v="131"/>
    <n v="12"/>
    <n v="38"/>
    <n v="181"/>
    <n v="97"/>
    <n v="10"/>
    <n v="51"/>
    <n v="158"/>
  </r>
  <r>
    <x v="174"/>
    <x v="6"/>
    <n v="4"/>
    <x v="0"/>
    <n v="201"/>
    <n v="104"/>
    <n v="107"/>
    <n v="211"/>
    <n v="167"/>
    <n v="56"/>
    <n v="223"/>
    <n v="635"/>
    <n v="188"/>
    <n v="23"/>
    <n v="74"/>
    <n v="285"/>
    <n v="129"/>
    <n v="19"/>
    <n v="58"/>
    <n v="206"/>
    <n v="148"/>
    <n v="13"/>
    <n v="62"/>
    <n v="223"/>
    <n v="169"/>
    <n v="29"/>
    <n v="70"/>
    <n v="268"/>
    <d v="2023-06-24T00:00:00"/>
    <x v="6"/>
    <n v="3"/>
    <x v="0"/>
    <n v="42"/>
    <n v="318"/>
    <n v="131"/>
    <n v="55"/>
    <n v="186"/>
    <n v="546"/>
    <n v="127"/>
    <n v="14"/>
    <n v="52"/>
    <n v="193"/>
    <n v="81"/>
    <n v="11"/>
    <n v="31"/>
    <n v="123"/>
    <n v="142"/>
    <n v="8"/>
    <n v="36"/>
    <n v="186"/>
    <n v="66"/>
    <n v="17"/>
    <n v="47"/>
    <n v="130"/>
  </r>
  <r>
    <x v="175"/>
    <x v="0"/>
    <n v="1"/>
    <x v="0"/>
    <n v="163"/>
    <n v="104"/>
    <n v="80"/>
    <n v="184"/>
    <n v="146"/>
    <n v="45"/>
    <n v="191"/>
    <n v="538"/>
    <n v="191"/>
    <n v="31"/>
    <n v="37"/>
    <n v="259"/>
    <n v="114"/>
    <n v="23"/>
    <n v="35"/>
    <n v="172"/>
    <n v="131"/>
    <n v="14"/>
    <n v="46"/>
    <n v="191"/>
    <n v="174"/>
    <n v="40"/>
    <n v="26"/>
    <n v="240"/>
    <d v="2023-06-25T00:00:00"/>
    <x v="0"/>
    <n v="2"/>
    <x v="0"/>
    <n v="37"/>
    <n v="289"/>
    <n v="146"/>
    <n v="57"/>
    <n v="203"/>
    <n v="529"/>
    <n v="135"/>
    <n v="16"/>
    <n v="30"/>
    <n v="181"/>
    <n v="90"/>
    <n v="10"/>
    <n v="19"/>
    <n v="119"/>
    <n v="136"/>
    <n v="30"/>
    <n v="37"/>
    <n v="203"/>
    <n v="89"/>
    <n v="-4"/>
    <n v="12"/>
    <n v="97"/>
  </r>
  <r>
    <x v="176"/>
    <x v="1"/>
    <n v="1"/>
    <x v="0"/>
    <n v="130"/>
    <n v="69"/>
    <n v="74"/>
    <n v="143"/>
    <n v="148"/>
    <n v="74"/>
    <n v="222"/>
    <n v="495"/>
    <n v="162"/>
    <n v="17"/>
    <n v="44"/>
    <n v="223"/>
    <n v="113"/>
    <n v="33"/>
    <n v="25"/>
    <n v="171"/>
    <n v="141"/>
    <n v="19"/>
    <n v="62"/>
    <n v="222"/>
    <n v="134"/>
    <n v="31"/>
    <n v="7"/>
    <n v="172"/>
    <d v="2023-06-26T00:00:00"/>
    <x v="1"/>
    <n v="2"/>
    <x v="0"/>
    <n v="44"/>
    <n v="231"/>
    <n v="169"/>
    <n v="60"/>
    <n v="229"/>
    <n v="504"/>
    <n v="155"/>
    <n v="19"/>
    <n v="33"/>
    <n v="207"/>
    <n v="72"/>
    <n v="10"/>
    <n v="22"/>
    <n v="104"/>
    <n v="156"/>
    <n v="29"/>
    <n v="44"/>
    <n v="229"/>
    <n v="71"/>
    <n v="0"/>
    <n v="11"/>
    <n v="82"/>
  </r>
  <r>
    <x v="177"/>
    <x v="2"/>
    <n v="3"/>
    <x v="0"/>
    <n v="103"/>
    <n v="81"/>
    <n v="83"/>
    <n v="164"/>
    <n v="143"/>
    <n v="70"/>
    <n v="213"/>
    <n v="480"/>
    <n v="150"/>
    <n v="23"/>
    <n v="51"/>
    <n v="224"/>
    <n v="95"/>
    <n v="18"/>
    <n v="47"/>
    <n v="160"/>
    <n v="123"/>
    <n v="23"/>
    <n v="67"/>
    <n v="213"/>
    <n v="122"/>
    <n v="18"/>
    <n v="31"/>
    <n v="171"/>
    <d v="2023-06-27T00:00:00"/>
    <x v="2"/>
    <n v="4"/>
    <x v="0"/>
    <n v="37"/>
    <n v="249"/>
    <n v="144"/>
    <n v="59"/>
    <n v="203"/>
    <n v="489"/>
    <n v="132"/>
    <n v="15"/>
    <n v="33"/>
    <n v="180"/>
    <n v="57"/>
    <n v="8"/>
    <n v="23"/>
    <n v="88"/>
    <n v="140"/>
    <n v="18"/>
    <n v="45"/>
    <n v="203"/>
    <n v="49"/>
    <n v="5"/>
    <n v="11"/>
    <n v="65"/>
  </r>
  <r>
    <x v="178"/>
    <x v="3"/>
    <n v="3"/>
    <x v="0"/>
    <n v="113"/>
    <n v="90"/>
    <n v="77"/>
    <n v="167"/>
    <n v="135"/>
    <n v="84"/>
    <n v="219"/>
    <n v="499"/>
    <n v="161"/>
    <n v="22"/>
    <n v="60"/>
    <n v="243"/>
    <n v="120"/>
    <n v="15"/>
    <n v="55"/>
    <n v="190"/>
    <n v="114"/>
    <n v="23"/>
    <n v="82"/>
    <n v="219"/>
    <n v="167"/>
    <n v="14"/>
    <n v="33"/>
    <n v="214"/>
    <d v="2023-06-28T00:00:00"/>
    <x v="3"/>
    <n v="4"/>
    <x v="0"/>
    <n v="38"/>
    <n v="270"/>
    <n v="168"/>
    <n v="52"/>
    <n v="220"/>
    <n v="528"/>
    <n v="130"/>
    <n v="9"/>
    <n v="49"/>
    <n v="188"/>
    <n v="69"/>
    <n v="5"/>
    <n v="16"/>
    <n v="90"/>
    <n v="154"/>
    <n v="12"/>
    <n v="54"/>
    <n v="220"/>
    <n v="45"/>
    <n v="2"/>
    <n v="11"/>
    <n v="58"/>
  </r>
  <r>
    <x v="179"/>
    <x v="4"/>
    <n v="2"/>
    <x v="0"/>
    <n v="142"/>
    <n v="137"/>
    <n v="88"/>
    <n v="225"/>
    <n v="195"/>
    <n v="50"/>
    <n v="245"/>
    <n v="612"/>
    <n v="191"/>
    <n v="22"/>
    <n v="85"/>
    <n v="298"/>
    <n v="137"/>
    <n v="16"/>
    <n v="55"/>
    <n v="208"/>
    <n v="148"/>
    <n v="19"/>
    <n v="78"/>
    <n v="245"/>
    <n v="180"/>
    <n v="19"/>
    <n v="62"/>
    <n v="261"/>
    <d v="2023-06-29T00:00:00"/>
    <x v="4"/>
    <n v="1"/>
    <x v="0"/>
    <n v="48"/>
    <n v="320"/>
    <n v="166"/>
    <n v="42"/>
    <n v="208"/>
    <n v="576"/>
    <n v="143"/>
    <n v="6"/>
    <n v="61"/>
    <n v="210"/>
    <n v="69"/>
    <n v="5"/>
    <n v="24"/>
    <n v="98"/>
    <n v="128"/>
    <n v="4"/>
    <n v="76"/>
    <n v="208"/>
    <n v="84"/>
    <n v="7"/>
    <n v="9"/>
    <n v="100"/>
  </r>
  <r>
    <x v="180"/>
    <x v="5"/>
    <n v="2"/>
    <x v="0"/>
    <n v="106"/>
    <n v="74"/>
    <n v="74"/>
    <n v="148"/>
    <n v="156"/>
    <n v="81"/>
    <n v="237"/>
    <n v="491"/>
    <n v="166"/>
    <n v="17"/>
    <n v="60"/>
    <n v="243"/>
    <n v="115"/>
    <n v="15"/>
    <n v="60"/>
    <n v="190"/>
    <n v="144"/>
    <n v="16"/>
    <n v="77"/>
    <n v="237"/>
    <n v="137"/>
    <n v="16"/>
    <n v="43"/>
    <n v="196"/>
    <d v="2023-06-30T00:00:00"/>
    <x v="5"/>
    <n v="1"/>
    <x v="0"/>
    <n v="43"/>
    <n v="247"/>
    <n v="148"/>
    <n v="44"/>
    <n v="192"/>
    <n v="482"/>
    <n v="125"/>
    <n v="20"/>
    <n v="39"/>
    <n v="184"/>
    <n v="83"/>
    <n v="7"/>
    <n v="18"/>
    <n v="108"/>
    <n v="131"/>
    <n v="16"/>
    <n v="45"/>
    <n v="192"/>
    <n v="77"/>
    <n v="11"/>
    <n v="12"/>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8" minRefreshableVersion="3" useAutoFormatting="1" itemPrintTitles="1" createdVersion="5" indent="0" compact="0" compactData="0" gridDropZones="1" multipleFieldFilters="0">
  <location ref="A4:D7" firstHeaderRow="1" firstDataRow="2" firstDataCol="1" rowPageCount="1" colPageCount="1"/>
  <pivotFields count="54">
    <pivotField compact="0" numFmtId="15" outline="0" showAll="0" defaultSubtota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s>
    </pivotField>
    <pivotField axis="axisPage" compact="0" outline="0" multipleItemSelectionAllowed="1" showAll="0">
      <items count="8">
        <item h="1" x="0"/>
        <item h="1" x="1"/>
        <item h="1" x="2"/>
        <item h="1" x="3"/>
        <item h="1" x="4"/>
        <item x="5"/>
        <item h="1" x="6"/>
        <item t="default"/>
      </items>
    </pivotField>
    <pivotField compact="0" outline="0" showAll="0"/>
    <pivotField axis="axisRow" compact="0" outline="0" showAll="0" defaultSubtotal="0">
      <items count="1">
        <item x="0"/>
      </items>
    </pivotField>
    <pivotField dataField="1"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2">
    <i>
      <x/>
    </i>
    <i t="grand">
      <x/>
    </i>
  </rowItems>
  <colFields count="1">
    <field x="-2"/>
  </colFields>
  <colItems count="3">
    <i>
      <x/>
    </i>
    <i i="1">
      <x v="1"/>
    </i>
    <i i="2">
      <x v="2"/>
    </i>
  </colItems>
  <pageFields count="1">
    <pageField fld="1" hier="-1"/>
  </pageFields>
  <dataFields count="3">
    <dataField name="Average of Peak A/F" fld="4" subtotal="average" baseField="3" baseItem="0"/>
    <dataField name="Average of Early Morning Total" fld="7" subtotal="average" baseField="3" baseItem="0"/>
    <dataField name="Average of Total Advance" fld="10" subtotal="average" baseField="3" baseItem="0"/>
  </dataFields>
  <formats count="8">
    <format dxfId="336">
      <pivotArea outline="0" collapsedLevelsAreSubtotals="1" fieldPosition="0"/>
    </format>
    <format dxfId="335">
      <pivotArea outline="0" collapsedLevelsAreSubtotals="1" fieldPosition="0"/>
    </format>
    <format dxfId="334">
      <pivotArea outline="0" collapsedLevelsAreSubtotals="1" fieldPosition="0"/>
    </format>
    <format dxfId="333">
      <pivotArea type="all" dataOnly="0" outline="0" fieldPosition="0"/>
    </format>
    <format dxfId="332">
      <pivotArea outline="0" collapsedLevelsAreSubtotals="1" fieldPosition="0"/>
    </format>
    <format dxfId="331">
      <pivotArea dataOnly="0" labelOnly="1" outline="0" fieldPosition="0">
        <references count="1">
          <reference field="3" count="0"/>
        </references>
      </pivotArea>
    </format>
    <format dxfId="330">
      <pivotArea dataOnly="0" labelOnly="1" grandRow="1" outline="0" fieldPosition="0"/>
    </format>
    <format dxfId="32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5" firstHeaderRow="0" firstDataRow="1" firstDataCol="1" rowPageCount="1" colPageCount="1"/>
  <pivotFields count="54">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axis="axisPage" multipleItemSelectionAllowed="1" showAll="0">
      <items count="8">
        <item x="0"/>
        <item h="1" x="1"/>
        <item h="1" x="2"/>
        <item h="1" x="3"/>
        <item h="1" x="4"/>
        <item h="1" x="5"/>
        <item h="1" x="6"/>
        <item t="default"/>
      </items>
    </pivotField>
    <pivotField showAll="0"/>
    <pivotField axis="axisRow" showAll="0">
      <items count="2">
        <item x="0"/>
        <item t="default"/>
      </items>
    </pivotField>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1"/>
  </rowFields>
  <rowItems count="2">
    <i>
      <x/>
    </i>
    <i t="grand">
      <x/>
    </i>
  </rowItems>
  <colFields count="1">
    <field x="-2"/>
  </colFields>
  <colItems count="3">
    <i>
      <x/>
    </i>
    <i i="1">
      <x v="1"/>
    </i>
    <i i="2">
      <x v="2"/>
    </i>
  </colItems>
  <pageFields count="1">
    <pageField fld="29" hier="-1"/>
  </pageFields>
  <dataFields count="3">
    <dataField name="Average of Peak E/M" fld="32" subtotal="average" baseField="31" baseItem="0"/>
    <dataField name="Average of Late Morning" fld="33" subtotal="average" baseField="31" baseItem="0"/>
    <dataField name="Average of Total Advance2" fld="36" subtotal="average" baseField="31" baseItem="0"/>
  </dataFields>
  <formats count="9">
    <format dxfId="328">
      <pivotArea outline="0" collapsedLevelsAreSubtotals="1" fieldPosition="0"/>
    </format>
    <format dxfId="327">
      <pivotArea outline="0" collapsedLevelsAreSubtotals="1" fieldPosition="0"/>
    </format>
    <format dxfId="326">
      <pivotArea outline="0" collapsedLevelsAreSubtotals="1" fieldPosition="0"/>
    </format>
    <format dxfId="325">
      <pivotArea type="all" dataOnly="0" outline="0" fieldPosition="0"/>
    </format>
    <format dxfId="324">
      <pivotArea outline="0" collapsedLevelsAreSubtotals="1" fieldPosition="0"/>
    </format>
    <format dxfId="323">
      <pivotArea field="31" type="button" dataOnly="0" labelOnly="1" outline="0" axis="axisRow" fieldPosition="0"/>
    </format>
    <format dxfId="322">
      <pivotArea dataOnly="0" labelOnly="1" fieldPosition="0">
        <references count="1">
          <reference field="31" count="0"/>
        </references>
      </pivotArea>
    </format>
    <format dxfId="321">
      <pivotArea dataOnly="0" labelOnly="1" grandRow="1" outline="0" fieldPosition="0"/>
    </format>
    <format dxfId="32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352"/>
  <sheetViews>
    <sheetView zoomScale="60" zoomScaleNormal="60" zoomScaleSheetLayoutView="1" workbookViewId="0">
      <selection activeCell="O20" sqref="O20:P20"/>
    </sheetView>
  </sheetViews>
  <sheetFormatPr defaultRowHeight="38.25" customHeight="1" x14ac:dyDescent="0.2"/>
  <cols>
    <col min="1" max="1" width="5.7109375" bestFit="1" customWidth="1"/>
    <col min="2" max="2" width="28" customWidth="1"/>
    <col min="3" max="3" width="11.85546875" customWidth="1"/>
    <col min="4" max="4" width="20.85546875" customWidth="1"/>
    <col min="5" max="5" width="29.42578125" customWidth="1"/>
    <col min="6" max="6" width="9" customWidth="1"/>
    <col min="7" max="7" width="14.42578125" bestFit="1" customWidth="1"/>
    <col min="8" max="8" width="11.5703125" bestFit="1" customWidth="1"/>
    <col min="9" max="9" width="12" bestFit="1" customWidth="1"/>
    <col min="10" max="10" width="8.28515625" bestFit="1" customWidth="1"/>
    <col min="11" max="11" width="14.42578125" bestFit="1" customWidth="1"/>
    <col min="12" max="12" width="12.140625" customWidth="1"/>
    <col min="13" max="13" width="12" customWidth="1"/>
    <col min="14" max="14" width="8.28515625" bestFit="1" customWidth="1"/>
    <col min="15" max="15" width="26.85546875" bestFit="1" customWidth="1"/>
    <col min="16" max="16" width="23.140625" bestFit="1" customWidth="1"/>
    <col min="17" max="17" width="8.42578125" bestFit="1" customWidth="1"/>
    <col min="18" max="18" width="31" customWidth="1"/>
    <col min="19" max="19" width="11.85546875" bestFit="1" customWidth="1"/>
    <col min="20" max="20" width="11.42578125" customWidth="1"/>
    <col min="21" max="21" width="10.7109375" customWidth="1"/>
    <col min="22" max="22" width="20.85546875" customWidth="1"/>
    <col min="23" max="23" width="16.5703125" bestFit="1" customWidth="1"/>
    <col min="24" max="24" width="9" customWidth="1"/>
    <col min="25" max="25" width="10.7109375" customWidth="1"/>
  </cols>
  <sheetData>
    <row r="1" spans="1:25" ht="38.25" customHeight="1" x14ac:dyDescent="0.2">
      <c r="A1" s="378" t="s">
        <v>0</v>
      </c>
      <c r="B1" s="378"/>
      <c r="C1" s="378"/>
      <c r="D1" s="378"/>
      <c r="E1" s="378"/>
      <c r="F1" s="378"/>
      <c r="G1" s="378"/>
      <c r="H1" s="378"/>
      <c r="I1" s="378"/>
      <c r="J1" s="378"/>
      <c r="K1" s="378"/>
      <c r="L1" s="378"/>
      <c r="M1" s="378"/>
      <c r="N1" s="378"/>
      <c r="O1" s="378"/>
      <c r="P1" s="378"/>
      <c r="Q1" s="378"/>
      <c r="R1" s="378"/>
      <c r="S1" s="378"/>
      <c r="T1" s="378"/>
      <c r="U1" s="378"/>
      <c r="V1" s="378"/>
      <c r="W1" s="378"/>
      <c r="X1" s="378"/>
      <c r="Y1" s="378"/>
    </row>
    <row r="2" spans="1:25" ht="38.25" customHeight="1" x14ac:dyDescent="0.2">
      <c r="A2" s="379"/>
      <c r="B2" s="380"/>
      <c r="C2" s="380"/>
      <c r="D2" s="380"/>
      <c r="E2" s="380"/>
      <c r="F2" s="380"/>
      <c r="G2" s="380"/>
      <c r="H2" s="380"/>
      <c r="I2" s="380"/>
      <c r="J2" s="380"/>
      <c r="K2" s="380"/>
      <c r="L2" s="379"/>
      <c r="M2" s="380"/>
      <c r="N2" s="380"/>
      <c r="O2" s="380"/>
      <c r="P2" s="380"/>
      <c r="Q2" s="380"/>
      <c r="R2" s="380"/>
      <c r="S2" s="380"/>
      <c r="T2" s="380"/>
      <c r="U2" s="380"/>
      <c r="V2" s="380"/>
      <c r="W2" s="380"/>
      <c r="X2" s="380"/>
      <c r="Y2" s="381"/>
    </row>
    <row r="3" spans="1:25" ht="38.25" customHeight="1" x14ac:dyDescent="0.2">
      <c r="A3" s="388" t="s">
        <v>1</v>
      </c>
      <c r="B3" s="389"/>
      <c r="C3" s="389"/>
      <c r="D3" s="389"/>
      <c r="E3" s="389"/>
      <c r="F3" s="389"/>
      <c r="G3" s="389"/>
      <c r="H3" s="389"/>
      <c r="I3" s="389"/>
      <c r="J3" s="389"/>
      <c r="K3" s="389"/>
      <c r="L3" s="382"/>
      <c r="M3" s="383"/>
      <c r="N3" s="383"/>
      <c r="O3" s="383"/>
      <c r="P3" s="383"/>
      <c r="Q3" s="383"/>
      <c r="R3" s="383"/>
      <c r="S3" s="383"/>
      <c r="T3" s="383"/>
      <c r="U3" s="383"/>
      <c r="V3" s="383"/>
      <c r="W3" s="383"/>
      <c r="X3" s="383"/>
      <c r="Y3" s="384"/>
    </row>
    <row r="4" spans="1:25" ht="38.25" customHeight="1" x14ac:dyDescent="0.2">
      <c r="A4" s="4"/>
      <c r="B4" s="5"/>
      <c r="C4" s="5"/>
      <c r="D4" s="5"/>
      <c r="E4" s="5"/>
      <c r="F4" s="5"/>
      <c r="G4" s="5"/>
      <c r="H4" s="5"/>
      <c r="I4" s="5"/>
      <c r="J4" s="5"/>
      <c r="K4" s="5"/>
      <c r="L4" s="382"/>
      <c r="M4" s="383"/>
      <c r="N4" s="383"/>
      <c r="O4" s="383"/>
      <c r="P4" s="383"/>
      <c r="Q4" s="383"/>
      <c r="R4" s="383"/>
      <c r="S4" s="383"/>
      <c r="T4" s="383"/>
      <c r="U4" s="383"/>
      <c r="V4" s="383"/>
      <c r="W4" s="383"/>
      <c r="X4" s="383"/>
      <c r="Y4" s="384"/>
    </row>
    <row r="5" spans="1:25" ht="38.25" customHeight="1" x14ac:dyDescent="0.2">
      <c r="A5" s="390"/>
      <c r="B5" s="391"/>
      <c r="C5" s="391"/>
      <c r="D5" s="5"/>
      <c r="E5" s="391"/>
      <c r="F5" s="391"/>
      <c r="G5" s="5"/>
      <c r="H5" s="5"/>
      <c r="I5" s="5"/>
      <c r="J5" s="5"/>
      <c r="K5" s="5"/>
      <c r="L5" s="382"/>
      <c r="M5" s="383"/>
      <c r="N5" s="383"/>
      <c r="O5" s="383"/>
      <c r="P5" s="383"/>
      <c r="Q5" s="383"/>
      <c r="R5" s="383"/>
      <c r="S5" s="383"/>
      <c r="T5" s="383"/>
      <c r="U5" s="383"/>
      <c r="V5" s="383"/>
      <c r="W5" s="383"/>
      <c r="X5" s="383"/>
      <c r="Y5" s="384"/>
    </row>
    <row r="6" spans="1:25" ht="38.25" customHeight="1" x14ac:dyDescent="0.2">
      <c r="A6" s="392" t="s">
        <v>2</v>
      </c>
      <c r="B6" s="393"/>
      <c r="C6" s="393"/>
      <c r="D6" s="6"/>
      <c r="E6" s="393" t="s">
        <v>3</v>
      </c>
      <c r="F6" s="394"/>
      <c r="G6" s="395"/>
      <c r="H6" s="395"/>
      <c r="I6" s="394" t="s">
        <v>4</v>
      </c>
      <c r="J6" s="394"/>
      <c r="K6" s="394"/>
      <c r="L6" s="385"/>
      <c r="M6" s="386"/>
      <c r="N6" s="386"/>
      <c r="O6" s="386"/>
      <c r="P6" s="386"/>
      <c r="Q6" s="386"/>
      <c r="R6" s="386"/>
      <c r="S6" s="386"/>
      <c r="T6" s="386"/>
      <c r="U6" s="386"/>
      <c r="V6" s="386"/>
      <c r="W6" s="386"/>
      <c r="X6" s="386"/>
      <c r="Y6" s="387"/>
    </row>
    <row r="7" spans="1:25" ht="38.25" customHeight="1" x14ac:dyDescent="0.2">
      <c r="A7" s="396" t="s">
        <v>5</v>
      </c>
      <c r="B7" s="397"/>
      <c r="C7" s="397"/>
      <c r="D7" s="397"/>
      <c r="E7" s="398"/>
      <c r="F7" s="402" t="s">
        <v>6</v>
      </c>
      <c r="G7" s="403"/>
      <c r="H7" s="403"/>
      <c r="I7" s="403"/>
      <c r="J7" s="403"/>
      <c r="K7" s="403"/>
      <c r="L7" s="403"/>
      <c r="M7" s="403"/>
      <c r="N7" s="404"/>
      <c r="O7" s="405" t="s">
        <v>7</v>
      </c>
      <c r="P7" s="406"/>
      <c r="Q7" s="406"/>
      <c r="R7" s="406"/>
      <c r="S7" s="406"/>
      <c r="T7" s="406"/>
      <c r="U7" s="406"/>
      <c r="V7" s="406"/>
      <c r="W7" s="406"/>
      <c r="X7" s="406"/>
      <c r="Y7" s="407"/>
    </row>
    <row r="8" spans="1:25" ht="38.25" customHeight="1" x14ac:dyDescent="0.2">
      <c r="A8" s="399"/>
      <c r="B8" s="400"/>
      <c r="C8" s="400"/>
      <c r="D8" s="400"/>
      <c r="E8" s="401"/>
      <c r="F8" s="411" t="s">
        <v>8</v>
      </c>
      <c r="G8" s="402" t="s">
        <v>9</v>
      </c>
      <c r="H8" s="403"/>
      <c r="I8" s="403"/>
      <c r="J8" s="404"/>
      <c r="K8" s="402" t="s">
        <v>10</v>
      </c>
      <c r="L8" s="403"/>
      <c r="M8" s="403"/>
      <c r="N8" s="404"/>
      <c r="O8" s="408"/>
      <c r="P8" s="409"/>
      <c r="Q8" s="409"/>
      <c r="R8" s="409"/>
      <c r="S8" s="409"/>
      <c r="T8" s="409"/>
      <c r="U8" s="409"/>
      <c r="V8" s="409"/>
      <c r="W8" s="409"/>
      <c r="X8" s="409"/>
      <c r="Y8" s="410"/>
    </row>
    <row r="9" spans="1:25" ht="38.25" customHeight="1" x14ac:dyDescent="0.2">
      <c r="A9" s="84" t="s">
        <v>11</v>
      </c>
      <c r="B9" s="84" t="s">
        <v>12</v>
      </c>
      <c r="C9" s="84" t="s">
        <v>13</v>
      </c>
      <c r="D9" s="84" t="s">
        <v>14</v>
      </c>
      <c r="E9" s="84" t="s">
        <v>15</v>
      </c>
      <c r="F9" s="412"/>
      <c r="G9" s="7" t="s">
        <v>16</v>
      </c>
      <c r="H9" s="7" t="s">
        <v>17</v>
      </c>
      <c r="I9" s="7" t="s">
        <v>18</v>
      </c>
      <c r="J9" s="70" t="s">
        <v>19</v>
      </c>
      <c r="K9" s="7" t="s">
        <v>16</v>
      </c>
      <c r="L9" s="7" t="s">
        <v>17</v>
      </c>
      <c r="M9" s="7" t="s">
        <v>18</v>
      </c>
      <c r="N9" s="70" t="s">
        <v>19</v>
      </c>
      <c r="O9" s="413" t="s">
        <v>20</v>
      </c>
      <c r="P9" s="413"/>
      <c r="Q9" s="418" t="s">
        <v>21</v>
      </c>
      <c r="R9" s="7" t="s">
        <v>22</v>
      </c>
      <c r="S9" s="8" t="s">
        <v>23</v>
      </c>
      <c r="T9" s="8" t="s">
        <v>24</v>
      </c>
      <c r="U9" s="8" t="s">
        <v>25</v>
      </c>
      <c r="V9" s="8" t="s">
        <v>26</v>
      </c>
      <c r="W9" s="84" t="s">
        <v>27</v>
      </c>
      <c r="X9" s="7" t="s">
        <v>28</v>
      </c>
      <c r="Y9" s="7" t="s">
        <v>29</v>
      </c>
    </row>
    <row r="10" spans="1:25" ht="38.25" customHeight="1" x14ac:dyDescent="0.2">
      <c r="A10" s="9">
        <v>1</v>
      </c>
      <c r="B10" s="9"/>
      <c r="C10" s="10"/>
      <c r="D10" s="9"/>
      <c r="E10" s="9"/>
      <c r="F10" s="71">
        <f>J10+N10</f>
        <v>0</v>
      </c>
      <c r="G10" s="9"/>
      <c r="H10" s="9"/>
      <c r="I10" s="9"/>
      <c r="J10" s="71">
        <f>G10+H10+I10</f>
        <v>0</v>
      </c>
      <c r="K10" s="9"/>
      <c r="L10" s="9"/>
      <c r="M10" s="9"/>
      <c r="N10" s="71">
        <f>K10+L10+M10</f>
        <v>0</v>
      </c>
      <c r="O10" s="414" t="s">
        <v>30</v>
      </c>
      <c r="P10" s="414"/>
      <c r="Q10" s="419"/>
      <c r="R10" s="415" t="s">
        <v>31</v>
      </c>
      <c r="S10" s="416"/>
      <c r="T10" s="416"/>
      <c r="U10" s="416"/>
      <c r="V10" s="416"/>
      <c r="W10" s="416"/>
      <c r="X10" s="416"/>
      <c r="Y10" s="417"/>
    </row>
    <row r="11" spans="1:25" ht="38.25" customHeight="1" x14ac:dyDescent="0.2">
      <c r="A11" s="9">
        <v>2</v>
      </c>
      <c r="B11" s="9"/>
      <c r="C11" s="9"/>
      <c r="D11" s="9"/>
      <c r="E11" s="9"/>
      <c r="F11" s="71">
        <f t="shared" ref="F11:F109" si="0">J11+N11</f>
        <v>0</v>
      </c>
      <c r="G11" s="9"/>
      <c r="H11" s="9"/>
      <c r="I11" s="9"/>
      <c r="J11" s="71">
        <f t="shared" ref="J11:J124" si="1">G11+H11+I11</f>
        <v>0</v>
      </c>
      <c r="K11" s="9"/>
      <c r="L11" s="9"/>
      <c r="M11" s="9"/>
      <c r="N11" s="71">
        <f t="shared" ref="N11:N124" si="2">K11+L11+M11</f>
        <v>0</v>
      </c>
      <c r="O11" s="2" t="s">
        <v>32</v>
      </c>
      <c r="P11" s="42">
        <f>SUM(G10:G109,G111:G212,G214:G352)</f>
        <v>188</v>
      </c>
      <c r="Q11" s="1">
        <v>1</v>
      </c>
      <c r="R11" s="47"/>
      <c r="S11" s="48"/>
      <c r="T11" s="49">
        <f t="shared" ref="T11:T23" si="3">COUNTIF($E$10:$E$478,R11)</f>
        <v>0</v>
      </c>
      <c r="U11" s="49">
        <f t="shared" ref="U11:U23" si="4">SUMIFS($F$10:$F$478,$E$10:$E$478,R11)</f>
        <v>0</v>
      </c>
      <c r="V11" s="3" t="s">
        <v>33</v>
      </c>
      <c r="W11" s="3"/>
      <c r="X11" s="3"/>
      <c r="Y11" s="2"/>
    </row>
    <row r="12" spans="1:25" ht="38.25" customHeight="1" x14ac:dyDescent="0.2">
      <c r="A12" s="9">
        <v>3</v>
      </c>
      <c r="B12" s="9"/>
      <c r="C12" s="9"/>
      <c r="D12" s="9"/>
      <c r="E12" s="9"/>
      <c r="F12" s="71">
        <f t="shared" si="0"/>
        <v>0</v>
      </c>
      <c r="G12" s="9"/>
      <c r="H12" s="9"/>
      <c r="I12" s="9"/>
      <c r="J12" s="71">
        <f t="shared" si="1"/>
        <v>0</v>
      </c>
      <c r="K12" s="9"/>
      <c r="L12" s="9"/>
      <c r="M12" s="9"/>
      <c r="N12" s="71">
        <f t="shared" si="2"/>
        <v>0</v>
      </c>
      <c r="O12" s="2" t="s">
        <v>34</v>
      </c>
      <c r="P12" s="42">
        <f>SUM(H10:H109,H111:H212,H214:H352)</f>
        <v>15</v>
      </c>
      <c r="Q12" s="1">
        <v>2</v>
      </c>
      <c r="R12" s="47"/>
      <c r="S12" s="48"/>
      <c r="T12" s="49">
        <f t="shared" si="3"/>
        <v>0</v>
      </c>
      <c r="U12" s="49">
        <f t="shared" si="4"/>
        <v>0</v>
      </c>
      <c r="V12" s="3" t="s">
        <v>35</v>
      </c>
      <c r="W12" s="3"/>
      <c r="X12" s="3"/>
      <c r="Y12" s="2"/>
    </row>
    <row r="13" spans="1:25" ht="38.25" customHeight="1" x14ac:dyDescent="0.2">
      <c r="A13" s="9">
        <v>4</v>
      </c>
      <c r="B13" s="9"/>
      <c r="C13" s="9"/>
      <c r="D13" s="9"/>
      <c r="E13" s="9"/>
      <c r="F13" s="71">
        <f t="shared" si="0"/>
        <v>0</v>
      </c>
      <c r="G13" s="9"/>
      <c r="H13" s="9"/>
      <c r="I13" s="9"/>
      <c r="J13" s="71">
        <f t="shared" si="1"/>
        <v>0</v>
      </c>
      <c r="K13" s="9"/>
      <c r="L13" s="9"/>
      <c r="M13" s="9"/>
      <c r="N13" s="71">
        <f t="shared" si="2"/>
        <v>0</v>
      </c>
      <c r="O13" s="2" t="s">
        <v>36</v>
      </c>
      <c r="P13" s="42">
        <f>SUM(I10:I109,I111:I212,I214:I352)</f>
        <v>84</v>
      </c>
      <c r="Q13" s="1">
        <v>3</v>
      </c>
      <c r="R13" s="47"/>
      <c r="S13" s="48"/>
      <c r="T13" s="49">
        <f t="shared" si="3"/>
        <v>0</v>
      </c>
      <c r="U13" s="49">
        <f t="shared" si="4"/>
        <v>0</v>
      </c>
      <c r="V13" s="3" t="s">
        <v>37</v>
      </c>
      <c r="W13" s="3"/>
      <c r="X13" s="3"/>
      <c r="Y13" s="2"/>
    </row>
    <row r="14" spans="1:25" ht="38.25" customHeight="1" x14ac:dyDescent="0.2">
      <c r="A14" s="9">
        <v>5</v>
      </c>
      <c r="B14" s="9"/>
      <c r="C14" s="9"/>
      <c r="D14" s="9"/>
      <c r="E14" s="9"/>
      <c r="F14" s="71">
        <f t="shared" si="0"/>
        <v>0</v>
      </c>
      <c r="G14" s="9"/>
      <c r="H14" s="9"/>
      <c r="I14" s="9"/>
      <c r="J14" s="71">
        <f t="shared" si="1"/>
        <v>0</v>
      </c>
      <c r="K14" s="9"/>
      <c r="L14" s="9"/>
      <c r="M14" s="9"/>
      <c r="N14" s="71">
        <f t="shared" si="2"/>
        <v>0</v>
      </c>
      <c r="O14" s="2" t="s">
        <v>8</v>
      </c>
      <c r="P14" s="42">
        <f>SUM(P11:P13)</f>
        <v>287</v>
      </c>
      <c r="Q14" s="1">
        <v>4</v>
      </c>
      <c r="R14" s="47"/>
      <c r="S14" s="48"/>
      <c r="T14" s="49">
        <f t="shared" si="3"/>
        <v>0</v>
      </c>
      <c r="U14" s="49">
        <f t="shared" si="4"/>
        <v>0</v>
      </c>
      <c r="V14" s="3" t="s">
        <v>38</v>
      </c>
      <c r="W14" s="3"/>
      <c r="X14" s="3"/>
      <c r="Y14" s="2"/>
    </row>
    <row r="15" spans="1:25" ht="38.25" customHeight="1" x14ac:dyDescent="0.2">
      <c r="A15" s="9">
        <v>6</v>
      </c>
      <c r="B15" s="9"/>
      <c r="C15" s="9"/>
      <c r="D15" s="9"/>
      <c r="E15" s="9"/>
      <c r="F15" s="71">
        <f t="shared" si="0"/>
        <v>0</v>
      </c>
      <c r="G15" s="9"/>
      <c r="H15" s="9"/>
      <c r="I15" s="9"/>
      <c r="J15" s="71">
        <f t="shared" si="1"/>
        <v>0</v>
      </c>
      <c r="K15" s="9"/>
      <c r="L15" s="9"/>
      <c r="M15" s="9"/>
      <c r="N15" s="71">
        <f t="shared" si="2"/>
        <v>0</v>
      </c>
      <c r="O15" s="414" t="s">
        <v>39</v>
      </c>
      <c r="P15" s="414"/>
      <c r="Q15" s="1">
        <v>5</v>
      </c>
      <c r="R15" s="47"/>
      <c r="S15" s="48"/>
      <c r="T15" s="49">
        <f t="shared" si="3"/>
        <v>0</v>
      </c>
      <c r="U15" s="49">
        <f t="shared" si="4"/>
        <v>0</v>
      </c>
      <c r="V15" s="3" t="s">
        <v>38</v>
      </c>
      <c r="W15" s="3"/>
      <c r="X15" s="3"/>
      <c r="Y15" s="2"/>
    </row>
    <row r="16" spans="1:25" ht="38.25" customHeight="1" x14ac:dyDescent="0.2">
      <c r="A16" s="9">
        <v>7</v>
      </c>
      <c r="B16" s="9"/>
      <c r="C16" s="9"/>
      <c r="D16" s="9"/>
      <c r="E16" s="9"/>
      <c r="F16" s="71">
        <f t="shared" si="0"/>
        <v>0</v>
      </c>
      <c r="G16" s="9"/>
      <c r="H16" s="9"/>
      <c r="I16" s="9"/>
      <c r="J16" s="71">
        <f t="shared" si="1"/>
        <v>0</v>
      </c>
      <c r="K16" s="9"/>
      <c r="L16" s="9"/>
      <c r="M16" s="9"/>
      <c r="N16" s="71">
        <f t="shared" si="2"/>
        <v>0</v>
      </c>
      <c r="O16" s="2" t="s">
        <v>32</v>
      </c>
      <c r="P16" s="42">
        <f>SUM(K10:K109,K111:K212,K214:K352)</f>
        <v>16</v>
      </c>
      <c r="Q16" s="1">
        <v>6</v>
      </c>
      <c r="R16" s="47"/>
      <c r="S16" s="48"/>
      <c r="T16" s="49">
        <f t="shared" si="3"/>
        <v>0</v>
      </c>
      <c r="U16" s="49">
        <f t="shared" si="4"/>
        <v>0</v>
      </c>
      <c r="V16" s="3" t="s">
        <v>38</v>
      </c>
      <c r="W16" s="3"/>
      <c r="X16" s="3"/>
      <c r="Y16" s="2"/>
    </row>
    <row r="17" spans="1:25" ht="38.25" customHeight="1" x14ac:dyDescent="0.2">
      <c r="A17" s="9">
        <v>8</v>
      </c>
      <c r="B17" s="9"/>
      <c r="C17" s="9"/>
      <c r="D17" s="9"/>
      <c r="E17" s="9"/>
      <c r="F17" s="71">
        <f t="shared" si="0"/>
        <v>0</v>
      </c>
      <c r="G17" s="9"/>
      <c r="H17" s="9"/>
      <c r="I17" s="9"/>
      <c r="J17" s="71">
        <f t="shared" si="1"/>
        <v>0</v>
      </c>
      <c r="K17" s="9"/>
      <c r="L17" s="9"/>
      <c r="M17" s="9"/>
      <c r="N17" s="71">
        <f t="shared" si="2"/>
        <v>0</v>
      </c>
      <c r="O17" s="2" t="s">
        <v>34</v>
      </c>
      <c r="P17" s="42">
        <f>SUM(L10:L109,L111:L212,L214:L352)</f>
        <v>0</v>
      </c>
      <c r="Q17" s="1">
        <v>7</v>
      </c>
      <c r="R17" s="1"/>
      <c r="S17" s="46"/>
      <c r="T17" s="49">
        <f t="shared" si="3"/>
        <v>0</v>
      </c>
      <c r="U17" s="49">
        <f t="shared" si="4"/>
        <v>0</v>
      </c>
      <c r="V17" s="3" t="s">
        <v>40</v>
      </c>
      <c r="W17" s="3"/>
      <c r="X17" s="3"/>
      <c r="Y17" s="2"/>
    </row>
    <row r="18" spans="1:25" ht="38.25" customHeight="1" x14ac:dyDescent="0.2">
      <c r="A18" s="9">
        <v>9</v>
      </c>
      <c r="B18" s="9"/>
      <c r="C18" s="9"/>
      <c r="D18" s="9"/>
      <c r="E18" s="9"/>
      <c r="F18" s="71">
        <f t="shared" si="0"/>
        <v>0</v>
      </c>
      <c r="G18" s="9"/>
      <c r="H18" s="9"/>
      <c r="I18" s="9"/>
      <c r="J18" s="71">
        <f t="shared" si="1"/>
        <v>0</v>
      </c>
      <c r="K18" s="9"/>
      <c r="L18" s="9"/>
      <c r="M18" s="9"/>
      <c r="N18" s="71">
        <f t="shared" si="2"/>
        <v>0</v>
      </c>
      <c r="O18" s="2" t="s">
        <v>36</v>
      </c>
      <c r="P18" s="42">
        <f>SUM(M10:M109,M111:M212,M214:M352)</f>
        <v>0</v>
      </c>
      <c r="Q18" s="1">
        <v>8</v>
      </c>
      <c r="R18" s="1"/>
      <c r="S18" s="46"/>
      <c r="T18" s="49">
        <f t="shared" si="3"/>
        <v>0</v>
      </c>
      <c r="U18" s="49">
        <f t="shared" si="4"/>
        <v>0</v>
      </c>
      <c r="V18" s="3" t="s">
        <v>41</v>
      </c>
      <c r="W18" s="3"/>
      <c r="X18" s="3"/>
      <c r="Y18" s="2"/>
    </row>
    <row r="19" spans="1:25" ht="38.25" customHeight="1" x14ac:dyDescent="0.2">
      <c r="A19" s="9">
        <v>10</v>
      </c>
      <c r="B19" s="9"/>
      <c r="C19" s="9"/>
      <c r="D19" s="9"/>
      <c r="E19" s="9"/>
      <c r="F19" s="71">
        <f t="shared" si="0"/>
        <v>0</v>
      </c>
      <c r="G19" s="9"/>
      <c r="H19" s="9"/>
      <c r="I19" s="9"/>
      <c r="J19" s="71">
        <f t="shared" si="1"/>
        <v>0</v>
      </c>
      <c r="K19" s="9"/>
      <c r="L19" s="9"/>
      <c r="M19" s="9"/>
      <c r="N19" s="71">
        <f t="shared" si="2"/>
        <v>0</v>
      </c>
      <c r="O19" s="2" t="s">
        <v>8</v>
      </c>
      <c r="P19" s="42">
        <f>SUM(P16:P18)</f>
        <v>16</v>
      </c>
      <c r="Q19" s="1">
        <v>9</v>
      </c>
      <c r="R19" s="1"/>
      <c r="S19" s="46"/>
      <c r="T19" s="49">
        <f t="shared" si="3"/>
        <v>0</v>
      </c>
      <c r="U19" s="49">
        <f t="shared" si="4"/>
        <v>0</v>
      </c>
      <c r="V19" s="3" t="s">
        <v>42</v>
      </c>
      <c r="W19" s="3"/>
      <c r="X19" s="3"/>
      <c r="Y19" s="2"/>
    </row>
    <row r="20" spans="1:25" ht="38.25" customHeight="1" x14ac:dyDescent="0.2">
      <c r="A20" s="9">
        <v>11</v>
      </c>
      <c r="B20" s="9"/>
      <c r="C20" s="9"/>
      <c r="D20" s="9"/>
      <c r="E20" s="9"/>
      <c r="F20" s="71">
        <f t="shared" si="0"/>
        <v>0</v>
      </c>
      <c r="G20" s="9"/>
      <c r="H20" s="9"/>
      <c r="I20" s="9"/>
      <c r="J20" s="71">
        <f t="shared" si="1"/>
        <v>0</v>
      </c>
      <c r="K20" s="9"/>
      <c r="L20" s="9"/>
      <c r="M20" s="9"/>
      <c r="N20" s="71">
        <f t="shared" si="2"/>
        <v>0</v>
      </c>
      <c r="O20" s="414" t="s">
        <v>43</v>
      </c>
      <c r="P20" s="414"/>
      <c r="Q20" s="1">
        <v>10</v>
      </c>
      <c r="R20" s="1"/>
      <c r="S20" s="46"/>
      <c r="T20" s="49">
        <f t="shared" si="3"/>
        <v>0</v>
      </c>
      <c r="U20" s="49">
        <f t="shared" si="4"/>
        <v>0</v>
      </c>
      <c r="V20" s="3" t="s">
        <v>44</v>
      </c>
      <c r="W20" s="3"/>
      <c r="X20" s="3"/>
      <c r="Y20" s="2"/>
    </row>
    <row r="21" spans="1:25" ht="38.25" customHeight="1" x14ac:dyDescent="0.2">
      <c r="A21" s="9">
        <v>12</v>
      </c>
      <c r="B21" s="9"/>
      <c r="C21" s="9"/>
      <c r="D21" s="9"/>
      <c r="E21" s="9"/>
      <c r="F21" s="71">
        <f t="shared" si="0"/>
        <v>0</v>
      </c>
      <c r="G21" s="9"/>
      <c r="H21" s="9"/>
      <c r="I21" s="9"/>
      <c r="J21" s="71">
        <f t="shared" si="1"/>
        <v>0</v>
      </c>
      <c r="K21" s="9"/>
      <c r="L21" s="9"/>
      <c r="M21" s="9"/>
      <c r="N21" s="71">
        <f t="shared" si="2"/>
        <v>0</v>
      </c>
      <c r="O21" s="2" t="s">
        <v>32</v>
      </c>
      <c r="P21" s="42">
        <f>SUM(G10:G109,G111:G212,G214:G352,K10:K109,K111:K212,K214:K352)</f>
        <v>204</v>
      </c>
      <c r="Q21" s="1">
        <v>11</v>
      </c>
      <c r="R21" s="1"/>
      <c r="S21" s="46"/>
      <c r="T21" s="49">
        <f t="shared" si="3"/>
        <v>0</v>
      </c>
      <c r="U21" s="49">
        <f t="shared" si="4"/>
        <v>0</v>
      </c>
      <c r="V21" s="3" t="s">
        <v>45</v>
      </c>
      <c r="W21" s="3"/>
      <c r="X21" s="3"/>
      <c r="Y21" s="2"/>
    </row>
    <row r="22" spans="1:25" ht="38.25" customHeight="1" x14ac:dyDescent="0.2">
      <c r="A22" s="9">
        <v>13</v>
      </c>
      <c r="B22" s="9"/>
      <c r="C22" s="9"/>
      <c r="D22" s="9"/>
      <c r="E22" s="9"/>
      <c r="F22" s="71">
        <f t="shared" si="0"/>
        <v>0</v>
      </c>
      <c r="G22" s="9"/>
      <c r="H22" s="9"/>
      <c r="I22" s="9"/>
      <c r="J22" s="71">
        <f t="shared" si="1"/>
        <v>0</v>
      </c>
      <c r="K22" s="9"/>
      <c r="L22" s="9"/>
      <c r="M22" s="9"/>
      <c r="N22" s="71">
        <f t="shared" si="2"/>
        <v>0</v>
      </c>
      <c r="O22" s="2" t="s">
        <v>34</v>
      </c>
      <c r="P22" s="42">
        <f>SUM(H10:H109,L10:L109,H111:H212,L111:L212,H214:H352,L214:L352)</f>
        <v>15</v>
      </c>
      <c r="Q22" s="1">
        <v>12</v>
      </c>
      <c r="R22" s="1"/>
      <c r="S22" s="46"/>
      <c r="T22" s="49">
        <f t="shared" si="3"/>
        <v>0</v>
      </c>
      <c r="U22" s="49">
        <f t="shared" si="4"/>
        <v>0</v>
      </c>
      <c r="V22" s="3" t="s">
        <v>46</v>
      </c>
      <c r="W22" s="3"/>
      <c r="X22" s="3"/>
      <c r="Y22" s="2"/>
    </row>
    <row r="23" spans="1:25" ht="38.25" customHeight="1" x14ac:dyDescent="0.2">
      <c r="A23" s="9">
        <v>14</v>
      </c>
      <c r="B23" s="9"/>
      <c r="C23" s="9"/>
      <c r="D23" s="9"/>
      <c r="E23" s="9"/>
      <c r="F23" s="71">
        <f t="shared" si="0"/>
        <v>0</v>
      </c>
      <c r="G23" s="9"/>
      <c r="H23" s="9"/>
      <c r="I23" s="9"/>
      <c r="J23" s="71">
        <f t="shared" si="1"/>
        <v>0</v>
      </c>
      <c r="K23" s="9"/>
      <c r="L23" s="9"/>
      <c r="M23" s="9"/>
      <c r="N23" s="71">
        <f t="shared" si="2"/>
        <v>0</v>
      </c>
      <c r="O23" s="2" t="s">
        <v>36</v>
      </c>
      <c r="P23" s="42">
        <f>SUM(I10:I109,M10:M109,M111:M212,I111:I212,I214:I352,M214:M352)</f>
        <v>84</v>
      </c>
      <c r="Q23" s="1">
        <v>13</v>
      </c>
      <c r="R23" s="1"/>
      <c r="S23" s="46"/>
      <c r="T23" s="49">
        <f t="shared" si="3"/>
        <v>0</v>
      </c>
      <c r="U23" s="49">
        <f t="shared" si="4"/>
        <v>0</v>
      </c>
      <c r="V23" s="3" t="s">
        <v>47</v>
      </c>
      <c r="W23" s="3"/>
      <c r="X23" s="3"/>
      <c r="Y23" s="2"/>
    </row>
    <row r="24" spans="1:25" ht="38.25" customHeight="1" x14ac:dyDescent="0.2">
      <c r="A24" s="9">
        <v>15</v>
      </c>
      <c r="B24" s="9"/>
      <c r="C24" s="9"/>
      <c r="D24" s="9"/>
      <c r="E24" s="9"/>
      <c r="F24" s="71">
        <f t="shared" si="0"/>
        <v>0</v>
      </c>
      <c r="G24" s="9"/>
      <c r="H24" s="9"/>
      <c r="I24" s="9"/>
      <c r="J24" s="71">
        <f t="shared" si="1"/>
        <v>0</v>
      </c>
      <c r="K24" s="9"/>
      <c r="L24" s="9"/>
      <c r="M24" s="9"/>
      <c r="N24" s="71">
        <f t="shared" si="2"/>
        <v>0</v>
      </c>
      <c r="O24" s="2" t="s">
        <v>8</v>
      </c>
      <c r="P24" s="42">
        <f>SUM(P21:P23)</f>
        <v>303</v>
      </c>
      <c r="Q24" s="363" t="s">
        <v>19</v>
      </c>
      <c r="R24" s="364"/>
      <c r="S24" s="365"/>
      <c r="T24" s="346">
        <f>SUM(T11:T23)</f>
        <v>0</v>
      </c>
      <c r="U24" s="346">
        <f>SUM(U11:U23)</f>
        <v>0</v>
      </c>
      <c r="V24" s="357">
        <f>COUNT(X11:X23)</f>
        <v>0</v>
      </c>
      <c r="W24" s="358"/>
      <c r="X24" s="358"/>
      <c r="Y24" s="359"/>
    </row>
    <row r="25" spans="1:25" ht="38.25" customHeight="1" x14ac:dyDescent="0.2">
      <c r="A25" s="9">
        <v>16</v>
      </c>
      <c r="B25" s="9"/>
      <c r="C25" s="9"/>
      <c r="D25" s="9"/>
      <c r="E25" s="9"/>
      <c r="F25" s="71">
        <f t="shared" si="0"/>
        <v>0</v>
      </c>
      <c r="G25" s="9"/>
      <c r="H25" s="9"/>
      <c r="I25" s="9"/>
      <c r="J25" s="71">
        <f t="shared" si="1"/>
        <v>0</v>
      </c>
      <c r="K25" s="9"/>
      <c r="L25" s="9"/>
      <c r="M25" s="9"/>
      <c r="N25" s="71">
        <f t="shared" si="2"/>
        <v>0</v>
      </c>
      <c r="O25" s="414" t="s">
        <v>48</v>
      </c>
      <c r="P25" s="414"/>
      <c r="Q25" s="367" t="s">
        <v>49</v>
      </c>
      <c r="R25" s="368"/>
      <c r="S25" s="368"/>
      <c r="T25" s="368"/>
      <c r="U25" s="368"/>
      <c r="V25" s="368"/>
      <c r="W25" s="368"/>
      <c r="X25" s="368"/>
      <c r="Y25" s="369"/>
    </row>
    <row r="26" spans="1:25" ht="38.25" customHeight="1" x14ac:dyDescent="0.2">
      <c r="A26" s="9">
        <v>17</v>
      </c>
      <c r="B26" s="9"/>
      <c r="C26" s="9"/>
      <c r="D26" s="9"/>
      <c r="E26" s="9"/>
      <c r="F26" s="71">
        <f t="shared" si="0"/>
        <v>0</v>
      </c>
      <c r="G26" s="9"/>
      <c r="H26" s="9"/>
      <c r="I26" s="9"/>
      <c r="J26" s="71">
        <f t="shared" si="1"/>
        <v>0</v>
      </c>
      <c r="K26" s="9"/>
      <c r="L26" s="9"/>
      <c r="M26" s="9"/>
      <c r="N26" s="71">
        <f t="shared" si="2"/>
        <v>0</v>
      </c>
      <c r="O26" s="2" t="s">
        <v>50</v>
      </c>
      <c r="P26" s="42">
        <f>COUNT(X11:X24)</f>
        <v>0</v>
      </c>
      <c r="Q26" s="1">
        <v>1</v>
      </c>
      <c r="R26" s="1"/>
      <c r="S26" s="46"/>
      <c r="T26" s="49">
        <f t="shared" ref="T26:T49" si="5">COUNTIF($E$10:$E$478,R26)</f>
        <v>0</v>
      </c>
      <c r="U26" s="49">
        <f t="shared" ref="U26:U49" si="6">SUMIFS($F$10:$F$478,$E$10:$E$478,R26)</f>
        <v>0</v>
      </c>
      <c r="V26" s="3"/>
      <c r="W26" s="3"/>
      <c r="X26" s="3"/>
      <c r="Y26" s="2"/>
    </row>
    <row r="27" spans="1:25" ht="38.25" customHeight="1" x14ac:dyDescent="0.2">
      <c r="A27" s="9">
        <v>18</v>
      </c>
      <c r="B27" s="9"/>
      <c r="C27" s="9"/>
      <c r="D27" s="9"/>
      <c r="E27" s="9"/>
      <c r="F27" s="71">
        <f t="shared" si="0"/>
        <v>0</v>
      </c>
      <c r="G27" s="9"/>
      <c r="H27" s="9"/>
      <c r="I27" s="9"/>
      <c r="J27" s="71">
        <f t="shared" si="1"/>
        <v>0</v>
      </c>
      <c r="K27" s="9"/>
      <c r="L27" s="9"/>
      <c r="M27" s="9"/>
      <c r="N27" s="71">
        <f t="shared" si="2"/>
        <v>0</v>
      </c>
      <c r="O27" s="2" t="s">
        <v>51</v>
      </c>
      <c r="P27" s="42">
        <f>COUNTIF(V26:V340,"*Shift*")</f>
        <v>0</v>
      </c>
      <c r="Q27" s="1">
        <v>2</v>
      </c>
      <c r="R27" s="1"/>
      <c r="S27" s="46"/>
      <c r="T27" s="49">
        <f t="shared" si="5"/>
        <v>0</v>
      </c>
      <c r="U27" s="49">
        <f t="shared" si="6"/>
        <v>0</v>
      </c>
      <c r="V27" s="3"/>
      <c r="W27" s="3"/>
      <c r="X27" s="3"/>
      <c r="Y27" s="2"/>
    </row>
    <row r="28" spans="1:25" ht="38.25" customHeight="1" x14ac:dyDescent="0.2">
      <c r="A28" s="9">
        <v>19</v>
      </c>
      <c r="B28" s="9"/>
      <c r="C28" s="9"/>
      <c r="D28" s="9"/>
      <c r="E28" s="9"/>
      <c r="F28" s="71">
        <f t="shared" si="0"/>
        <v>0</v>
      </c>
      <c r="G28" s="9"/>
      <c r="H28" s="9"/>
      <c r="I28" s="9"/>
      <c r="J28" s="71">
        <f t="shared" si="1"/>
        <v>0</v>
      </c>
      <c r="K28" s="9"/>
      <c r="L28" s="9"/>
      <c r="M28" s="9"/>
      <c r="N28" s="71">
        <f t="shared" si="2"/>
        <v>0</v>
      </c>
      <c r="O28" s="2" t="s">
        <v>52</v>
      </c>
      <c r="P28" s="42">
        <f>COUNTIF(V26:V340,"*TG*")</f>
        <v>0</v>
      </c>
      <c r="Q28" s="1">
        <v>3</v>
      </c>
      <c r="R28" s="1"/>
      <c r="S28" s="46"/>
      <c r="T28" s="49">
        <f t="shared" si="5"/>
        <v>0</v>
      </c>
      <c r="U28" s="49">
        <f t="shared" si="6"/>
        <v>0</v>
      </c>
      <c r="V28" s="3"/>
      <c r="W28" s="3"/>
      <c r="X28" s="3"/>
      <c r="Y28" s="2"/>
    </row>
    <row r="29" spans="1:25" ht="38.25" customHeight="1" x14ac:dyDescent="0.2">
      <c r="A29" s="9">
        <v>20</v>
      </c>
      <c r="B29" s="9"/>
      <c r="C29" s="9"/>
      <c r="D29" s="9"/>
      <c r="E29" s="9"/>
      <c r="F29" s="71">
        <f t="shared" si="0"/>
        <v>0</v>
      </c>
      <c r="G29" s="9"/>
      <c r="H29" s="9"/>
      <c r="I29" s="9"/>
      <c r="J29" s="71">
        <f t="shared" si="1"/>
        <v>0</v>
      </c>
      <c r="K29" s="9"/>
      <c r="L29" s="9"/>
      <c r="M29" s="9"/>
      <c r="N29" s="71">
        <f t="shared" si="2"/>
        <v>0</v>
      </c>
      <c r="O29" s="2" t="s">
        <v>53</v>
      </c>
      <c r="P29" s="42">
        <f>COUNTIF(V26:V340,"*DL*")</f>
        <v>0</v>
      </c>
      <c r="Q29" s="1">
        <v>4</v>
      </c>
      <c r="R29" s="1"/>
      <c r="S29" s="46"/>
      <c r="T29" s="49">
        <f t="shared" si="5"/>
        <v>0</v>
      </c>
      <c r="U29" s="49">
        <f t="shared" si="6"/>
        <v>0</v>
      </c>
      <c r="V29" s="3"/>
      <c r="W29" s="3"/>
      <c r="X29" s="3"/>
      <c r="Y29" s="2"/>
    </row>
    <row r="30" spans="1:25" ht="38.25" customHeight="1" x14ac:dyDescent="0.2">
      <c r="A30" s="9">
        <v>21</v>
      </c>
      <c r="B30" s="9"/>
      <c r="C30" s="9"/>
      <c r="D30" s="9"/>
      <c r="E30" s="9"/>
      <c r="F30" s="71">
        <f t="shared" si="0"/>
        <v>0</v>
      </c>
      <c r="G30" s="9"/>
      <c r="H30" s="9"/>
      <c r="I30" s="9"/>
      <c r="J30" s="71">
        <f t="shared" si="1"/>
        <v>0</v>
      </c>
      <c r="K30" s="9"/>
      <c r="L30" s="9"/>
      <c r="M30" s="9"/>
      <c r="N30" s="71">
        <f t="shared" si="2"/>
        <v>0</v>
      </c>
      <c r="O30" s="2" t="s">
        <v>54</v>
      </c>
      <c r="P30" s="42">
        <f>COUNTIF(V26:V340,"*OT*")</f>
        <v>0</v>
      </c>
      <c r="Q30" s="1">
        <v>5</v>
      </c>
      <c r="R30" s="1"/>
      <c r="S30" s="46"/>
      <c r="T30" s="49">
        <f t="shared" si="5"/>
        <v>0</v>
      </c>
      <c r="U30" s="49">
        <f t="shared" si="6"/>
        <v>0</v>
      </c>
      <c r="V30" s="3"/>
      <c r="W30" s="3"/>
      <c r="X30" s="3"/>
      <c r="Y30" s="2"/>
    </row>
    <row r="31" spans="1:25" ht="38.25" customHeight="1" x14ac:dyDescent="0.2">
      <c r="A31" s="9">
        <v>22</v>
      </c>
      <c r="B31" s="9"/>
      <c r="C31" s="9"/>
      <c r="D31" s="9"/>
      <c r="E31" s="9"/>
      <c r="F31" s="71">
        <f t="shared" si="0"/>
        <v>0</v>
      </c>
      <c r="G31" s="9"/>
      <c r="H31" s="9"/>
      <c r="I31" s="9"/>
      <c r="J31" s="71">
        <f t="shared" si="1"/>
        <v>0</v>
      </c>
      <c r="K31" s="9"/>
      <c r="L31" s="9"/>
      <c r="M31" s="9"/>
      <c r="N31" s="71">
        <f t="shared" si="2"/>
        <v>0</v>
      </c>
      <c r="O31" s="2" t="s">
        <v>55</v>
      </c>
      <c r="P31" s="11">
        <f>COUNTIF(V26:V340,"*DP*")</f>
        <v>0</v>
      </c>
      <c r="Q31" s="1">
        <v>6</v>
      </c>
      <c r="R31" s="1"/>
      <c r="S31" s="46"/>
      <c r="T31" s="49">
        <f t="shared" si="5"/>
        <v>0</v>
      </c>
      <c r="U31" s="49">
        <f t="shared" si="6"/>
        <v>0</v>
      </c>
      <c r="V31" s="3"/>
      <c r="W31" s="3"/>
      <c r="X31" s="3"/>
      <c r="Y31" s="2"/>
    </row>
    <row r="32" spans="1:25" ht="38.25" customHeight="1" x14ac:dyDescent="0.2">
      <c r="A32" s="9">
        <v>23</v>
      </c>
      <c r="B32" s="2"/>
      <c r="C32" s="9"/>
      <c r="D32" s="9"/>
      <c r="E32" s="9"/>
      <c r="F32" s="71">
        <f t="shared" si="0"/>
        <v>0</v>
      </c>
      <c r="G32" s="9"/>
      <c r="H32" s="9"/>
      <c r="I32" s="9"/>
      <c r="J32" s="71">
        <f t="shared" si="1"/>
        <v>0</v>
      </c>
      <c r="K32" s="9"/>
      <c r="L32" s="9"/>
      <c r="M32" s="9"/>
      <c r="N32" s="71">
        <f t="shared" si="2"/>
        <v>0</v>
      </c>
      <c r="O32" s="2" t="s">
        <v>19</v>
      </c>
      <c r="P32" s="11">
        <f>SUM(P26:P31)</f>
        <v>0</v>
      </c>
      <c r="Q32" s="1">
        <v>7</v>
      </c>
      <c r="R32" s="1"/>
      <c r="S32" s="46"/>
      <c r="T32" s="49">
        <f t="shared" si="5"/>
        <v>0</v>
      </c>
      <c r="U32" s="49">
        <f t="shared" si="6"/>
        <v>0</v>
      </c>
      <c r="V32" s="3"/>
      <c r="W32" s="3"/>
      <c r="X32" s="3"/>
      <c r="Y32" s="2"/>
    </row>
    <row r="33" spans="1:25" ht="38.25" customHeight="1" x14ac:dyDescent="0.2">
      <c r="A33" s="9">
        <v>24</v>
      </c>
      <c r="B33" s="2"/>
      <c r="C33" s="9"/>
      <c r="D33" s="9"/>
      <c r="E33" s="9"/>
      <c r="F33" s="71">
        <f t="shared" si="0"/>
        <v>0</v>
      </c>
      <c r="G33" s="9"/>
      <c r="H33" s="9"/>
      <c r="I33" s="9"/>
      <c r="J33" s="71">
        <f t="shared" si="1"/>
        <v>0</v>
      </c>
      <c r="K33" s="9"/>
      <c r="L33" s="9"/>
      <c r="M33" s="9"/>
      <c r="N33" s="71">
        <f t="shared" si="2"/>
        <v>0</v>
      </c>
      <c r="O33" s="351" t="s">
        <v>56</v>
      </c>
      <c r="P33" s="351"/>
      <c r="Q33" s="1">
        <v>8</v>
      </c>
      <c r="R33" s="1"/>
      <c r="S33" s="46"/>
      <c r="T33" s="49">
        <f t="shared" si="5"/>
        <v>0</v>
      </c>
      <c r="U33" s="49">
        <f t="shared" si="6"/>
        <v>0</v>
      </c>
      <c r="V33" s="3"/>
      <c r="W33" s="3"/>
      <c r="X33" s="3"/>
      <c r="Y33" s="2"/>
    </row>
    <row r="34" spans="1:25" ht="38.25" customHeight="1" x14ac:dyDescent="0.2">
      <c r="A34" s="9">
        <v>25</v>
      </c>
      <c r="B34" s="2"/>
      <c r="C34" s="9"/>
      <c r="D34" s="9"/>
      <c r="E34" s="9"/>
      <c r="F34" s="71">
        <f t="shared" si="0"/>
        <v>0</v>
      </c>
      <c r="G34" s="9"/>
      <c r="H34" s="9"/>
      <c r="I34" s="9"/>
      <c r="J34" s="71">
        <f t="shared" si="1"/>
        <v>0</v>
      </c>
      <c r="K34" s="9"/>
      <c r="L34" s="9"/>
      <c r="M34" s="9"/>
      <c r="N34" s="71">
        <f t="shared" si="2"/>
        <v>0</v>
      </c>
      <c r="O34" s="2"/>
      <c r="P34" s="146" t="s">
        <v>57</v>
      </c>
      <c r="Q34" s="1">
        <v>9</v>
      </c>
      <c r="R34" s="1"/>
      <c r="S34" s="46"/>
      <c r="T34" s="49">
        <f t="shared" si="5"/>
        <v>0</v>
      </c>
      <c r="U34" s="49">
        <f t="shared" si="6"/>
        <v>0</v>
      </c>
      <c r="V34" s="3"/>
      <c r="W34" s="3"/>
      <c r="X34" s="3"/>
      <c r="Y34" s="2"/>
    </row>
    <row r="35" spans="1:25" ht="38.25" customHeight="1" x14ac:dyDescent="0.2">
      <c r="A35" s="9">
        <v>26</v>
      </c>
      <c r="B35" s="2"/>
      <c r="C35" s="9"/>
      <c r="D35" s="9"/>
      <c r="E35" s="9"/>
      <c r="F35" s="71">
        <f t="shared" si="0"/>
        <v>0</v>
      </c>
      <c r="G35" s="9"/>
      <c r="H35" s="9"/>
      <c r="I35" s="9"/>
      <c r="J35" s="71">
        <f t="shared" si="1"/>
        <v>0</v>
      </c>
      <c r="K35" s="9"/>
      <c r="L35" s="9"/>
      <c r="M35" s="9"/>
      <c r="N35" s="71">
        <f t="shared" si="2"/>
        <v>0</v>
      </c>
      <c r="O35" s="2"/>
      <c r="P35" s="147" t="s">
        <v>58</v>
      </c>
      <c r="Q35" s="1">
        <v>10</v>
      </c>
      <c r="R35" s="1"/>
      <c r="S35" s="46"/>
      <c r="T35" s="49">
        <f t="shared" si="5"/>
        <v>0</v>
      </c>
      <c r="U35" s="49">
        <f t="shared" si="6"/>
        <v>0</v>
      </c>
      <c r="V35" s="3"/>
      <c r="W35" s="3"/>
      <c r="X35" s="3"/>
      <c r="Y35" s="2"/>
    </row>
    <row r="36" spans="1:25" ht="38.25" customHeight="1" x14ac:dyDescent="0.2">
      <c r="A36" s="9">
        <v>27</v>
      </c>
      <c r="B36" s="2"/>
      <c r="C36" s="9"/>
      <c r="D36" s="9"/>
      <c r="E36" s="9"/>
      <c r="F36" s="71">
        <f t="shared" si="0"/>
        <v>0</v>
      </c>
      <c r="G36" s="9"/>
      <c r="H36" s="9"/>
      <c r="I36" s="9"/>
      <c r="J36" s="71">
        <f t="shared" si="1"/>
        <v>0</v>
      </c>
      <c r="K36" s="9"/>
      <c r="L36" s="9"/>
      <c r="M36" s="9"/>
      <c r="N36" s="71">
        <f t="shared" si="2"/>
        <v>0</v>
      </c>
      <c r="O36" s="2"/>
      <c r="P36" s="147" t="s">
        <v>59</v>
      </c>
      <c r="Q36" s="1">
        <v>11</v>
      </c>
      <c r="R36" s="1"/>
      <c r="S36" s="46"/>
      <c r="T36" s="49">
        <f t="shared" si="5"/>
        <v>0</v>
      </c>
      <c r="U36" s="49">
        <f t="shared" si="6"/>
        <v>0</v>
      </c>
      <c r="V36" s="3"/>
      <c r="W36" s="3"/>
      <c r="X36" s="3"/>
      <c r="Y36" s="2"/>
    </row>
    <row r="37" spans="1:25" ht="38.25" customHeight="1" x14ac:dyDescent="0.2">
      <c r="A37" s="9">
        <v>28</v>
      </c>
      <c r="B37" s="2"/>
      <c r="C37" s="9"/>
      <c r="D37" s="9"/>
      <c r="E37" s="9"/>
      <c r="F37" s="71">
        <f t="shared" si="0"/>
        <v>0</v>
      </c>
      <c r="G37" s="9"/>
      <c r="H37" s="9"/>
      <c r="I37" s="9"/>
      <c r="J37" s="71">
        <f t="shared" si="1"/>
        <v>0</v>
      </c>
      <c r="K37" s="9"/>
      <c r="L37" s="9"/>
      <c r="M37" s="9"/>
      <c r="N37" s="71">
        <f t="shared" si="2"/>
        <v>0</v>
      </c>
      <c r="O37" s="2"/>
      <c r="P37" s="76"/>
      <c r="Q37" s="1">
        <v>12</v>
      </c>
      <c r="R37" s="1"/>
      <c r="S37" s="46"/>
      <c r="T37" s="49">
        <f t="shared" si="5"/>
        <v>0</v>
      </c>
      <c r="U37" s="49">
        <f t="shared" si="6"/>
        <v>0</v>
      </c>
      <c r="V37" s="3"/>
      <c r="W37" s="3"/>
      <c r="X37" s="3"/>
      <c r="Y37" s="2"/>
    </row>
    <row r="38" spans="1:25" ht="38.25" customHeight="1" x14ac:dyDescent="0.2">
      <c r="A38" s="9">
        <v>29</v>
      </c>
      <c r="B38" s="2"/>
      <c r="C38" s="9"/>
      <c r="D38" s="9"/>
      <c r="E38" s="9"/>
      <c r="F38" s="71">
        <f t="shared" si="0"/>
        <v>0</v>
      </c>
      <c r="G38" s="9"/>
      <c r="H38" s="9"/>
      <c r="I38" s="9"/>
      <c r="J38" s="71">
        <f t="shared" si="1"/>
        <v>0</v>
      </c>
      <c r="K38" s="9"/>
      <c r="L38" s="9"/>
      <c r="M38" s="9"/>
      <c r="N38" s="71">
        <f t="shared" si="2"/>
        <v>0</v>
      </c>
      <c r="O38" s="2"/>
      <c r="P38" s="76"/>
      <c r="Q38" s="1">
        <v>13</v>
      </c>
      <c r="R38" s="1"/>
      <c r="S38" s="46"/>
      <c r="T38" s="49">
        <f t="shared" si="5"/>
        <v>0</v>
      </c>
      <c r="U38" s="49">
        <f t="shared" si="6"/>
        <v>0</v>
      </c>
      <c r="V38" s="3"/>
      <c r="W38" s="3"/>
      <c r="X38" s="3"/>
      <c r="Y38" s="2"/>
    </row>
    <row r="39" spans="1:25" ht="38.25" customHeight="1" x14ac:dyDescent="0.2">
      <c r="A39" s="9">
        <v>30</v>
      </c>
      <c r="B39" s="2"/>
      <c r="C39" s="9"/>
      <c r="D39" s="9"/>
      <c r="E39" s="9"/>
      <c r="F39" s="71">
        <f t="shared" si="0"/>
        <v>0</v>
      </c>
      <c r="G39" s="9"/>
      <c r="H39" s="9"/>
      <c r="I39" s="9"/>
      <c r="J39" s="71">
        <f t="shared" si="1"/>
        <v>0</v>
      </c>
      <c r="K39" s="9"/>
      <c r="L39" s="9"/>
      <c r="M39" s="9"/>
      <c r="N39" s="71">
        <f t="shared" si="2"/>
        <v>0</v>
      </c>
      <c r="O39" s="2"/>
      <c r="P39" s="76"/>
      <c r="Q39" s="1">
        <v>14</v>
      </c>
      <c r="R39" s="1"/>
      <c r="S39" s="46"/>
      <c r="T39" s="49">
        <f t="shared" si="5"/>
        <v>0</v>
      </c>
      <c r="U39" s="49">
        <f t="shared" si="6"/>
        <v>0</v>
      </c>
      <c r="V39" s="3"/>
      <c r="W39" s="3"/>
      <c r="X39" s="3"/>
      <c r="Y39" s="2"/>
    </row>
    <row r="40" spans="1:25" ht="38.25" customHeight="1" x14ac:dyDescent="0.2">
      <c r="A40" s="9">
        <v>31</v>
      </c>
      <c r="B40" s="2"/>
      <c r="C40" s="9"/>
      <c r="D40" s="9"/>
      <c r="E40" s="9"/>
      <c r="F40" s="71">
        <f t="shared" si="0"/>
        <v>0</v>
      </c>
      <c r="G40" s="9"/>
      <c r="H40" s="9"/>
      <c r="I40" s="9"/>
      <c r="J40" s="71">
        <f t="shared" si="1"/>
        <v>0</v>
      </c>
      <c r="K40" s="9"/>
      <c r="L40" s="9"/>
      <c r="M40" s="9"/>
      <c r="N40" s="71">
        <f t="shared" si="2"/>
        <v>0</v>
      </c>
      <c r="O40" s="349" t="s">
        <v>60</v>
      </c>
      <c r="P40" s="350"/>
      <c r="Q40" s="1">
        <v>15</v>
      </c>
      <c r="R40" s="1"/>
      <c r="S40" s="46"/>
      <c r="T40" s="49">
        <f t="shared" si="5"/>
        <v>0</v>
      </c>
      <c r="U40" s="49">
        <f t="shared" si="6"/>
        <v>0</v>
      </c>
      <c r="V40" s="3"/>
      <c r="W40" s="3"/>
      <c r="X40" s="3"/>
      <c r="Y40" s="2"/>
    </row>
    <row r="41" spans="1:25" ht="38.25" customHeight="1" x14ac:dyDescent="0.2">
      <c r="A41" s="9">
        <v>32</v>
      </c>
      <c r="B41" s="2"/>
      <c r="C41" s="9"/>
      <c r="D41" s="9"/>
      <c r="E41" s="9"/>
      <c r="F41" s="71">
        <f t="shared" si="0"/>
        <v>0</v>
      </c>
      <c r="G41" s="9"/>
      <c r="H41" s="9"/>
      <c r="I41" s="9"/>
      <c r="J41" s="71">
        <f t="shared" si="1"/>
        <v>0</v>
      </c>
      <c r="K41" s="9"/>
      <c r="L41" s="9"/>
      <c r="M41" s="9"/>
      <c r="N41" s="71">
        <f t="shared" si="2"/>
        <v>0</v>
      </c>
      <c r="O41" s="2" t="s">
        <v>8</v>
      </c>
      <c r="P41" s="42">
        <f>P24</f>
        <v>303</v>
      </c>
      <c r="Q41" s="1">
        <v>16</v>
      </c>
      <c r="R41" s="1"/>
      <c r="S41" s="46"/>
      <c r="T41" s="49">
        <f t="shared" si="5"/>
        <v>0</v>
      </c>
      <c r="U41" s="49">
        <f t="shared" si="6"/>
        <v>0</v>
      </c>
      <c r="V41" s="3"/>
      <c r="W41" s="3"/>
      <c r="X41" s="3"/>
      <c r="Y41" s="2"/>
    </row>
    <row r="42" spans="1:25" ht="38.25" customHeight="1" x14ac:dyDescent="0.2">
      <c r="A42" s="9">
        <v>33</v>
      </c>
      <c r="B42" s="2"/>
      <c r="C42" s="9"/>
      <c r="D42" s="9"/>
      <c r="E42" s="9"/>
      <c r="F42" s="71">
        <f t="shared" si="0"/>
        <v>0</v>
      </c>
      <c r="G42" s="9"/>
      <c r="H42" s="9"/>
      <c r="I42" s="9"/>
      <c r="J42" s="71">
        <f t="shared" si="1"/>
        <v>0</v>
      </c>
      <c r="K42" s="9"/>
      <c r="L42" s="9"/>
      <c r="M42" s="9"/>
      <c r="N42" s="71">
        <f t="shared" si="2"/>
        <v>0</v>
      </c>
      <c r="O42" s="2" t="s">
        <v>61</v>
      </c>
      <c r="P42" s="42">
        <f>SUM(X11:X23,X26:X95)</f>
        <v>0</v>
      </c>
      <c r="Q42" s="1">
        <v>17</v>
      </c>
      <c r="R42" s="1"/>
      <c r="S42" s="46"/>
      <c r="T42" s="49">
        <f t="shared" si="5"/>
        <v>0</v>
      </c>
      <c r="U42" s="49">
        <f t="shared" si="6"/>
        <v>0</v>
      </c>
      <c r="V42" s="3"/>
      <c r="W42" s="3"/>
      <c r="X42" s="3"/>
      <c r="Y42" s="2"/>
    </row>
    <row r="43" spans="1:25" ht="38.25" customHeight="1" x14ac:dyDescent="0.2">
      <c r="A43" s="9">
        <v>34</v>
      </c>
      <c r="B43" s="2"/>
      <c r="C43" s="9"/>
      <c r="D43" s="9"/>
      <c r="E43" s="9"/>
      <c r="F43" s="71">
        <f t="shared" si="0"/>
        <v>0</v>
      </c>
      <c r="G43" s="9"/>
      <c r="H43" s="9"/>
      <c r="I43" s="9"/>
      <c r="J43" s="71">
        <f t="shared" si="1"/>
        <v>0</v>
      </c>
      <c r="K43" s="9"/>
      <c r="L43" s="9"/>
      <c r="M43" s="9"/>
      <c r="N43" s="71">
        <f t="shared" si="2"/>
        <v>0</v>
      </c>
      <c r="O43" s="72" t="s">
        <v>62</v>
      </c>
      <c r="P43" s="73" t="e">
        <f>P41/P42</f>
        <v>#DIV/0!</v>
      </c>
      <c r="Q43" s="1">
        <v>18</v>
      </c>
      <c r="R43" s="1"/>
      <c r="S43" s="46"/>
      <c r="T43" s="49">
        <f t="shared" si="5"/>
        <v>0</v>
      </c>
      <c r="U43" s="49">
        <f t="shared" si="6"/>
        <v>0</v>
      </c>
      <c r="V43" s="3"/>
      <c r="W43" s="3"/>
      <c r="X43" s="3"/>
      <c r="Y43" s="2"/>
    </row>
    <row r="44" spans="1:25" ht="38.25" customHeight="1" x14ac:dyDescent="0.2">
      <c r="A44" s="9">
        <v>35</v>
      </c>
      <c r="B44" s="2"/>
      <c r="C44" s="9"/>
      <c r="D44" s="9"/>
      <c r="E44" s="9"/>
      <c r="F44" s="71">
        <f t="shared" si="0"/>
        <v>0</v>
      </c>
      <c r="G44" s="9"/>
      <c r="H44" s="9"/>
      <c r="I44" s="9"/>
      <c r="J44" s="71">
        <f t="shared" si="1"/>
        <v>0</v>
      </c>
      <c r="K44" s="9"/>
      <c r="L44" s="9"/>
      <c r="M44" s="9"/>
      <c r="N44" s="71">
        <f t="shared" si="2"/>
        <v>0</v>
      </c>
      <c r="O44" s="349" t="s">
        <v>63</v>
      </c>
      <c r="P44" s="350"/>
      <c r="Q44" s="1">
        <v>19</v>
      </c>
      <c r="R44" s="1"/>
      <c r="S44" s="46"/>
      <c r="T44" s="49">
        <f t="shared" si="5"/>
        <v>0</v>
      </c>
      <c r="U44" s="49">
        <f t="shared" si="6"/>
        <v>0</v>
      </c>
      <c r="V44" s="3"/>
      <c r="W44" s="3"/>
      <c r="X44" s="3"/>
      <c r="Y44" s="2"/>
    </row>
    <row r="45" spans="1:25" ht="38.25" customHeight="1" x14ac:dyDescent="0.2">
      <c r="A45" s="9">
        <v>36</v>
      </c>
      <c r="B45" s="2"/>
      <c r="C45" s="9"/>
      <c r="D45" s="9"/>
      <c r="E45" s="9"/>
      <c r="F45" s="71">
        <f t="shared" si="0"/>
        <v>0</v>
      </c>
      <c r="G45" s="9"/>
      <c r="H45" s="9"/>
      <c r="I45" s="9"/>
      <c r="J45" s="71">
        <f t="shared" si="1"/>
        <v>0</v>
      </c>
      <c r="K45" s="9"/>
      <c r="L45" s="9"/>
      <c r="M45" s="9"/>
      <c r="N45" s="71">
        <f t="shared" si="2"/>
        <v>0</v>
      </c>
      <c r="O45" s="2" t="s">
        <v>64</v>
      </c>
      <c r="P45" s="2"/>
      <c r="Q45" s="1">
        <v>20</v>
      </c>
      <c r="R45" s="1"/>
      <c r="S45" s="46"/>
      <c r="T45" s="49">
        <f t="shared" si="5"/>
        <v>0</v>
      </c>
      <c r="U45" s="49">
        <f t="shared" si="6"/>
        <v>0</v>
      </c>
      <c r="V45" s="3"/>
      <c r="W45" s="3"/>
      <c r="X45" s="3"/>
      <c r="Y45" s="2"/>
    </row>
    <row r="46" spans="1:25" ht="38.25" customHeight="1" x14ac:dyDescent="0.2">
      <c r="A46" s="9">
        <v>37</v>
      </c>
      <c r="B46" s="2"/>
      <c r="C46" s="9"/>
      <c r="D46" s="9"/>
      <c r="E46" s="9"/>
      <c r="F46" s="71">
        <f t="shared" si="0"/>
        <v>0</v>
      </c>
      <c r="G46" s="9"/>
      <c r="H46" s="9"/>
      <c r="I46" s="9"/>
      <c r="J46" s="71">
        <f t="shared" si="1"/>
        <v>0</v>
      </c>
      <c r="K46" s="9"/>
      <c r="L46" s="9"/>
      <c r="M46" s="9"/>
      <c r="N46" s="71">
        <f t="shared" si="2"/>
        <v>0</v>
      </c>
      <c r="O46" s="2" t="s">
        <v>65</v>
      </c>
      <c r="P46" s="2"/>
      <c r="Q46" s="1">
        <v>21</v>
      </c>
      <c r="R46" s="1"/>
      <c r="S46" s="46"/>
      <c r="T46" s="49">
        <f t="shared" si="5"/>
        <v>0</v>
      </c>
      <c r="U46" s="49">
        <f t="shared" si="6"/>
        <v>0</v>
      </c>
      <c r="V46" s="3"/>
      <c r="W46" s="3"/>
      <c r="X46" s="3"/>
      <c r="Y46" s="2"/>
    </row>
    <row r="47" spans="1:25" ht="38.25" customHeight="1" x14ac:dyDescent="0.2">
      <c r="A47" s="9">
        <v>38</v>
      </c>
      <c r="B47" s="2"/>
      <c r="C47" s="9"/>
      <c r="D47" s="9"/>
      <c r="E47" s="9"/>
      <c r="F47" s="71">
        <f t="shared" si="0"/>
        <v>0</v>
      </c>
      <c r="G47" s="9"/>
      <c r="H47" s="9"/>
      <c r="I47" s="9"/>
      <c r="J47" s="71">
        <f t="shared" si="1"/>
        <v>0</v>
      </c>
      <c r="K47" s="9"/>
      <c r="L47" s="9"/>
      <c r="M47" s="9"/>
      <c r="N47" s="71">
        <f t="shared" si="2"/>
        <v>0</v>
      </c>
      <c r="O47" s="1" t="s">
        <v>66</v>
      </c>
      <c r="P47" s="335"/>
      <c r="Q47" s="1">
        <v>22</v>
      </c>
      <c r="R47" s="1"/>
      <c r="S47" s="46"/>
      <c r="T47" s="49">
        <f t="shared" si="5"/>
        <v>0</v>
      </c>
      <c r="U47" s="49">
        <f t="shared" si="6"/>
        <v>0</v>
      </c>
      <c r="V47" s="3"/>
      <c r="W47" s="3"/>
      <c r="X47" s="3"/>
      <c r="Y47" s="2"/>
    </row>
    <row r="48" spans="1:25" ht="38.25" customHeight="1" x14ac:dyDescent="0.2">
      <c r="A48" s="9">
        <v>39</v>
      </c>
      <c r="B48" s="2"/>
      <c r="C48" s="9"/>
      <c r="D48" s="9"/>
      <c r="E48" s="9"/>
      <c r="F48" s="71">
        <f t="shared" si="0"/>
        <v>0</v>
      </c>
      <c r="G48" s="9"/>
      <c r="H48" s="9"/>
      <c r="I48" s="9"/>
      <c r="J48" s="71">
        <f t="shared" si="1"/>
        <v>0</v>
      </c>
      <c r="K48" s="9"/>
      <c r="L48" s="9"/>
      <c r="M48" s="9"/>
      <c r="N48" s="71">
        <f t="shared" si="2"/>
        <v>0</v>
      </c>
      <c r="O48" s="351" t="s">
        <v>67</v>
      </c>
      <c r="P48" s="351"/>
      <c r="Q48" s="1">
        <v>23</v>
      </c>
      <c r="R48" s="1"/>
      <c r="S48" s="46"/>
      <c r="T48" s="49">
        <f t="shared" si="5"/>
        <v>0</v>
      </c>
      <c r="U48" s="49">
        <f t="shared" si="6"/>
        <v>0</v>
      </c>
      <c r="V48" s="3"/>
      <c r="W48" s="3"/>
      <c r="X48" s="3"/>
      <c r="Y48" s="2"/>
    </row>
    <row r="49" spans="1:25" ht="38.25" customHeight="1" x14ac:dyDescent="0.2">
      <c r="A49" s="9">
        <v>40</v>
      </c>
      <c r="B49" s="2"/>
      <c r="C49" s="9"/>
      <c r="D49" s="9"/>
      <c r="E49" s="9"/>
      <c r="F49" s="71">
        <f t="shared" si="0"/>
        <v>0</v>
      </c>
      <c r="G49" s="9"/>
      <c r="H49" s="9"/>
      <c r="I49" s="9"/>
      <c r="J49" s="71">
        <f t="shared" si="1"/>
        <v>0</v>
      </c>
      <c r="K49" s="9"/>
      <c r="L49" s="9"/>
      <c r="M49" s="9"/>
      <c r="N49" s="71">
        <f t="shared" si="2"/>
        <v>0</v>
      </c>
      <c r="O49" s="145" t="s">
        <v>68</v>
      </c>
      <c r="P49" s="9"/>
      <c r="Q49" s="1">
        <v>24</v>
      </c>
      <c r="R49" s="1"/>
      <c r="S49" s="46"/>
      <c r="T49" s="49">
        <f t="shared" si="5"/>
        <v>0</v>
      </c>
      <c r="U49" s="49">
        <f t="shared" si="6"/>
        <v>0</v>
      </c>
      <c r="V49" s="3"/>
      <c r="W49" s="3"/>
      <c r="X49" s="3"/>
      <c r="Y49" s="2"/>
    </row>
    <row r="50" spans="1:25" ht="38.25" customHeight="1" x14ac:dyDescent="0.2">
      <c r="A50" s="9">
        <v>41</v>
      </c>
      <c r="B50" s="2"/>
      <c r="C50" s="9"/>
      <c r="D50" s="9"/>
      <c r="E50" s="9"/>
      <c r="F50" s="71">
        <f t="shared" si="0"/>
        <v>0</v>
      </c>
      <c r="G50" s="9"/>
      <c r="H50" s="9"/>
      <c r="I50" s="9"/>
      <c r="J50" s="71">
        <f t="shared" si="1"/>
        <v>0</v>
      </c>
      <c r="K50" s="9"/>
      <c r="L50" s="9"/>
      <c r="M50" s="9"/>
      <c r="N50" s="71">
        <f t="shared" si="2"/>
        <v>0</v>
      </c>
      <c r="O50" s="145" t="s">
        <v>69</v>
      </c>
      <c r="P50" s="9"/>
      <c r="Q50" s="356" t="s">
        <v>19</v>
      </c>
      <c r="R50" s="356"/>
      <c r="S50" s="356"/>
      <c r="T50" s="347">
        <f>SUM(T26:T49)</f>
        <v>0</v>
      </c>
      <c r="U50" s="347">
        <f>SUM(U26:U49)</f>
        <v>0</v>
      </c>
      <c r="V50" s="366">
        <f>COUNT(X26:X49)</f>
        <v>0</v>
      </c>
      <c r="W50" s="366"/>
      <c r="X50" s="366"/>
      <c r="Y50" s="366"/>
    </row>
    <row r="51" spans="1:25" ht="38.25" customHeight="1" x14ac:dyDescent="0.2">
      <c r="A51" s="9">
        <v>42</v>
      </c>
      <c r="B51" s="2"/>
      <c r="C51" s="9"/>
      <c r="D51" s="9"/>
      <c r="E51" s="9"/>
      <c r="F51" s="71">
        <f t="shared" si="0"/>
        <v>0</v>
      </c>
      <c r="G51" s="9"/>
      <c r="H51" s="9"/>
      <c r="I51" s="9"/>
      <c r="J51" s="71">
        <f t="shared" si="1"/>
        <v>0</v>
      </c>
      <c r="K51" s="9"/>
      <c r="L51" s="9"/>
      <c r="M51" s="9"/>
      <c r="N51" s="71">
        <f t="shared" si="2"/>
        <v>0</v>
      </c>
      <c r="O51" s="145" t="s">
        <v>70</v>
      </c>
      <c r="P51" s="9"/>
      <c r="Q51" s="367" t="s">
        <v>71</v>
      </c>
      <c r="R51" s="368"/>
      <c r="S51" s="368"/>
      <c r="T51" s="368"/>
      <c r="U51" s="368"/>
      <c r="V51" s="368"/>
      <c r="W51" s="368"/>
      <c r="X51" s="368"/>
      <c r="Y51" s="369"/>
    </row>
    <row r="52" spans="1:25" ht="38.25" customHeight="1" x14ac:dyDescent="0.2">
      <c r="A52" s="9">
        <v>43</v>
      </c>
      <c r="B52" s="2"/>
      <c r="C52" s="9"/>
      <c r="D52" s="9"/>
      <c r="E52" s="9"/>
      <c r="F52" s="71">
        <f t="shared" si="0"/>
        <v>0</v>
      </c>
      <c r="G52" s="9"/>
      <c r="H52" s="9"/>
      <c r="I52" s="9"/>
      <c r="J52" s="71">
        <f t="shared" si="1"/>
        <v>0</v>
      </c>
      <c r="K52" s="9"/>
      <c r="L52" s="9"/>
      <c r="M52" s="9"/>
      <c r="N52" s="71">
        <f t="shared" si="2"/>
        <v>0</v>
      </c>
      <c r="O52" s="145" t="s">
        <v>72</v>
      </c>
      <c r="P52" s="9"/>
      <c r="Q52" s="1">
        <v>1</v>
      </c>
      <c r="R52" s="1"/>
      <c r="S52" s="46"/>
      <c r="T52" s="49">
        <f t="shared" ref="T52:T75" si="7">COUNTIF($E$10:$E$478,R52)</f>
        <v>0</v>
      </c>
      <c r="U52" s="49">
        <f t="shared" ref="U52:U75" si="8">SUMIFS($F$10:$F$478,$E$10:$E$478,R52)</f>
        <v>0</v>
      </c>
      <c r="V52" s="3"/>
      <c r="W52" s="3"/>
      <c r="X52" s="3"/>
      <c r="Y52" s="2"/>
    </row>
    <row r="53" spans="1:25" ht="38.25" customHeight="1" x14ac:dyDescent="0.2">
      <c r="A53" s="9">
        <v>44</v>
      </c>
      <c r="B53" s="2"/>
      <c r="C53" s="9"/>
      <c r="D53" s="9"/>
      <c r="E53" s="9"/>
      <c r="F53" s="71">
        <f t="shared" si="0"/>
        <v>0</v>
      </c>
      <c r="G53" s="9"/>
      <c r="H53" s="9"/>
      <c r="I53" s="9"/>
      <c r="J53" s="71">
        <f t="shared" si="1"/>
        <v>0</v>
      </c>
      <c r="K53" s="9"/>
      <c r="L53" s="9"/>
      <c r="M53" s="9"/>
      <c r="N53" s="71">
        <f t="shared" si="2"/>
        <v>0</v>
      </c>
      <c r="O53" s="1" t="s">
        <v>19</v>
      </c>
      <c r="P53" s="12">
        <f>SUM(P49:P52)</f>
        <v>0</v>
      </c>
      <c r="Q53" s="1">
        <v>2</v>
      </c>
      <c r="R53" s="1"/>
      <c r="S53" s="46"/>
      <c r="T53" s="49">
        <f t="shared" si="7"/>
        <v>0</v>
      </c>
      <c r="U53" s="49">
        <f t="shared" si="8"/>
        <v>0</v>
      </c>
      <c r="V53" s="3"/>
      <c r="W53" s="3"/>
      <c r="X53" s="3"/>
      <c r="Y53" s="2"/>
    </row>
    <row r="54" spans="1:25" ht="38.25" customHeight="1" x14ac:dyDescent="0.2">
      <c r="A54" s="9">
        <v>45</v>
      </c>
      <c r="B54" s="2"/>
      <c r="C54" s="9"/>
      <c r="D54" s="9"/>
      <c r="E54" s="9"/>
      <c r="F54" s="71">
        <f t="shared" si="0"/>
        <v>0</v>
      </c>
      <c r="G54" s="9"/>
      <c r="H54" s="9"/>
      <c r="I54" s="9"/>
      <c r="J54" s="71">
        <f t="shared" si="1"/>
        <v>0</v>
      </c>
      <c r="K54" s="9"/>
      <c r="L54" s="9"/>
      <c r="M54" s="9"/>
      <c r="N54" s="71">
        <f t="shared" si="2"/>
        <v>0</v>
      </c>
      <c r="O54" s="351" t="s">
        <v>73</v>
      </c>
      <c r="P54" s="351"/>
      <c r="Q54" s="1">
        <v>3</v>
      </c>
      <c r="R54" s="1"/>
      <c r="S54" s="46"/>
      <c r="T54" s="49">
        <f t="shared" si="7"/>
        <v>0</v>
      </c>
      <c r="U54" s="49">
        <f t="shared" si="8"/>
        <v>0</v>
      </c>
      <c r="V54" s="3"/>
      <c r="W54" s="3"/>
      <c r="X54" s="3"/>
      <c r="Y54" s="2"/>
    </row>
    <row r="55" spans="1:25" ht="38.25" customHeight="1" x14ac:dyDescent="0.2">
      <c r="A55" s="9">
        <v>46</v>
      </c>
      <c r="B55" s="2"/>
      <c r="C55" s="9"/>
      <c r="D55" s="9"/>
      <c r="E55" s="9"/>
      <c r="F55" s="71">
        <f t="shared" si="0"/>
        <v>0</v>
      </c>
      <c r="G55" s="9"/>
      <c r="H55" s="9"/>
      <c r="I55" s="9"/>
      <c r="J55" s="71">
        <f t="shared" si="1"/>
        <v>0</v>
      </c>
      <c r="K55" s="9"/>
      <c r="L55" s="9"/>
      <c r="M55" s="9"/>
      <c r="N55" s="71">
        <f t="shared" si="2"/>
        <v>0</v>
      </c>
      <c r="O55" s="1" t="s">
        <v>69</v>
      </c>
      <c r="P55" s="12">
        <f>P50</f>
        <v>0</v>
      </c>
      <c r="Q55" s="1">
        <v>4</v>
      </c>
      <c r="R55" s="1"/>
      <c r="S55" s="46"/>
      <c r="T55" s="49">
        <f t="shared" si="7"/>
        <v>0</v>
      </c>
      <c r="U55" s="49">
        <f t="shared" si="8"/>
        <v>0</v>
      </c>
      <c r="V55" s="3"/>
      <c r="W55" s="3"/>
      <c r="X55" s="3"/>
      <c r="Y55" s="2"/>
    </row>
    <row r="56" spans="1:25" ht="38.25" customHeight="1" x14ac:dyDescent="0.2">
      <c r="A56" s="9">
        <v>47</v>
      </c>
      <c r="B56" s="2"/>
      <c r="C56" s="9"/>
      <c r="D56" s="9"/>
      <c r="E56" s="9"/>
      <c r="F56" s="71">
        <f t="shared" si="0"/>
        <v>0</v>
      </c>
      <c r="G56" s="9"/>
      <c r="H56" s="9"/>
      <c r="I56" s="9"/>
      <c r="J56" s="71">
        <f t="shared" si="1"/>
        <v>0</v>
      </c>
      <c r="K56" s="9"/>
      <c r="L56" s="9"/>
      <c r="M56" s="9"/>
      <c r="N56" s="71">
        <f t="shared" si="2"/>
        <v>0</v>
      </c>
      <c r="O56" s="1" t="s">
        <v>70</v>
      </c>
      <c r="P56" s="354">
        <f>P51</f>
        <v>0</v>
      </c>
      <c r="Q56" s="1">
        <v>5</v>
      </c>
      <c r="R56" s="1"/>
      <c r="S56" s="46"/>
      <c r="T56" s="49">
        <f t="shared" si="7"/>
        <v>0</v>
      </c>
      <c r="U56" s="49">
        <f t="shared" si="8"/>
        <v>0</v>
      </c>
      <c r="V56" s="3"/>
      <c r="W56" s="3"/>
      <c r="X56" s="3"/>
      <c r="Y56" s="2"/>
    </row>
    <row r="57" spans="1:25" ht="38.25" customHeight="1" x14ac:dyDescent="0.2">
      <c r="A57" s="9">
        <v>48</v>
      </c>
      <c r="B57" s="2"/>
      <c r="C57" s="9"/>
      <c r="D57" s="9"/>
      <c r="E57" s="9"/>
      <c r="F57" s="71">
        <f t="shared" si="0"/>
        <v>0</v>
      </c>
      <c r="G57" s="9"/>
      <c r="H57" s="9"/>
      <c r="I57" s="9"/>
      <c r="J57" s="71">
        <f t="shared" si="1"/>
        <v>0</v>
      </c>
      <c r="K57" s="9"/>
      <c r="L57" s="9"/>
      <c r="M57" s="9"/>
      <c r="N57" s="71">
        <f t="shared" si="2"/>
        <v>0</v>
      </c>
      <c r="O57" s="353" t="s">
        <v>68</v>
      </c>
      <c r="P57" s="352"/>
      <c r="Q57" s="46">
        <v>6</v>
      </c>
      <c r="R57" s="1"/>
      <c r="S57" s="46"/>
      <c r="T57" s="49">
        <f t="shared" si="7"/>
        <v>0</v>
      </c>
      <c r="U57" s="49">
        <f t="shared" si="8"/>
        <v>0</v>
      </c>
      <c r="V57" s="3"/>
      <c r="W57" s="3"/>
      <c r="X57" s="3"/>
      <c r="Y57" s="2"/>
    </row>
    <row r="58" spans="1:25" ht="38.25" customHeight="1" x14ac:dyDescent="0.2">
      <c r="A58" s="9">
        <v>49</v>
      </c>
      <c r="B58" s="2"/>
      <c r="C58" s="9"/>
      <c r="D58" s="9"/>
      <c r="E58" s="9"/>
      <c r="F58" s="71">
        <f t="shared" si="0"/>
        <v>0</v>
      </c>
      <c r="G58" s="9"/>
      <c r="H58" s="9"/>
      <c r="I58" s="9"/>
      <c r="J58" s="71">
        <f t="shared" si="1"/>
        <v>0</v>
      </c>
      <c r="K58" s="9"/>
      <c r="L58" s="9"/>
      <c r="M58" s="9"/>
      <c r="N58" s="71">
        <f t="shared" si="2"/>
        <v>0</v>
      </c>
      <c r="O58" s="145" t="s">
        <v>72</v>
      </c>
      <c r="P58" s="355"/>
      <c r="Q58" s="1">
        <v>7</v>
      </c>
      <c r="R58" s="1"/>
      <c r="S58" s="46"/>
      <c r="T58" s="49">
        <f t="shared" si="7"/>
        <v>0</v>
      </c>
      <c r="U58" s="49">
        <f t="shared" si="8"/>
        <v>0</v>
      </c>
      <c r="V58" s="3"/>
      <c r="W58" s="3"/>
      <c r="X58" s="3"/>
      <c r="Y58" s="2"/>
    </row>
    <row r="59" spans="1:25" ht="38.25" customHeight="1" x14ac:dyDescent="0.2">
      <c r="A59" s="9">
        <v>50</v>
      </c>
      <c r="B59" s="2"/>
      <c r="C59" s="9"/>
      <c r="D59" s="9"/>
      <c r="E59" s="9"/>
      <c r="F59" s="71">
        <f t="shared" si="0"/>
        <v>0</v>
      </c>
      <c r="G59" s="9"/>
      <c r="H59" s="9"/>
      <c r="I59" s="9"/>
      <c r="J59" s="71">
        <f t="shared" si="1"/>
        <v>0</v>
      </c>
      <c r="K59" s="9"/>
      <c r="L59" s="9"/>
      <c r="M59" s="9"/>
      <c r="N59" s="71">
        <f t="shared" si="2"/>
        <v>0</v>
      </c>
      <c r="O59" s="2" t="s">
        <v>19</v>
      </c>
      <c r="P59" s="11">
        <f>SUM(P55:P58)</f>
        <v>0</v>
      </c>
      <c r="Q59" s="1">
        <v>8</v>
      </c>
      <c r="R59" s="1"/>
      <c r="S59" s="46"/>
      <c r="T59" s="49">
        <f t="shared" si="7"/>
        <v>0</v>
      </c>
      <c r="U59" s="49">
        <f t="shared" si="8"/>
        <v>0</v>
      </c>
      <c r="V59" s="3"/>
      <c r="W59" s="3"/>
      <c r="X59" s="3"/>
      <c r="Y59" s="2"/>
    </row>
    <row r="60" spans="1:25" ht="38.25" customHeight="1" x14ac:dyDescent="0.2">
      <c r="A60" s="9">
        <v>51</v>
      </c>
      <c r="B60" s="2"/>
      <c r="C60" s="9"/>
      <c r="D60" s="9"/>
      <c r="E60" s="9"/>
      <c r="F60" s="71">
        <f t="shared" si="0"/>
        <v>0</v>
      </c>
      <c r="G60" s="9"/>
      <c r="H60" s="9"/>
      <c r="I60" s="9"/>
      <c r="J60" s="71">
        <f t="shared" si="1"/>
        <v>0</v>
      </c>
      <c r="K60" s="9"/>
      <c r="L60" s="9"/>
      <c r="M60" s="9"/>
      <c r="N60" s="71">
        <f t="shared" si="2"/>
        <v>0</v>
      </c>
      <c r="O60" s="376" t="s">
        <v>74</v>
      </c>
      <c r="P60" s="377"/>
      <c r="Q60" s="1">
        <v>9</v>
      </c>
      <c r="R60" s="1"/>
      <c r="S60" s="46"/>
      <c r="T60" s="49">
        <f t="shared" si="7"/>
        <v>0</v>
      </c>
      <c r="U60" s="49">
        <f t="shared" si="8"/>
        <v>0</v>
      </c>
      <c r="V60" s="3"/>
      <c r="W60" s="3"/>
      <c r="X60" s="3"/>
      <c r="Y60" s="2"/>
    </row>
    <row r="61" spans="1:25" ht="38.25" customHeight="1" x14ac:dyDescent="0.2">
      <c r="A61" s="9">
        <v>52</v>
      </c>
      <c r="B61" s="2"/>
      <c r="C61" s="9"/>
      <c r="D61" s="9"/>
      <c r="E61" s="9"/>
      <c r="F61" s="71">
        <f t="shared" si="0"/>
        <v>0</v>
      </c>
      <c r="G61" s="9"/>
      <c r="H61" s="9"/>
      <c r="I61" s="9"/>
      <c r="J61" s="71">
        <f t="shared" si="1"/>
        <v>0</v>
      </c>
      <c r="K61" s="9"/>
      <c r="L61" s="9"/>
      <c r="M61" s="9"/>
      <c r="N61" s="71">
        <f t="shared" si="2"/>
        <v>0</v>
      </c>
      <c r="O61" s="42" t="s">
        <v>8</v>
      </c>
      <c r="P61" s="42">
        <f>SUM(U26:U49)</f>
        <v>0</v>
      </c>
      <c r="Q61" s="1">
        <v>10</v>
      </c>
      <c r="R61" s="1"/>
      <c r="S61" s="46"/>
      <c r="T61" s="49">
        <f t="shared" si="7"/>
        <v>0</v>
      </c>
      <c r="U61" s="49">
        <f t="shared" si="8"/>
        <v>0</v>
      </c>
      <c r="V61" s="3"/>
      <c r="W61" s="3"/>
      <c r="X61" s="3"/>
      <c r="Y61" s="2"/>
    </row>
    <row r="62" spans="1:25" ht="38.25" customHeight="1" x14ac:dyDescent="0.2">
      <c r="A62" s="9">
        <v>53</v>
      </c>
      <c r="B62" s="2"/>
      <c r="C62" s="9"/>
      <c r="D62" s="9"/>
      <c r="E62" s="9"/>
      <c r="F62" s="71">
        <f t="shared" si="0"/>
        <v>0</v>
      </c>
      <c r="G62" s="9"/>
      <c r="H62" s="9"/>
      <c r="I62" s="9"/>
      <c r="J62" s="71">
        <f t="shared" si="1"/>
        <v>0</v>
      </c>
      <c r="K62" s="9"/>
      <c r="L62" s="9"/>
      <c r="M62" s="9"/>
      <c r="N62" s="71">
        <f t="shared" si="2"/>
        <v>0</v>
      </c>
      <c r="O62" s="42" t="s">
        <v>61</v>
      </c>
      <c r="P62" s="42">
        <f>SUM(X26:X49)</f>
        <v>0</v>
      </c>
      <c r="Q62" s="1">
        <v>11</v>
      </c>
      <c r="R62" s="1"/>
      <c r="S62" s="46"/>
      <c r="T62" s="49">
        <f t="shared" si="7"/>
        <v>0</v>
      </c>
      <c r="U62" s="49">
        <f t="shared" si="8"/>
        <v>0</v>
      </c>
      <c r="V62" s="3"/>
      <c r="W62" s="3"/>
      <c r="X62" s="3"/>
      <c r="Y62" s="2"/>
    </row>
    <row r="63" spans="1:25" ht="38.25" customHeight="1" x14ac:dyDescent="0.2">
      <c r="A63" s="9">
        <v>54</v>
      </c>
      <c r="B63" s="2"/>
      <c r="C63" s="9"/>
      <c r="D63" s="9"/>
      <c r="E63" s="9"/>
      <c r="F63" s="71">
        <f t="shared" si="0"/>
        <v>0</v>
      </c>
      <c r="G63" s="9"/>
      <c r="H63" s="9"/>
      <c r="I63" s="9"/>
      <c r="J63" s="71">
        <f t="shared" si="1"/>
        <v>0</v>
      </c>
      <c r="K63" s="9"/>
      <c r="L63" s="9"/>
      <c r="M63" s="9"/>
      <c r="N63" s="71">
        <f t="shared" si="2"/>
        <v>0</v>
      </c>
      <c r="O63" s="302" t="s">
        <v>62</v>
      </c>
      <c r="P63" s="303" t="e">
        <f>P61/P62</f>
        <v>#DIV/0!</v>
      </c>
      <c r="Q63" s="1">
        <v>12</v>
      </c>
      <c r="R63" s="1"/>
      <c r="S63" s="46"/>
      <c r="T63" s="49">
        <f t="shared" si="7"/>
        <v>0</v>
      </c>
      <c r="U63" s="49">
        <f t="shared" si="8"/>
        <v>0</v>
      </c>
      <c r="V63" s="3"/>
      <c r="W63" s="3"/>
      <c r="X63" s="3"/>
      <c r="Y63" s="2"/>
    </row>
    <row r="64" spans="1:25" ht="38.25" customHeight="1" x14ac:dyDescent="0.2">
      <c r="A64" s="9">
        <v>55</v>
      </c>
      <c r="B64" s="2"/>
      <c r="C64" s="9"/>
      <c r="D64" s="9"/>
      <c r="E64" s="9"/>
      <c r="F64" s="71">
        <f t="shared" si="0"/>
        <v>0</v>
      </c>
      <c r="G64" s="9"/>
      <c r="H64" s="9"/>
      <c r="I64" s="9"/>
      <c r="J64" s="71">
        <f t="shared" si="1"/>
        <v>0</v>
      </c>
      <c r="K64" s="9"/>
      <c r="L64" s="9"/>
      <c r="M64" s="9"/>
      <c r="N64" s="71">
        <f t="shared" si="2"/>
        <v>0</v>
      </c>
      <c r="O64" s="376" t="s">
        <v>75</v>
      </c>
      <c r="P64" s="377"/>
      <c r="Q64" s="1">
        <v>13</v>
      </c>
      <c r="R64" s="1"/>
      <c r="S64" s="46"/>
      <c r="T64" s="49">
        <f t="shared" si="7"/>
        <v>0</v>
      </c>
      <c r="U64" s="49">
        <f t="shared" si="8"/>
        <v>0</v>
      </c>
      <c r="V64" s="3"/>
      <c r="W64" s="3"/>
      <c r="X64" s="3"/>
      <c r="Y64" s="2"/>
    </row>
    <row r="65" spans="1:25" ht="38.25" customHeight="1" x14ac:dyDescent="0.2">
      <c r="A65" s="9">
        <v>56</v>
      </c>
      <c r="B65" s="2"/>
      <c r="C65" s="9"/>
      <c r="D65" s="9"/>
      <c r="E65" s="9"/>
      <c r="F65" s="71">
        <f t="shared" si="0"/>
        <v>0</v>
      </c>
      <c r="G65" s="9"/>
      <c r="H65" s="9"/>
      <c r="I65" s="9"/>
      <c r="J65" s="71">
        <f t="shared" si="1"/>
        <v>0</v>
      </c>
      <c r="K65" s="9"/>
      <c r="L65" s="9"/>
      <c r="M65" s="9"/>
      <c r="N65" s="71">
        <f t="shared" si="2"/>
        <v>0</v>
      </c>
      <c r="O65" s="42" t="s">
        <v>8</v>
      </c>
      <c r="P65" s="42">
        <f>SUM(U52:U75)</f>
        <v>0</v>
      </c>
      <c r="Q65" s="1">
        <v>14</v>
      </c>
      <c r="R65" s="1"/>
      <c r="S65" s="46"/>
      <c r="T65" s="49">
        <f t="shared" si="7"/>
        <v>0</v>
      </c>
      <c r="U65" s="49">
        <f t="shared" si="8"/>
        <v>0</v>
      </c>
      <c r="V65" s="3"/>
      <c r="W65" s="3"/>
      <c r="X65" s="3"/>
      <c r="Y65" s="2"/>
    </row>
    <row r="66" spans="1:25" ht="38.25" customHeight="1" x14ac:dyDescent="0.2">
      <c r="A66" s="9">
        <v>57</v>
      </c>
      <c r="B66" s="2"/>
      <c r="C66" s="9"/>
      <c r="D66" s="9"/>
      <c r="E66" s="9"/>
      <c r="F66" s="71">
        <f t="shared" si="0"/>
        <v>0</v>
      </c>
      <c r="G66" s="9"/>
      <c r="H66" s="9"/>
      <c r="I66" s="9"/>
      <c r="J66" s="71">
        <f t="shared" si="1"/>
        <v>0</v>
      </c>
      <c r="K66" s="9"/>
      <c r="L66" s="9"/>
      <c r="M66" s="9"/>
      <c r="N66" s="71">
        <f t="shared" si="2"/>
        <v>0</v>
      </c>
      <c r="O66" s="42" t="s">
        <v>61</v>
      </c>
      <c r="P66" s="42">
        <f>SUM(X52:X75)</f>
        <v>0</v>
      </c>
      <c r="Q66" s="1">
        <v>15</v>
      </c>
      <c r="R66" s="1"/>
      <c r="S66" s="46"/>
      <c r="T66" s="49">
        <f t="shared" si="7"/>
        <v>0</v>
      </c>
      <c r="U66" s="49">
        <f t="shared" si="8"/>
        <v>0</v>
      </c>
      <c r="V66" s="3"/>
      <c r="W66" s="3"/>
      <c r="X66" s="3"/>
      <c r="Y66" s="2"/>
    </row>
    <row r="67" spans="1:25" ht="38.25" customHeight="1" x14ac:dyDescent="0.2">
      <c r="A67" s="9">
        <v>58</v>
      </c>
      <c r="B67" s="2"/>
      <c r="C67" s="9"/>
      <c r="D67" s="9"/>
      <c r="E67" s="9"/>
      <c r="F67" s="71">
        <f t="shared" si="0"/>
        <v>0</v>
      </c>
      <c r="G67" s="9"/>
      <c r="H67" s="9"/>
      <c r="I67" s="9"/>
      <c r="J67" s="71">
        <f t="shared" si="1"/>
        <v>0</v>
      </c>
      <c r="K67" s="9"/>
      <c r="L67" s="9"/>
      <c r="M67" s="9"/>
      <c r="N67" s="71">
        <f t="shared" si="2"/>
        <v>0</v>
      </c>
      <c r="O67" s="302" t="s">
        <v>62</v>
      </c>
      <c r="P67" s="303" t="e">
        <f>P65/P66</f>
        <v>#DIV/0!</v>
      </c>
      <c r="Q67" s="1">
        <v>16</v>
      </c>
      <c r="R67" s="1"/>
      <c r="S67" s="46"/>
      <c r="T67" s="49">
        <f t="shared" si="7"/>
        <v>0</v>
      </c>
      <c r="U67" s="49">
        <f t="shared" si="8"/>
        <v>0</v>
      </c>
      <c r="V67" s="3"/>
      <c r="W67" s="3"/>
      <c r="X67" s="3"/>
      <c r="Y67" s="2"/>
    </row>
    <row r="68" spans="1:25" ht="38.25" customHeight="1" x14ac:dyDescent="0.2">
      <c r="A68" s="9">
        <v>59</v>
      </c>
      <c r="B68" s="2"/>
      <c r="C68" s="9"/>
      <c r="D68" s="9"/>
      <c r="E68" s="9"/>
      <c r="F68" s="71">
        <f t="shared" si="0"/>
        <v>0</v>
      </c>
      <c r="G68" s="9"/>
      <c r="H68" s="9"/>
      <c r="I68" s="9"/>
      <c r="J68" s="71">
        <f t="shared" si="1"/>
        <v>0</v>
      </c>
      <c r="K68" s="9"/>
      <c r="L68" s="9"/>
      <c r="M68" s="9"/>
      <c r="N68" s="71">
        <f t="shared" si="2"/>
        <v>0</v>
      </c>
      <c r="O68" s="376" t="s">
        <v>76</v>
      </c>
      <c r="P68" s="377"/>
      <c r="Q68" s="1">
        <v>17</v>
      </c>
      <c r="R68" s="1"/>
      <c r="S68" s="46"/>
      <c r="T68" s="49">
        <f t="shared" si="7"/>
        <v>0</v>
      </c>
      <c r="U68" s="49">
        <f t="shared" si="8"/>
        <v>0</v>
      </c>
      <c r="V68" s="3"/>
      <c r="W68" s="3"/>
      <c r="X68" s="3"/>
      <c r="Y68" s="2"/>
    </row>
    <row r="69" spans="1:25" ht="38.25" customHeight="1" x14ac:dyDescent="0.2">
      <c r="A69" s="9">
        <v>60</v>
      </c>
      <c r="B69" s="2"/>
      <c r="C69" s="9"/>
      <c r="D69" s="9"/>
      <c r="E69" s="9"/>
      <c r="F69" s="71">
        <f t="shared" si="0"/>
        <v>0</v>
      </c>
      <c r="G69" s="9"/>
      <c r="H69" s="9"/>
      <c r="I69" s="9"/>
      <c r="J69" s="71">
        <f t="shared" si="1"/>
        <v>0</v>
      </c>
      <c r="K69" s="9"/>
      <c r="L69" s="9"/>
      <c r="M69" s="9"/>
      <c r="N69" s="71">
        <f t="shared" si="2"/>
        <v>0</v>
      </c>
      <c r="O69" s="42" t="s">
        <v>8</v>
      </c>
      <c r="P69" s="42">
        <f>SUM(U78:U85)</f>
        <v>0</v>
      </c>
      <c r="Q69" s="1">
        <v>18</v>
      </c>
      <c r="R69" s="1"/>
      <c r="S69" s="46"/>
      <c r="T69" s="49">
        <f t="shared" si="7"/>
        <v>0</v>
      </c>
      <c r="U69" s="49">
        <f t="shared" si="8"/>
        <v>0</v>
      </c>
      <c r="V69" s="3"/>
      <c r="W69" s="3"/>
      <c r="X69" s="3"/>
      <c r="Y69" s="2"/>
    </row>
    <row r="70" spans="1:25" ht="38.25" customHeight="1" x14ac:dyDescent="0.2">
      <c r="A70" s="9">
        <v>61</v>
      </c>
      <c r="B70" s="2"/>
      <c r="C70" s="9"/>
      <c r="D70" s="9"/>
      <c r="E70" s="9"/>
      <c r="F70" s="71">
        <f t="shared" si="0"/>
        <v>0</v>
      </c>
      <c r="G70" s="9"/>
      <c r="H70" s="9"/>
      <c r="I70" s="9"/>
      <c r="J70" s="71">
        <f t="shared" si="1"/>
        <v>0</v>
      </c>
      <c r="K70" s="9"/>
      <c r="L70" s="9"/>
      <c r="M70" s="9"/>
      <c r="N70" s="71">
        <f t="shared" si="2"/>
        <v>0</v>
      </c>
      <c r="O70" s="42" t="s">
        <v>61</v>
      </c>
      <c r="P70" s="42">
        <f>SUM(X78:X84)</f>
        <v>0</v>
      </c>
      <c r="Q70" s="1">
        <v>19</v>
      </c>
      <c r="R70" s="1"/>
      <c r="S70" s="46"/>
      <c r="T70" s="49">
        <f t="shared" si="7"/>
        <v>0</v>
      </c>
      <c r="U70" s="49">
        <f t="shared" si="8"/>
        <v>0</v>
      </c>
      <c r="V70" s="3"/>
      <c r="W70" s="3"/>
      <c r="X70" s="3"/>
      <c r="Y70" s="2"/>
    </row>
    <row r="71" spans="1:25" ht="38.25" customHeight="1" x14ac:dyDescent="0.2">
      <c r="A71" s="9">
        <v>62</v>
      </c>
      <c r="B71" s="2"/>
      <c r="C71" s="9"/>
      <c r="D71" s="9"/>
      <c r="E71" s="9"/>
      <c r="F71" s="71">
        <f t="shared" si="0"/>
        <v>0</v>
      </c>
      <c r="G71" s="9"/>
      <c r="H71" s="9"/>
      <c r="I71" s="9"/>
      <c r="J71" s="71">
        <f t="shared" si="1"/>
        <v>0</v>
      </c>
      <c r="K71" s="9"/>
      <c r="L71" s="9"/>
      <c r="M71" s="9"/>
      <c r="N71" s="71">
        <f t="shared" si="2"/>
        <v>0</v>
      </c>
      <c r="O71" s="302" t="s">
        <v>62</v>
      </c>
      <c r="P71" s="303" t="e">
        <f>P69/P70</f>
        <v>#DIV/0!</v>
      </c>
      <c r="Q71" s="1">
        <v>20</v>
      </c>
      <c r="R71" s="1"/>
      <c r="S71" s="46"/>
      <c r="T71" s="49">
        <f t="shared" si="7"/>
        <v>0</v>
      </c>
      <c r="U71" s="49">
        <f t="shared" si="8"/>
        <v>0</v>
      </c>
      <c r="V71" s="3"/>
      <c r="W71" s="3"/>
      <c r="X71" s="3"/>
      <c r="Y71" s="2"/>
    </row>
    <row r="72" spans="1:25" ht="38.25" customHeight="1" x14ac:dyDescent="0.2">
      <c r="A72" s="9">
        <v>63</v>
      </c>
      <c r="B72" s="2"/>
      <c r="C72" s="9"/>
      <c r="D72" s="9"/>
      <c r="E72" s="9"/>
      <c r="F72" s="71">
        <f t="shared" si="0"/>
        <v>0</v>
      </c>
      <c r="G72" s="9"/>
      <c r="H72" s="9"/>
      <c r="I72" s="9"/>
      <c r="J72" s="71">
        <f t="shared" si="1"/>
        <v>0</v>
      </c>
      <c r="K72" s="9"/>
      <c r="L72" s="9"/>
      <c r="M72" s="9"/>
      <c r="N72" s="71">
        <f t="shared" si="2"/>
        <v>0</v>
      </c>
      <c r="O72" s="376" t="s">
        <v>77</v>
      </c>
      <c r="P72" s="377"/>
      <c r="Q72" s="1">
        <v>21</v>
      </c>
      <c r="R72" s="1"/>
      <c r="S72" s="46"/>
      <c r="T72" s="49">
        <f t="shared" si="7"/>
        <v>0</v>
      </c>
      <c r="U72" s="49">
        <f t="shared" si="8"/>
        <v>0</v>
      </c>
      <c r="V72" s="3"/>
      <c r="W72" s="3"/>
      <c r="X72" s="3"/>
      <c r="Y72" s="2"/>
    </row>
    <row r="73" spans="1:25" ht="38.25" customHeight="1" x14ac:dyDescent="0.2">
      <c r="A73" s="9">
        <v>64</v>
      </c>
      <c r="B73" s="2"/>
      <c r="C73" s="9"/>
      <c r="D73" s="9"/>
      <c r="E73" s="9"/>
      <c r="F73" s="71">
        <f t="shared" si="0"/>
        <v>0</v>
      </c>
      <c r="G73" s="9"/>
      <c r="H73" s="9"/>
      <c r="I73" s="9"/>
      <c r="J73" s="71">
        <f t="shared" si="1"/>
        <v>0</v>
      </c>
      <c r="K73" s="9"/>
      <c r="L73" s="9"/>
      <c r="M73" s="9"/>
      <c r="N73" s="71">
        <f t="shared" si="2"/>
        <v>0</v>
      </c>
      <c r="O73" s="42" t="s">
        <v>8</v>
      </c>
      <c r="P73" s="42">
        <f>SUM(U87:U95)</f>
        <v>0</v>
      </c>
      <c r="Q73" s="1">
        <v>22</v>
      </c>
      <c r="R73" s="1"/>
      <c r="S73" s="46"/>
      <c r="T73" s="49">
        <f t="shared" si="7"/>
        <v>0</v>
      </c>
      <c r="U73" s="49">
        <f t="shared" si="8"/>
        <v>0</v>
      </c>
      <c r="V73" s="3"/>
      <c r="W73" s="3"/>
      <c r="X73" s="3"/>
      <c r="Y73" s="2"/>
    </row>
    <row r="74" spans="1:25" ht="38.25" customHeight="1" x14ac:dyDescent="0.2">
      <c r="A74" s="9">
        <v>65</v>
      </c>
      <c r="B74" s="2"/>
      <c r="C74" s="9"/>
      <c r="D74" s="9"/>
      <c r="E74" s="9"/>
      <c r="F74" s="71">
        <f t="shared" si="0"/>
        <v>0</v>
      </c>
      <c r="G74" s="9"/>
      <c r="H74" s="9"/>
      <c r="I74" s="9"/>
      <c r="J74" s="71">
        <f t="shared" si="1"/>
        <v>0</v>
      </c>
      <c r="K74" s="9"/>
      <c r="L74" s="9"/>
      <c r="M74" s="9"/>
      <c r="N74" s="71">
        <f t="shared" si="2"/>
        <v>0</v>
      </c>
      <c r="O74" s="42" t="s">
        <v>61</v>
      </c>
      <c r="P74" s="42">
        <f>SUM(X87:X95)</f>
        <v>0</v>
      </c>
      <c r="Q74" s="1">
        <v>23</v>
      </c>
      <c r="R74" s="1"/>
      <c r="S74" s="46"/>
      <c r="T74" s="49">
        <f t="shared" si="7"/>
        <v>0</v>
      </c>
      <c r="U74" s="49">
        <f t="shared" si="8"/>
        <v>0</v>
      </c>
      <c r="V74" s="3"/>
      <c r="W74" s="3"/>
      <c r="X74" s="3"/>
      <c r="Y74" s="2"/>
    </row>
    <row r="75" spans="1:25" ht="38.25" customHeight="1" x14ac:dyDescent="0.2">
      <c r="A75" s="9">
        <v>66</v>
      </c>
      <c r="B75" s="2"/>
      <c r="C75" s="9"/>
      <c r="D75" s="9"/>
      <c r="E75" s="9"/>
      <c r="F75" s="71">
        <f t="shared" si="0"/>
        <v>0</v>
      </c>
      <c r="G75" s="9"/>
      <c r="H75" s="9"/>
      <c r="I75" s="9"/>
      <c r="J75" s="71">
        <f t="shared" si="1"/>
        <v>0</v>
      </c>
      <c r="K75" s="9"/>
      <c r="L75" s="9"/>
      <c r="M75" s="9"/>
      <c r="N75" s="71">
        <f t="shared" si="2"/>
        <v>0</v>
      </c>
      <c r="O75" s="302" t="s">
        <v>62</v>
      </c>
      <c r="P75" s="303" t="e">
        <f>P73/P74</f>
        <v>#DIV/0!</v>
      </c>
      <c r="Q75" s="1">
        <v>24</v>
      </c>
      <c r="R75" s="1"/>
      <c r="S75" s="46"/>
      <c r="T75" s="49">
        <f t="shared" si="7"/>
        <v>0</v>
      </c>
      <c r="U75" s="49">
        <f t="shared" si="8"/>
        <v>0</v>
      </c>
      <c r="V75" s="3"/>
      <c r="W75" s="3"/>
      <c r="X75" s="3"/>
      <c r="Y75" s="2"/>
    </row>
    <row r="76" spans="1:25" ht="38.25" customHeight="1" x14ac:dyDescent="0.2">
      <c r="A76" s="9">
        <v>67</v>
      </c>
      <c r="B76" s="2"/>
      <c r="C76" s="9"/>
      <c r="D76" s="9"/>
      <c r="E76" s="9"/>
      <c r="F76" s="71">
        <f t="shared" si="0"/>
        <v>0</v>
      </c>
      <c r="G76" s="9"/>
      <c r="H76" s="9"/>
      <c r="I76" s="9"/>
      <c r="J76" s="71">
        <f t="shared" si="1"/>
        <v>0</v>
      </c>
      <c r="K76" s="9"/>
      <c r="L76" s="9"/>
      <c r="M76" s="9"/>
      <c r="N76" s="71">
        <f t="shared" si="2"/>
        <v>0</v>
      </c>
      <c r="O76" s="2"/>
      <c r="P76" s="2"/>
      <c r="Q76" s="356" t="s">
        <v>19</v>
      </c>
      <c r="R76" s="356"/>
      <c r="S76" s="356"/>
      <c r="T76" s="347">
        <f>SUM(T52:T75)</f>
        <v>0</v>
      </c>
      <c r="U76" s="347">
        <f>SUM(U52:U75)</f>
        <v>0</v>
      </c>
      <c r="V76" s="366">
        <f>COUNT(X52:X75)</f>
        <v>0</v>
      </c>
      <c r="W76" s="366"/>
      <c r="X76" s="366"/>
      <c r="Y76" s="366"/>
    </row>
    <row r="77" spans="1:25" ht="38.25" customHeight="1" x14ac:dyDescent="0.2">
      <c r="A77" s="9">
        <v>68</v>
      </c>
      <c r="B77" s="2"/>
      <c r="C77" s="9"/>
      <c r="D77" s="9"/>
      <c r="E77" s="9"/>
      <c r="F77" s="71">
        <f t="shared" si="0"/>
        <v>0</v>
      </c>
      <c r="G77" s="9"/>
      <c r="H77" s="9"/>
      <c r="I77" s="9"/>
      <c r="J77" s="71">
        <f t="shared" si="1"/>
        <v>0</v>
      </c>
      <c r="K77" s="9"/>
      <c r="L77" s="9"/>
      <c r="M77" s="9"/>
      <c r="N77" s="71">
        <f t="shared" si="2"/>
        <v>0</v>
      </c>
      <c r="O77" s="2"/>
      <c r="P77" s="2"/>
      <c r="Q77" s="367" t="s">
        <v>78</v>
      </c>
      <c r="R77" s="368"/>
      <c r="S77" s="368"/>
      <c r="T77" s="368"/>
      <c r="U77" s="368"/>
      <c r="V77" s="368"/>
      <c r="W77" s="368"/>
      <c r="X77" s="368"/>
      <c r="Y77" s="369"/>
    </row>
    <row r="78" spans="1:25" ht="38.25" customHeight="1" x14ac:dyDescent="0.2">
      <c r="A78" s="9">
        <v>69</v>
      </c>
      <c r="B78" s="2"/>
      <c r="C78" s="9"/>
      <c r="D78" s="9"/>
      <c r="E78" s="9"/>
      <c r="F78" s="71">
        <f t="shared" si="0"/>
        <v>0</v>
      </c>
      <c r="G78" s="9"/>
      <c r="H78" s="9"/>
      <c r="I78" s="9"/>
      <c r="J78" s="71">
        <f t="shared" si="1"/>
        <v>0</v>
      </c>
      <c r="K78" s="9"/>
      <c r="L78" s="9"/>
      <c r="M78" s="9"/>
      <c r="N78" s="71">
        <f t="shared" si="2"/>
        <v>0</v>
      </c>
      <c r="O78" s="422" t="s">
        <v>79</v>
      </c>
      <c r="P78" s="422"/>
      <c r="Q78" s="1">
        <v>1</v>
      </c>
      <c r="R78" s="1"/>
      <c r="S78" s="46"/>
      <c r="T78" s="49">
        <f t="shared" ref="T78:T84" si="9">COUNTIF($E$10:$E$478,R78)</f>
        <v>0</v>
      </c>
      <c r="U78" s="49">
        <f t="shared" ref="U78:U84" si="10">SUMIFS($F$10:$F$478,$E$10:$E$478,R78)</f>
        <v>0</v>
      </c>
      <c r="V78" s="3"/>
      <c r="W78" s="3"/>
      <c r="X78" s="3"/>
      <c r="Y78" s="2"/>
    </row>
    <row r="79" spans="1:25" ht="38.25" customHeight="1" x14ac:dyDescent="0.2">
      <c r="A79" s="9">
        <v>70</v>
      </c>
      <c r="B79" s="2"/>
      <c r="C79" s="9"/>
      <c r="D79" s="9"/>
      <c r="E79" s="9"/>
      <c r="F79" s="71">
        <f t="shared" si="0"/>
        <v>0</v>
      </c>
      <c r="G79" s="9"/>
      <c r="H79" s="9"/>
      <c r="I79" s="9"/>
      <c r="J79" s="71">
        <f t="shared" si="1"/>
        <v>0</v>
      </c>
      <c r="K79" s="9"/>
      <c r="L79" s="9"/>
      <c r="M79" s="9"/>
      <c r="N79" s="71">
        <f t="shared" si="2"/>
        <v>0</v>
      </c>
      <c r="O79" s="71" t="s">
        <v>80</v>
      </c>
      <c r="P79" s="71" t="s">
        <v>81</v>
      </c>
      <c r="Q79" s="1">
        <v>2</v>
      </c>
      <c r="R79" s="1"/>
      <c r="S79" s="46"/>
      <c r="T79" s="49">
        <f t="shared" si="9"/>
        <v>0</v>
      </c>
      <c r="U79" s="49">
        <f t="shared" si="10"/>
        <v>0</v>
      </c>
      <c r="V79" s="3"/>
      <c r="W79" s="3"/>
      <c r="X79" s="3"/>
      <c r="Y79" s="2"/>
    </row>
    <row r="80" spans="1:25" ht="38.25" customHeight="1" x14ac:dyDescent="0.2">
      <c r="A80" s="9">
        <v>71</v>
      </c>
      <c r="B80" s="2"/>
      <c r="C80" s="9"/>
      <c r="D80" s="9"/>
      <c r="E80" s="9"/>
      <c r="F80" s="71">
        <f t="shared" si="0"/>
        <v>0</v>
      </c>
      <c r="G80" s="9"/>
      <c r="H80" s="9"/>
      <c r="I80" s="9"/>
      <c r="J80" s="71">
        <f t="shared" si="1"/>
        <v>0</v>
      </c>
      <c r="K80" s="9"/>
      <c r="L80" s="9"/>
      <c r="M80" s="9"/>
      <c r="N80" s="71">
        <f t="shared" si="2"/>
        <v>0</v>
      </c>
      <c r="O80" s="11" t="s">
        <v>82</v>
      </c>
      <c r="P80" s="144"/>
      <c r="Q80" s="1">
        <v>3</v>
      </c>
      <c r="R80" s="1"/>
      <c r="S80" s="46"/>
      <c r="T80" s="49">
        <f t="shared" si="9"/>
        <v>0</v>
      </c>
      <c r="U80" s="49">
        <f t="shared" si="10"/>
        <v>0</v>
      </c>
      <c r="V80" s="3"/>
      <c r="W80" s="3"/>
      <c r="X80" s="3"/>
      <c r="Y80" s="2"/>
    </row>
    <row r="81" spans="1:25" ht="38.25" customHeight="1" x14ac:dyDescent="0.2">
      <c r="A81" s="9">
        <v>72</v>
      </c>
      <c r="B81" s="2"/>
      <c r="C81" s="9"/>
      <c r="D81" s="9"/>
      <c r="E81" s="9"/>
      <c r="F81" s="71">
        <f t="shared" si="0"/>
        <v>0</v>
      </c>
      <c r="G81" s="9"/>
      <c r="H81" s="9"/>
      <c r="I81" s="9"/>
      <c r="J81" s="71">
        <f t="shared" si="1"/>
        <v>0</v>
      </c>
      <c r="K81" s="9"/>
      <c r="L81" s="9"/>
      <c r="M81" s="9"/>
      <c r="N81" s="71">
        <f t="shared" si="2"/>
        <v>0</v>
      </c>
      <c r="O81" s="11" t="s">
        <v>83</v>
      </c>
      <c r="P81" s="144"/>
      <c r="Q81" s="1">
        <v>4</v>
      </c>
      <c r="R81" s="1"/>
      <c r="S81" s="46"/>
      <c r="T81" s="49">
        <f t="shared" si="9"/>
        <v>0</v>
      </c>
      <c r="U81" s="49">
        <f t="shared" si="10"/>
        <v>0</v>
      </c>
      <c r="V81" s="3"/>
      <c r="W81" s="3"/>
      <c r="X81" s="3"/>
      <c r="Y81" s="2"/>
    </row>
    <row r="82" spans="1:25" ht="38.25" customHeight="1" x14ac:dyDescent="0.2">
      <c r="A82" s="9">
        <v>73</v>
      </c>
      <c r="B82" s="2"/>
      <c r="C82" s="9"/>
      <c r="D82" s="9"/>
      <c r="E82" s="9"/>
      <c r="F82" s="71">
        <f t="shared" si="0"/>
        <v>0</v>
      </c>
      <c r="G82" s="9"/>
      <c r="H82" s="9"/>
      <c r="I82" s="9"/>
      <c r="J82" s="71">
        <f t="shared" si="1"/>
        <v>0</v>
      </c>
      <c r="K82" s="9"/>
      <c r="L82" s="9"/>
      <c r="M82" s="9"/>
      <c r="N82" s="71">
        <f t="shared" si="2"/>
        <v>0</v>
      </c>
      <c r="O82" s="11" t="s">
        <v>84</v>
      </c>
      <c r="P82" s="348"/>
      <c r="Q82" s="1">
        <v>5</v>
      </c>
      <c r="R82" s="1"/>
      <c r="S82" s="46"/>
      <c r="T82" s="49">
        <f t="shared" si="9"/>
        <v>0</v>
      </c>
      <c r="U82" s="49">
        <f t="shared" si="10"/>
        <v>0</v>
      </c>
      <c r="V82" s="3"/>
      <c r="W82" s="3"/>
      <c r="X82" s="3"/>
      <c r="Y82" s="2"/>
    </row>
    <row r="83" spans="1:25" ht="38.25" customHeight="1" x14ac:dyDescent="0.2">
      <c r="A83" s="9">
        <v>74</v>
      </c>
      <c r="B83" s="2"/>
      <c r="C83" s="9"/>
      <c r="D83" s="9"/>
      <c r="E83" s="9"/>
      <c r="F83" s="71">
        <f t="shared" si="0"/>
        <v>0</v>
      </c>
      <c r="G83" s="9"/>
      <c r="H83" s="9"/>
      <c r="I83" s="9"/>
      <c r="J83" s="71">
        <f t="shared" si="1"/>
        <v>0</v>
      </c>
      <c r="K83" s="9"/>
      <c r="L83" s="9"/>
      <c r="M83" s="9"/>
      <c r="N83" s="71">
        <f t="shared" si="2"/>
        <v>0</v>
      </c>
      <c r="O83" s="42" t="s">
        <v>85</v>
      </c>
      <c r="P83" s="144"/>
      <c r="Q83" s="1">
        <v>6</v>
      </c>
      <c r="R83" s="1"/>
      <c r="S83" s="46"/>
      <c r="T83" s="49">
        <f t="shared" si="9"/>
        <v>0</v>
      </c>
      <c r="U83" s="49">
        <f t="shared" si="10"/>
        <v>0</v>
      </c>
      <c r="V83" s="3"/>
      <c r="W83" s="3"/>
      <c r="X83" s="3"/>
      <c r="Y83" s="2"/>
    </row>
    <row r="84" spans="1:25" ht="38.25" customHeight="1" x14ac:dyDescent="0.2">
      <c r="A84" s="9">
        <v>75</v>
      </c>
      <c r="B84" s="2"/>
      <c r="C84" s="9"/>
      <c r="D84" s="9"/>
      <c r="E84" s="9"/>
      <c r="F84" s="71">
        <f t="shared" si="0"/>
        <v>0</v>
      </c>
      <c r="G84" s="9"/>
      <c r="H84" s="9"/>
      <c r="I84" s="9"/>
      <c r="J84" s="71">
        <f t="shared" si="1"/>
        <v>0</v>
      </c>
      <c r="K84" s="9"/>
      <c r="L84" s="9"/>
      <c r="M84" s="9"/>
      <c r="N84" s="71">
        <f t="shared" si="2"/>
        <v>0</v>
      </c>
      <c r="O84" s="42" t="s">
        <v>37</v>
      </c>
      <c r="P84" s="144"/>
      <c r="Q84" s="1">
        <v>7</v>
      </c>
      <c r="R84" s="1"/>
      <c r="S84" s="46"/>
      <c r="T84" s="49">
        <f t="shared" si="9"/>
        <v>0</v>
      </c>
      <c r="U84" s="49">
        <f t="shared" si="10"/>
        <v>0</v>
      </c>
      <c r="V84" s="3"/>
      <c r="W84" s="3"/>
      <c r="X84" s="3"/>
      <c r="Y84" s="2"/>
    </row>
    <row r="85" spans="1:25" ht="38.25" customHeight="1" x14ac:dyDescent="0.2">
      <c r="A85" s="9">
        <v>76</v>
      </c>
      <c r="B85" s="2"/>
      <c r="C85" s="9"/>
      <c r="D85" s="9"/>
      <c r="E85" s="9"/>
      <c r="F85" s="71">
        <f t="shared" si="0"/>
        <v>0</v>
      </c>
      <c r="G85" s="9"/>
      <c r="H85" s="9"/>
      <c r="I85" s="9"/>
      <c r="J85" s="71">
        <f t="shared" si="1"/>
        <v>0</v>
      </c>
      <c r="K85" s="9"/>
      <c r="L85" s="9"/>
      <c r="M85" s="9"/>
      <c r="N85" s="71">
        <f t="shared" si="2"/>
        <v>0</v>
      </c>
      <c r="O85" s="42" t="s">
        <v>86</v>
      </c>
      <c r="P85" s="144"/>
      <c r="Q85" s="356" t="s">
        <v>19</v>
      </c>
      <c r="R85" s="356"/>
      <c r="S85" s="356"/>
      <c r="T85" s="346">
        <f>SUM(T78:T84)</f>
        <v>0</v>
      </c>
      <c r="U85" s="346">
        <f>SUM(U78:U84)</f>
        <v>0</v>
      </c>
      <c r="V85" s="357">
        <f>COUNT(X78:X84)</f>
        <v>0</v>
      </c>
      <c r="W85" s="358"/>
      <c r="X85" s="358"/>
      <c r="Y85" s="359"/>
    </row>
    <row r="86" spans="1:25" ht="38.25" customHeight="1" x14ac:dyDescent="0.2">
      <c r="A86" s="9">
        <v>77</v>
      </c>
      <c r="B86" s="2"/>
      <c r="C86" s="9"/>
      <c r="D86" s="9"/>
      <c r="E86" s="9"/>
      <c r="F86" s="71">
        <f t="shared" si="0"/>
        <v>0</v>
      </c>
      <c r="G86" s="9"/>
      <c r="H86" s="9"/>
      <c r="I86" s="9"/>
      <c r="J86" s="71">
        <f t="shared" si="1"/>
        <v>0</v>
      </c>
      <c r="K86" s="9"/>
      <c r="L86" s="9"/>
      <c r="M86" s="9"/>
      <c r="N86" s="71">
        <f t="shared" si="2"/>
        <v>0</v>
      </c>
      <c r="O86" s="42" t="s">
        <v>87</v>
      </c>
      <c r="P86" s="144"/>
      <c r="Q86" s="363" t="s">
        <v>88</v>
      </c>
      <c r="R86" s="364"/>
      <c r="S86" s="364"/>
      <c r="T86" s="364"/>
      <c r="U86" s="364"/>
      <c r="V86" s="364"/>
      <c r="W86" s="364"/>
      <c r="X86" s="364"/>
      <c r="Y86" s="365"/>
    </row>
    <row r="87" spans="1:25" ht="38.25" customHeight="1" x14ac:dyDescent="0.2">
      <c r="A87" s="9">
        <v>78</v>
      </c>
      <c r="B87" s="2"/>
      <c r="C87" s="9"/>
      <c r="D87" s="9"/>
      <c r="E87" s="9"/>
      <c r="F87" s="71">
        <f t="shared" si="0"/>
        <v>0</v>
      </c>
      <c r="G87" s="9"/>
      <c r="H87" s="9"/>
      <c r="I87" s="9"/>
      <c r="J87" s="71">
        <f t="shared" si="1"/>
        <v>0</v>
      </c>
      <c r="K87" s="9"/>
      <c r="L87" s="9"/>
      <c r="M87" s="9"/>
      <c r="N87" s="71">
        <f t="shared" si="2"/>
        <v>0</v>
      </c>
      <c r="O87" s="336" t="s">
        <v>89</v>
      </c>
      <c r="P87" s="42">
        <f>SUM(P80:P86)</f>
        <v>0</v>
      </c>
      <c r="Q87" s="1">
        <v>1</v>
      </c>
      <c r="R87" s="1"/>
      <c r="S87" s="46"/>
      <c r="T87" s="49">
        <f>COUNTIF($E$10:$E$478,R87)</f>
        <v>0</v>
      </c>
      <c r="U87" s="49">
        <f t="shared" ref="U87" si="11">SUMIFS($F$10:$F$478,$E$10:$E$478,R87)</f>
        <v>0</v>
      </c>
      <c r="V87" s="3"/>
      <c r="W87" s="3"/>
      <c r="X87" s="3"/>
      <c r="Y87" s="2"/>
    </row>
    <row r="88" spans="1:25" ht="38.25" customHeight="1" x14ac:dyDescent="0.2">
      <c r="A88" s="9">
        <v>79</v>
      </c>
      <c r="B88" s="2"/>
      <c r="C88" s="9"/>
      <c r="D88" s="9"/>
      <c r="E88" s="9"/>
      <c r="F88" s="71">
        <f t="shared" si="0"/>
        <v>0</v>
      </c>
      <c r="G88" s="9"/>
      <c r="H88" s="9"/>
      <c r="I88" s="9"/>
      <c r="J88" s="71">
        <f t="shared" si="1"/>
        <v>0</v>
      </c>
      <c r="K88" s="9"/>
      <c r="L88" s="9"/>
      <c r="M88" s="9"/>
      <c r="N88" s="71">
        <f t="shared" si="2"/>
        <v>0</v>
      </c>
      <c r="O88" s="336" t="s">
        <v>90</v>
      </c>
      <c r="P88" s="42">
        <f>P89-P87</f>
        <v>408</v>
      </c>
      <c r="Q88" s="1">
        <v>2</v>
      </c>
      <c r="R88" s="1"/>
      <c r="S88" s="46"/>
      <c r="T88" s="49">
        <f t="shared" ref="T88:T95" si="12">COUNTIF($E$10:$E$478,R88)</f>
        <v>0</v>
      </c>
      <c r="U88" s="49">
        <f t="shared" ref="U88:U95" si="13">SUMIFS($F$10:$F$478,$E$10:$E$478,R88)</f>
        <v>0</v>
      </c>
      <c r="V88" s="3"/>
      <c r="W88" s="3"/>
      <c r="X88" s="3"/>
      <c r="Y88" s="2"/>
    </row>
    <row r="89" spans="1:25" ht="38.25" customHeight="1" x14ac:dyDescent="0.2">
      <c r="A89" s="9">
        <v>80</v>
      </c>
      <c r="B89" s="2"/>
      <c r="C89" s="9"/>
      <c r="D89" s="9"/>
      <c r="E89" s="9"/>
      <c r="F89" s="71">
        <f t="shared" si="0"/>
        <v>0</v>
      </c>
      <c r="G89" s="9"/>
      <c r="H89" s="9"/>
      <c r="I89" s="9"/>
      <c r="J89" s="71">
        <f t="shared" si="1"/>
        <v>0</v>
      </c>
      <c r="K89" s="9"/>
      <c r="L89" s="9"/>
      <c r="M89" s="9"/>
      <c r="N89" s="71">
        <f t="shared" si="2"/>
        <v>0</v>
      </c>
      <c r="O89" s="336" t="s">
        <v>91</v>
      </c>
      <c r="P89" s="42">
        <f>P21*2</f>
        <v>408</v>
      </c>
      <c r="Q89" s="1">
        <v>3</v>
      </c>
      <c r="R89" s="1"/>
      <c r="S89" s="46"/>
      <c r="T89" s="49">
        <f t="shared" si="12"/>
        <v>0</v>
      </c>
      <c r="U89" s="49">
        <f t="shared" si="13"/>
        <v>0</v>
      </c>
      <c r="V89" s="3"/>
      <c r="W89" s="3"/>
      <c r="X89" s="3"/>
      <c r="Y89" s="2"/>
    </row>
    <row r="90" spans="1:25" ht="38.25" customHeight="1" x14ac:dyDescent="0.2">
      <c r="A90" s="9">
        <v>81</v>
      </c>
      <c r="B90" s="2"/>
      <c r="C90" s="9"/>
      <c r="D90" s="9"/>
      <c r="E90" s="9"/>
      <c r="F90" s="71">
        <f t="shared" si="0"/>
        <v>0</v>
      </c>
      <c r="G90" s="9"/>
      <c r="H90" s="9"/>
      <c r="I90" s="9"/>
      <c r="J90" s="71">
        <f t="shared" si="1"/>
        <v>0</v>
      </c>
      <c r="K90" s="9"/>
      <c r="L90" s="9"/>
      <c r="M90" s="9"/>
      <c r="N90" s="71">
        <f t="shared" si="2"/>
        <v>0</v>
      </c>
      <c r="O90" s="336" t="s">
        <v>92</v>
      </c>
      <c r="P90" s="294">
        <f>P88/P89</f>
        <v>1</v>
      </c>
      <c r="Q90" s="1">
        <v>4</v>
      </c>
      <c r="R90" s="1"/>
      <c r="S90" s="46"/>
      <c r="T90" s="49">
        <f t="shared" si="12"/>
        <v>0</v>
      </c>
      <c r="U90" s="49">
        <f t="shared" si="13"/>
        <v>0</v>
      </c>
      <c r="V90" s="3"/>
      <c r="W90" s="3"/>
      <c r="X90" s="3"/>
      <c r="Y90" s="2"/>
    </row>
    <row r="91" spans="1:25" ht="38.25" customHeight="1" x14ac:dyDescent="0.2">
      <c r="A91" s="9">
        <v>82</v>
      </c>
      <c r="B91" s="2"/>
      <c r="C91" s="9"/>
      <c r="D91" s="9"/>
      <c r="E91" s="9"/>
      <c r="F91" s="71">
        <f t="shared" si="0"/>
        <v>0</v>
      </c>
      <c r="G91" s="9"/>
      <c r="H91" s="9"/>
      <c r="I91" s="9"/>
      <c r="J91" s="71">
        <f t="shared" si="1"/>
        <v>0</v>
      </c>
      <c r="K91" s="9"/>
      <c r="L91" s="9"/>
      <c r="M91" s="9"/>
      <c r="N91" s="71">
        <f t="shared" si="2"/>
        <v>0</v>
      </c>
      <c r="O91" s="336" t="s">
        <v>93</v>
      </c>
      <c r="P91" s="294">
        <f>P87/P89</f>
        <v>0</v>
      </c>
      <c r="Q91" s="1">
        <v>5</v>
      </c>
      <c r="R91" s="1"/>
      <c r="S91" s="46"/>
      <c r="T91" s="49">
        <f t="shared" si="12"/>
        <v>0</v>
      </c>
      <c r="U91" s="49">
        <f t="shared" si="13"/>
        <v>0</v>
      </c>
      <c r="V91" s="3"/>
      <c r="W91" s="3"/>
      <c r="X91" s="3"/>
      <c r="Y91" s="2"/>
    </row>
    <row r="92" spans="1:25" ht="38.25" customHeight="1" x14ac:dyDescent="0.2">
      <c r="A92" s="9">
        <v>83</v>
      </c>
      <c r="B92" s="2"/>
      <c r="C92" s="9"/>
      <c r="D92" s="9"/>
      <c r="E92" s="9"/>
      <c r="F92" s="71">
        <f t="shared" si="0"/>
        <v>0</v>
      </c>
      <c r="G92" s="9"/>
      <c r="H92" s="9"/>
      <c r="I92" s="9"/>
      <c r="J92" s="71">
        <f t="shared" si="1"/>
        <v>0</v>
      </c>
      <c r="K92" s="9"/>
      <c r="L92" s="9"/>
      <c r="M92" s="9"/>
      <c r="N92" s="71">
        <f t="shared" si="2"/>
        <v>0</v>
      </c>
      <c r="O92" s="2"/>
      <c r="P92" s="2"/>
      <c r="Q92" s="1">
        <v>6</v>
      </c>
      <c r="R92" s="1"/>
      <c r="S92" s="46"/>
      <c r="T92" s="49">
        <f t="shared" si="12"/>
        <v>0</v>
      </c>
      <c r="U92" s="49">
        <f t="shared" si="13"/>
        <v>0</v>
      </c>
      <c r="V92" s="3"/>
      <c r="W92" s="3"/>
      <c r="X92" s="3"/>
      <c r="Y92" s="2"/>
    </row>
    <row r="93" spans="1:25" ht="38.25" customHeight="1" x14ac:dyDescent="0.2">
      <c r="A93" s="9">
        <v>84</v>
      </c>
      <c r="B93" s="2"/>
      <c r="C93" s="9"/>
      <c r="D93" s="9"/>
      <c r="E93" s="9"/>
      <c r="F93" s="71">
        <f t="shared" si="0"/>
        <v>0</v>
      </c>
      <c r="G93" s="9"/>
      <c r="H93" s="9"/>
      <c r="I93" s="9"/>
      <c r="J93" s="71">
        <f t="shared" si="1"/>
        <v>0</v>
      </c>
      <c r="K93" s="9"/>
      <c r="L93" s="9"/>
      <c r="M93" s="9"/>
      <c r="N93" s="71">
        <f t="shared" si="2"/>
        <v>0</v>
      </c>
      <c r="O93" s="2"/>
      <c r="P93" s="2"/>
      <c r="Q93" s="1">
        <v>7</v>
      </c>
      <c r="R93" s="1"/>
      <c r="S93" s="46"/>
      <c r="T93" s="49">
        <f t="shared" si="12"/>
        <v>0</v>
      </c>
      <c r="U93" s="49">
        <f t="shared" si="13"/>
        <v>0</v>
      </c>
      <c r="V93" s="3"/>
      <c r="W93" s="3"/>
      <c r="X93" s="3"/>
      <c r="Y93" s="2"/>
    </row>
    <row r="94" spans="1:25" ht="38.25" customHeight="1" x14ac:dyDescent="0.2">
      <c r="A94" s="9">
        <v>85</v>
      </c>
      <c r="B94" s="2"/>
      <c r="C94" s="9"/>
      <c r="D94" s="9"/>
      <c r="E94" s="9"/>
      <c r="F94" s="71">
        <f t="shared" si="0"/>
        <v>0</v>
      </c>
      <c r="G94" s="9"/>
      <c r="H94" s="9"/>
      <c r="I94" s="9"/>
      <c r="J94" s="71">
        <f t="shared" si="1"/>
        <v>0</v>
      </c>
      <c r="K94" s="9"/>
      <c r="L94" s="9"/>
      <c r="M94" s="9"/>
      <c r="N94" s="71">
        <f t="shared" si="2"/>
        <v>0</v>
      </c>
      <c r="O94" s="2"/>
      <c r="P94" s="2"/>
      <c r="Q94" s="1">
        <v>8</v>
      </c>
      <c r="R94" s="1"/>
      <c r="S94" s="46"/>
      <c r="T94" s="49">
        <f t="shared" si="12"/>
        <v>0</v>
      </c>
      <c r="U94" s="49">
        <f t="shared" si="13"/>
        <v>0</v>
      </c>
      <c r="V94" s="3"/>
      <c r="W94" s="3"/>
      <c r="X94" s="3"/>
      <c r="Y94" s="2"/>
    </row>
    <row r="95" spans="1:25" ht="38.25" customHeight="1" x14ac:dyDescent="0.2">
      <c r="A95" s="9">
        <v>86</v>
      </c>
      <c r="B95" s="2"/>
      <c r="C95" s="9"/>
      <c r="D95" s="9"/>
      <c r="E95" s="9"/>
      <c r="F95" s="71">
        <f t="shared" si="0"/>
        <v>0</v>
      </c>
      <c r="G95" s="9"/>
      <c r="H95" s="9"/>
      <c r="I95" s="9"/>
      <c r="J95" s="71">
        <f t="shared" si="1"/>
        <v>0</v>
      </c>
      <c r="K95" s="9"/>
      <c r="L95" s="9"/>
      <c r="M95" s="9"/>
      <c r="N95" s="71">
        <f t="shared" si="2"/>
        <v>0</v>
      </c>
      <c r="O95" s="2"/>
      <c r="P95" s="2"/>
      <c r="Q95" s="1">
        <v>9</v>
      </c>
      <c r="R95" s="1"/>
      <c r="S95" s="46"/>
      <c r="T95" s="49">
        <f t="shared" si="12"/>
        <v>0</v>
      </c>
      <c r="U95" s="49">
        <f t="shared" si="13"/>
        <v>0</v>
      </c>
      <c r="V95" s="3"/>
      <c r="W95" s="3"/>
      <c r="X95" s="3"/>
      <c r="Y95" s="2"/>
    </row>
    <row r="96" spans="1:25" ht="38.25" customHeight="1" x14ac:dyDescent="0.2">
      <c r="A96" s="9">
        <v>87</v>
      </c>
      <c r="B96" s="2"/>
      <c r="C96" s="9"/>
      <c r="D96" s="9"/>
      <c r="E96" s="9"/>
      <c r="F96" s="71">
        <f t="shared" si="0"/>
        <v>0</v>
      </c>
      <c r="G96" s="9"/>
      <c r="H96" s="9"/>
      <c r="I96" s="9"/>
      <c r="J96" s="71">
        <f t="shared" si="1"/>
        <v>0</v>
      </c>
      <c r="K96" s="9"/>
      <c r="L96" s="9"/>
      <c r="M96" s="9"/>
      <c r="N96" s="71">
        <f t="shared" si="2"/>
        <v>0</v>
      </c>
      <c r="O96" s="370" t="s">
        <v>94</v>
      </c>
      <c r="P96" s="371"/>
      <c r="Q96" s="356" t="s">
        <v>19</v>
      </c>
      <c r="R96" s="356"/>
      <c r="S96" s="356"/>
      <c r="T96" s="346">
        <f>SUM(T87:T95)</f>
        <v>0</v>
      </c>
      <c r="U96" s="346">
        <f>SUM(U87:U95)</f>
        <v>0</v>
      </c>
      <c r="V96" s="357">
        <f>COUNT(X87:X95)</f>
        <v>0</v>
      </c>
      <c r="W96" s="358"/>
      <c r="X96" s="358"/>
      <c r="Y96" s="359"/>
    </row>
    <row r="97" spans="1:25" ht="38.25" customHeight="1" x14ac:dyDescent="0.2">
      <c r="A97" s="9">
        <v>88</v>
      </c>
      <c r="B97" s="2"/>
      <c r="C97" s="9"/>
      <c r="D97" s="9"/>
      <c r="E97" s="9"/>
      <c r="F97" s="71">
        <f t="shared" si="0"/>
        <v>0</v>
      </c>
      <c r="G97" s="9"/>
      <c r="H97" s="9"/>
      <c r="I97" s="9"/>
      <c r="J97" s="71">
        <f t="shared" si="1"/>
        <v>0</v>
      </c>
      <c r="K97" s="9"/>
      <c r="L97" s="9"/>
      <c r="M97" s="9"/>
      <c r="N97" s="71">
        <f t="shared" si="2"/>
        <v>0</v>
      </c>
      <c r="O97" s="148" t="s">
        <v>95</v>
      </c>
      <c r="P97" s="149"/>
      <c r="Q97" s="356" t="s">
        <v>96</v>
      </c>
      <c r="R97" s="356"/>
      <c r="S97" s="356"/>
      <c r="T97" s="337">
        <f>SUM(T96+T85+T76+T50+T24)</f>
        <v>0</v>
      </c>
      <c r="U97" s="337">
        <f>SUM(U96+U85+U76+U50+U24)</f>
        <v>0</v>
      </c>
      <c r="V97" s="360">
        <f>SUM(V96+V85+V76+V50+V24)</f>
        <v>0</v>
      </c>
      <c r="W97" s="361"/>
      <c r="X97" s="361"/>
      <c r="Y97" s="362"/>
    </row>
    <row r="98" spans="1:25" ht="38.25" customHeight="1" x14ac:dyDescent="0.2">
      <c r="A98" s="9">
        <v>89</v>
      </c>
      <c r="B98" s="2"/>
      <c r="C98" s="9"/>
      <c r="D98" s="9"/>
      <c r="E98" s="9"/>
      <c r="F98" s="71">
        <f t="shared" si="0"/>
        <v>0</v>
      </c>
      <c r="G98" s="9"/>
      <c r="H98" s="9"/>
      <c r="I98" s="9"/>
      <c r="J98" s="71">
        <f t="shared" si="1"/>
        <v>0</v>
      </c>
      <c r="K98" s="9"/>
      <c r="L98" s="9"/>
      <c r="M98" s="9"/>
      <c r="N98" s="71">
        <f t="shared" si="2"/>
        <v>0</v>
      </c>
      <c r="O98" s="144" t="s">
        <v>81</v>
      </c>
      <c r="P98" s="2"/>
      <c r="Q98" s="1"/>
      <c r="R98" s="1"/>
      <c r="S98" s="46"/>
      <c r="T98" s="49"/>
      <c r="U98" s="49"/>
      <c r="V98" s="3"/>
      <c r="W98" s="3"/>
      <c r="X98" s="3"/>
      <c r="Y98" s="2"/>
    </row>
    <row r="99" spans="1:25" ht="38.25" customHeight="1" x14ac:dyDescent="0.2">
      <c r="A99" s="9">
        <v>90</v>
      </c>
      <c r="B99" s="2"/>
      <c r="C99" s="9"/>
      <c r="D99" s="9"/>
      <c r="E99" s="9"/>
      <c r="F99" s="71">
        <f t="shared" si="0"/>
        <v>0</v>
      </c>
      <c r="G99" s="9"/>
      <c r="H99" s="9"/>
      <c r="I99" s="9"/>
      <c r="J99" s="71">
        <f t="shared" si="1"/>
        <v>0</v>
      </c>
      <c r="K99" s="9"/>
      <c r="L99" s="9"/>
      <c r="M99" s="9"/>
      <c r="N99" s="71">
        <f t="shared" si="2"/>
        <v>0</v>
      </c>
      <c r="O99" s="144" t="s">
        <v>97</v>
      </c>
      <c r="P99" s="2"/>
      <c r="Q99" s="1"/>
      <c r="R99" s="1"/>
      <c r="S99" s="46"/>
      <c r="T99" s="49"/>
      <c r="U99" s="49"/>
      <c r="V99" s="3"/>
      <c r="W99" s="3"/>
      <c r="X99" s="3"/>
      <c r="Y99" s="2"/>
    </row>
    <row r="100" spans="1:25" ht="38.25" customHeight="1" x14ac:dyDescent="0.2">
      <c r="A100" s="9">
        <v>91</v>
      </c>
      <c r="B100" s="2"/>
      <c r="C100" s="9"/>
      <c r="D100" s="9"/>
      <c r="E100" s="9"/>
      <c r="F100" s="71">
        <f t="shared" si="0"/>
        <v>0</v>
      </c>
      <c r="G100" s="9"/>
      <c r="H100" s="9"/>
      <c r="I100" s="9"/>
      <c r="J100" s="71">
        <f t="shared" si="1"/>
        <v>0</v>
      </c>
      <c r="K100" s="9"/>
      <c r="L100" s="9"/>
      <c r="M100" s="9"/>
      <c r="N100" s="71">
        <f t="shared" si="2"/>
        <v>0</v>
      </c>
      <c r="O100" s="148" t="s">
        <v>98</v>
      </c>
      <c r="P100" s="149"/>
      <c r="Q100" s="1"/>
      <c r="R100" s="1"/>
      <c r="S100" s="46"/>
      <c r="T100" s="49"/>
      <c r="U100" s="49"/>
      <c r="V100" s="3"/>
      <c r="W100" s="3"/>
      <c r="X100" s="3"/>
      <c r="Y100" s="2"/>
    </row>
    <row r="101" spans="1:25" ht="38.25" customHeight="1" x14ac:dyDescent="0.2">
      <c r="A101" s="9">
        <v>92</v>
      </c>
      <c r="B101" s="2"/>
      <c r="C101" s="9"/>
      <c r="D101" s="9"/>
      <c r="E101" s="9"/>
      <c r="F101" s="71">
        <f t="shared" si="0"/>
        <v>0</v>
      </c>
      <c r="G101" s="9"/>
      <c r="H101" s="9"/>
      <c r="I101" s="9"/>
      <c r="J101" s="71">
        <f t="shared" si="1"/>
        <v>0</v>
      </c>
      <c r="K101" s="9"/>
      <c r="L101" s="9"/>
      <c r="M101" s="9"/>
      <c r="N101" s="71">
        <f t="shared" si="2"/>
        <v>0</v>
      </c>
      <c r="O101" s="144" t="s">
        <v>81</v>
      </c>
      <c r="P101" s="2"/>
      <c r="Q101" s="1"/>
      <c r="R101" s="1"/>
      <c r="S101" s="46"/>
      <c r="T101" s="49"/>
      <c r="U101" s="49"/>
      <c r="V101" s="3"/>
      <c r="W101" s="3"/>
      <c r="X101" s="3"/>
      <c r="Y101" s="2"/>
    </row>
    <row r="102" spans="1:25" ht="38.25" customHeight="1" x14ac:dyDescent="0.2">
      <c r="A102" s="9">
        <v>93</v>
      </c>
      <c r="B102" s="2"/>
      <c r="C102" s="9"/>
      <c r="D102" s="9"/>
      <c r="E102" s="9"/>
      <c r="F102" s="71">
        <f t="shared" si="0"/>
        <v>0</v>
      </c>
      <c r="G102" s="9"/>
      <c r="H102" s="9"/>
      <c r="I102" s="9"/>
      <c r="J102" s="71">
        <f t="shared" si="1"/>
        <v>0</v>
      </c>
      <c r="K102" s="9"/>
      <c r="L102" s="9"/>
      <c r="M102" s="9"/>
      <c r="N102" s="71">
        <f t="shared" si="2"/>
        <v>0</v>
      </c>
      <c r="O102" s="144" t="s">
        <v>97</v>
      </c>
      <c r="P102" s="2"/>
      <c r="Q102" s="1"/>
      <c r="R102" s="1"/>
      <c r="S102" s="46"/>
      <c r="T102" s="49"/>
      <c r="U102" s="49"/>
      <c r="V102" s="3"/>
      <c r="W102" s="3"/>
      <c r="X102" s="3"/>
      <c r="Y102" s="2"/>
    </row>
    <row r="103" spans="1:25" ht="38.25" customHeight="1" x14ac:dyDescent="0.2">
      <c r="A103" s="9">
        <v>94</v>
      </c>
      <c r="B103" s="2"/>
      <c r="C103" s="9"/>
      <c r="D103" s="9"/>
      <c r="E103" s="9"/>
      <c r="F103" s="71">
        <f t="shared" si="0"/>
        <v>0</v>
      </c>
      <c r="G103" s="9"/>
      <c r="H103" s="9"/>
      <c r="I103" s="9"/>
      <c r="J103" s="71">
        <f t="shared" si="1"/>
        <v>0</v>
      </c>
      <c r="K103" s="9"/>
      <c r="L103" s="9"/>
      <c r="M103" s="9"/>
      <c r="N103" s="71">
        <f t="shared" si="2"/>
        <v>0</v>
      </c>
      <c r="O103" s="374" t="s">
        <v>99</v>
      </c>
      <c r="P103" s="375"/>
      <c r="Q103" s="1"/>
      <c r="R103" s="1"/>
      <c r="S103" s="46"/>
      <c r="T103" s="49"/>
      <c r="U103" s="49"/>
      <c r="V103" s="3"/>
      <c r="W103" s="3"/>
      <c r="X103" s="3"/>
      <c r="Y103" s="2"/>
    </row>
    <row r="104" spans="1:25" ht="38.25" customHeight="1" x14ac:dyDescent="0.2">
      <c r="A104" s="9">
        <v>95</v>
      </c>
      <c r="B104" s="2"/>
      <c r="C104" s="9"/>
      <c r="D104" s="9"/>
      <c r="E104" s="9"/>
      <c r="F104" s="71">
        <f t="shared" si="0"/>
        <v>0</v>
      </c>
      <c r="G104" s="9"/>
      <c r="H104" s="9"/>
      <c r="I104" s="9"/>
      <c r="J104" s="71">
        <f t="shared" si="1"/>
        <v>0</v>
      </c>
      <c r="K104" s="9"/>
      <c r="L104" s="9"/>
      <c r="M104" s="9"/>
      <c r="N104" s="71">
        <f t="shared" si="2"/>
        <v>0</v>
      </c>
      <c r="O104" s="144" t="s">
        <v>81</v>
      </c>
      <c r="P104" s="2"/>
      <c r="Q104" s="1"/>
      <c r="R104" s="1"/>
      <c r="S104" s="46"/>
      <c r="T104" s="49"/>
      <c r="U104" s="49"/>
      <c r="V104" s="3"/>
      <c r="W104" s="3"/>
      <c r="X104" s="3"/>
      <c r="Y104" s="2"/>
    </row>
    <row r="105" spans="1:25" ht="38.25" customHeight="1" x14ac:dyDescent="0.2">
      <c r="A105" s="9">
        <v>96</v>
      </c>
      <c r="B105" s="2"/>
      <c r="C105" s="9"/>
      <c r="D105" s="9"/>
      <c r="E105" s="9"/>
      <c r="F105" s="71">
        <f t="shared" si="0"/>
        <v>0</v>
      </c>
      <c r="G105" s="9"/>
      <c r="H105" s="9"/>
      <c r="I105" s="9"/>
      <c r="J105" s="71">
        <f t="shared" si="1"/>
        <v>0</v>
      </c>
      <c r="K105" s="9"/>
      <c r="L105" s="9"/>
      <c r="M105" s="9"/>
      <c r="N105" s="71">
        <f t="shared" si="2"/>
        <v>0</v>
      </c>
      <c r="O105" s="144" t="s">
        <v>97</v>
      </c>
      <c r="P105" s="2"/>
      <c r="Q105" s="1"/>
      <c r="R105" s="1"/>
      <c r="S105" s="46"/>
      <c r="T105" s="49"/>
      <c r="U105" s="49"/>
      <c r="V105" s="3"/>
      <c r="W105" s="3"/>
      <c r="X105" s="3"/>
      <c r="Y105" s="2"/>
    </row>
    <row r="106" spans="1:25" ht="38.25" customHeight="1" x14ac:dyDescent="0.2">
      <c r="A106" s="9">
        <v>97</v>
      </c>
      <c r="B106" s="2"/>
      <c r="C106" s="9"/>
      <c r="D106" s="9"/>
      <c r="E106" s="9"/>
      <c r="F106" s="71">
        <f t="shared" si="0"/>
        <v>0</v>
      </c>
      <c r="G106" s="9"/>
      <c r="H106" s="9"/>
      <c r="I106" s="9"/>
      <c r="J106" s="71">
        <f t="shared" si="1"/>
        <v>0</v>
      </c>
      <c r="K106" s="9"/>
      <c r="L106" s="9"/>
      <c r="M106" s="9"/>
      <c r="N106" s="71">
        <f t="shared" si="2"/>
        <v>0</v>
      </c>
      <c r="O106" s="374" t="s">
        <v>100</v>
      </c>
      <c r="P106" s="375"/>
      <c r="Q106" s="1"/>
      <c r="R106" s="1"/>
      <c r="S106" s="46"/>
      <c r="T106" s="49"/>
      <c r="U106" s="49"/>
      <c r="V106" s="3"/>
      <c r="W106" s="3"/>
      <c r="X106" s="3"/>
      <c r="Y106" s="2"/>
    </row>
    <row r="107" spans="1:25" ht="38.25" customHeight="1" x14ac:dyDescent="0.2">
      <c r="A107" s="9">
        <v>98</v>
      </c>
      <c r="B107" s="2"/>
      <c r="C107" s="9"/>
      <c r="D107" s="9"/>
      <c r="E107" s="9"/>
      <c r="F107" s="71">
        <f t="shared" si="0"/>
        <v>0</v>
      </c>
      <c r="G107" s="9"/>
      <c r="H107" s="9"/>
      <c r="I107" s="9"/>
      <c r="J107" s="71">
        <f t="shared" si="1"/>
        <v>0</v>
      </c>
      <c r="K107" s="9"/>
      <c r="L107" s="9"/>
      <c r="M107" s="9"/>
      <c r="N107" s="71">
        <f t="shared" si="2"/>
        <v>0</v>
      </c>
      <c r="O107" s="2" t="s">
        <v>101</v>
      </c>
      <c r="P107" s="42">
        <f>P98*2</f>
        <v>0</v>
      </c>
      <c r="Q107" s="1"/>
      <c r="R107" s="1"/>
      <c r="S107" s="46"/>
      <c r="T107" s="49"/>
      <c r="U107" s="49"/>
      <c r="V107" s="3"/>
      <c r="W107" s="3"/>
      <c r="X107" s="3"/>
      <c r="Y107" s="2"/>
    </row>
    <row r="108" spans="1:25" ht="38.25" customHeight="1" x14ac:dyDescent="0.2">
      <c r="A108" s="9">
        <v>99</v>
      </c>
      <c r="B108" s="2"/>
      <c r="C108" s="9"/>
      <c r="D108" s="9"/>
      <c r="E108" s="9"/>
      <c r="F108" s="71">
        <f t="shared" si="0"/>
        <v>0</v>
      </c>
      <c r="G108" s="9"/>
      <c r="H108" s="9"/>
      <c r="I108" s="9"/>
      <c r="J108" s="71">
        <f t="shared" si="1"/>
        <v>0</v>
      </c>
      <c r="K108" s="9"/>
      <c r="L108" s="9"/>
      <c r="M108" s="9"/>
      <c r="N108" s="71">
        <f t="shared" si="2"/>
        <v>0</v>
      </c>
      <c r="O108" s="2" t="s">
        <v>102</v>
      </c>
      <c r="P108" s="42">
        <f>'FLO - DR &amp; Loaders'!G4</f>
        <v>10</v>
      </c>
      <c r="Q108" s="1"/>
      <c r="R108" s="1"/>
      <c r="S108" s="46"/>
      <c r="T108" s="49"/>
      <c r="U108" s="49"/>
      <c r="V108" s="3"/>
      <c r="W108" s="3"/>
      <c r="X108" s="3"/>
      <c r="Y108" s="2"/>
    </row>
    <row r="109" spans="1:25" ht="38.25" customHeight="1" x14ac:dyDescent="0.2">
      <c r="A109" s="9">
        <v>100</v>
      </c>
      <c r="B109" s="2"/>
      <c r="C109" s="9"/>
      <c r="D109" s="9"/>
      <c r="E109" s="9"/>
      <c r="F109" s="71">
        <f t="shared" si="0"/>
        <v>0</v>
      </c>
      <c r="G109" s="9"/>
      <c r="H109" s="9"/>
      <c r="I109" s="9"/>
      <c r="J109" s="71">
        <f t="shared" si="1"/>
        <v>0</v>
      </c>
      <c r="K109" s="9"/>
      <c r="L109" s="9"/>
      <c r="M109" s="9"/>
      <c r="N109" s="71">
        <f t="shared" si="2"/>
        <v>0</v>
      </c>
      <c r="O109" s="2" t="s">
        <v>85</v>
      </c>
      <c r="P109" s="42">
        <f>'FLO - DR &amp; Loaders'!G8</f>
        <v>18</v>
      </c>
      <c r="Q109" s="1"/>
      <c r="R109" s="1"/>
      <c r="S109" s="46"/>
      <c r="T109" s="49"/>
      <c r="U109" s="49"/>
      <c r="V109" s="3"/>
      <c r="W109" s="3"/>
      <c r="X109" s="3"/>
      <c r="Y109" s="2"/>
    </row>
    <row r="110" spans="1:25" ht="38.25" customHeight="1" x14ac:dyDescent="0.2">
      <c r="A110" s="421" t="s">
        <v>103</v>
      </c>
      <c r="B110" s="421"/>
      <c r="C110" s="421"/>
      <c r="D110" s="421"/>
      <c r="E110" s="421"/>
      <c r="F110" s="421"/>
      <c r="G110" s="421"/>
      <c r="H110" s="421"/>
      <c r="I110" s="421"/>
      <c r="J110" s="421"/>
      <c r="K110" s="421"/>
      <c r="L110" s="421"/>
      <c r="M110" s="421"/>
      <c r="N110" s="421"/>
      <c r="O110" s="2" t="s">
        <v>104</v>
      </c>
      <c r="P110" s="42">
        <f>'FLO - DR &amp; Loaders'!G9</f>
        <v>6</v>
      </c>
      <c r="Q110" s="1"/>
      <c r="R110" s="1"/>
      <c r="S110" s="46"/>
      <c r="T110" s="49"/>
      <c r="U110" s="49"/>
      <c r="V110" s="3"/>
      <c r="W110" s="3"/>
      <c r="X110" s="3"/>
      <c r="Y110" s="2"/>
    </row>
    <row r="111" spans="1:25" ht="38.25" customHeight="1" x14ac:dyDescent="0.2">
      <c r="A111" s="9">
        <v>1</v>
      </c>
      <c r="B111" s="44">
        <f>'Early Morning Report'!A2</f>
        <v>0</v>
      </c>
      <c r="C111" s="45">
        <f>'Early Morning Report'!B2</f>
        <v>0</v>
      </c>
      <c r="D111" s="45">
        <f>'Early Morning Report'!C2</f>
        <v>0</v>
      </c>
      <c r="E111" s="9"/>
      <c r="F111" s="71">
        <f>J111+N111</f>
        <v>0</v>
      </c>
      <c r="G111" s="12">
        <f>'Early Morning Report'!H2</f>
        <v>0</v>
      </c>
      <c r="H111" s="12">
        <f>'Early Morning Report'!I2</f>
        <v>0</v>
      </c>
      <c r="I111" s="12">
        <f>'Early Morning Report'!J2</f>
        <v>0</v>
      </c>
      <c r="J111" s="71">
        <f t="shared" si="1"/>
        <v>0</v>
      </c>
      <c r="K111" s="12">
        <f>'Early Morning Report'!E2</f>
        <v>0</v>
      </c>
      <c r="L111" s="12">
        <f>'Early Morning Report'!F2</f>
        <v>0</v>
      </c>
      <c r="M111" s="12">
        <f>'Early Morning Report'!G2</f>
        <v>0</v>
      </c>
      <c r="N111" s="71">
        <f t="shared" si="2"/>
        <v>0</v>
      </c>
      <c r="O111" s="2" t="s">
        <v>37</v>
      </c>
      <c r="P111" s="42">
        <f>'FLO - DR &amp; Loaders'!G3</f>
        <v>4</v>
      </c>
      <c r="Q111" s="1"/>
      <c r="R111" s="1"/>
      <c r="S111" s="46"/>
      <c r="T111" s="49"/>
      <c r="U111" s="49"/>
      <c r="V111" s="3"/>
      <c r="W111" s="3"/>
      <c r="X111" s="3"/>
      <c r="Y111" s="2"/>
    </row>
    <row r="112" spans="1:25" ht="38.25" customHeight="1" x14ac:dyDescent="0.2">
      <c r="A112" s="9">
        <v>2</v>
      </c>
      <c r="B112" s="44">
        <f>'Early Morning Report'!A3</f>
        <v>0</v>
      </c>
      <c r="C112" s="45">
        <f>'Early Morning Report'!B3</f>
        <v>0</v>
      </c>
      <c r="D112" s="45">
        <f>'Early Morning Report'!C3</f>
        <v>0</v>
      </c>
      <c r="E112" s="9"/>
      <c r="F112" s="71">
        <f t="shared" ref="F112:F159" si="14">J112+N112</f>
        <v>0</v>
      </c>
      <c r="G112" s="12">
        <f>'Early Morning Report'!H3</f>
        <v>0</v>
      </c>
      <c r="H112" s="12">
        <f>'Early Morning Report'!I3</f>
        <v>0</v>
      </c>
      <c r="I112" s="12">
        <f>'Early Morning Report'!J3</f>
        <v>0</v>
      </c>
      <c r="J112" s="71">
        <f t="shared" si="1"/>
        <v>0</v>
      </c>
      <c r="K112" s="12">
        <f>'Early Morning Report'!E3</f>
        <v>0</v>
      </c>
      <c r="L112" s="12">
        <f>'Early Morning Report'!F3</f>
        <v>0</v>
      </c>
      <c r="M112" s="12">
        <f>'Early Morning Report'!G3</f>
        <v>0</v>
      </c>
      <c r="N112" s="71">
        <f t="shared" si="2"/>
        <v>0</v>
      </c>
      <c r="O112" s="2" t="s">
        <v>105</v>
      </c>
      <c r="P112" s="42">
        <f>'FLO - DR &amp; Loaders'!G2</f>
        <v>12</v>
      </c>
      <c r="Q112" s="1"/>
      <c r="R112" s="1"/>
      <c r="S112" s="46"/>
      <c r="T112" s="49"/>
      <c r="U112" s="49"/>
      <c r="V112" s="3"/>
      <c r="W112" s="3"/>
      <c r="X112" s="3"/>
      <c r="Y112" s="2"/>
    </row>
    <row r="113" spans="1:25" ht="38.25" customHeight="1" x14ac:dyDescent="0.2">
      <c r="A113" s="9">
        <v>3</v>
      </c>
      <c r="B113" s="44">
        <f>'Early Morning Report'!A4</f>
        <v>0</v>
      </c>
      <c r="C113" s="45">
        <f>'Early Morning Report'!B4</f>
        <v>0</v>
      </c>
      <c r="D113" s="45">
        <f>'Early Morning Report'!C4</f>
        <v>0</v>
      </c>
      <c r="E113" s="9"/>
      <c r="F113" s="71">
        <f t="shared" si="14"/>
        <v>0</v>
      </c>
      <c r="G113" s="12">
        <f>'Early Morning Report'!H4</f>
        <v>0</v>
      </c>
      <c r="H113" s="12">
        <f>'Early Morning Report'!I4</f>
        <v>0</v>
      </c>
      <c r="I113" s="12">
        <f>'Early Morning Report'!J4</f>
        <v>0</v>
      </c>
      <c r="J113" s="71">
        <f t="shared" si="1"/>
        <v>0</v>
      </c>
      <c r="K113" s="12">
        <f>'Early Morning Report'!E4</f>
        <v>0</v>
      </c>
      <c r="L113" s="12">
        <f>'Early Morning Report'!F4</f>
        <v>0</v>
      </c>
      <c r="M113" s="12">
        <f>'Early Morning Report'!G4</f>
        <v>0</v>
      </c>
      <c r="N113" s="71">
        <f t="shared" si="2"/>
        <v>0</v>
      </c>
      <c r="O113" s="2" t="s">
        <v>33</v>
      </c>
      <c r="P113" s="42">
        <f>'FLO - DR &amp; Loaders'!G6</f>
        <v>2</v>
      </c>
      <c r="Q113" s="1"/>
      <c r="R113" s="1"/>
      <c r="S113" s="46"/>
      <c r="T113" s="49"/>
      <c r="U113" s="49"/>
      <c r="V113" s="3"/>
      <c r="W113" s="3"/>
      <c r="X113" s="3"/>
      <c r="Y113" s="2"/>
    </row>
    <row r="114" spans="1:25" ht="38.25" customHeight="1" x14ac:dyDescent="0.2">
      <c r="A114" s="9">
        <v>4</v>
      </c>
      <c r="B114" s="44">
        <f>'Early Morning Report'!A5</f>
        <v>0</v>
      </c>
      <c r="C114" s="45">
        <f>'Early Morning Report'!B5</f>
        <v>0</v>
      </c>
      <c r="D114" s="45">
        <f>'Early Morning Report'!C5</f>
        <v>0</v>
      </c>
      <c r="E114" s="9"/>
      <c r="F114" s="71">
        <f t="shared" si="14"/>
        <v>0</v>
      </c>
      <c r="G114" s="12">
        <f>'Early Morning Report'!H5</f>
        <v>0</v>
      </c>
      <c r="H114" s="12">
        <f>'Early Morning Report'!I5</f>
        <v>0</v>
      </c>
      <c r="I114" s="12">
        <f>'Early Morning Report'!J5</f>
        <v>0</v>
      </c>
      <c r="J114" s="71">
        <f t="shared" si="1"/>
        <v>0</v>
      </c>
      <c r="K114" s="12">
        <f>'Early Morning Report'!E5</f>
        <v>0</v>
      </c>
      <c r="L114" s="12">
        <f>'Early Morning Report'!F5</f>
        <v>0</v>
      </c>
      <c r="M114" s="12">
        <f>'Early Morning Report'!G5</f>
        <v>0</v>
      </c>
      <c r="N114" s="71">
        <f t="shared" si="2"/>
        <v>0</v>
      </c>
      <c r="O114" s="2" t="s">
        <v>106</v>
      </c>
      <c r="P114" s="42">
        <f>'FLO - DR &amp; Loaders'!G7</f>
        <v>2</v>
      </c>
      <c r="Q114" s="1"/>
      <c r="R114" s="1"/>
      <c r="S114" s="46"/>
      <c r="T114" s="49"/>
      <c r="U114" s="49"/>
      <c r="V114" s="3"/>
      <c r="W114" s="3"/>
      <c r="X114" s="3"/>
      <c r="Y114" s="2"/>
    </row>
    <row r="115" spans="1:25" ht="38.25" customHeight="1" x14ac:dyDescent="0.2">
      <c r="A115" s="9">
        <v>5</v>
      </c>
      <c r="B115" s="44">
        <f>'Early Morning Report'!A6</f>
        <v>0</v>
      </c>
      <c r="C115" s="45">
        <f>'Early Morning Report'!B6</f>
        <v>0</v>
      </c>
      <c r="D115" s="45">
        <f>'Early Morning Report'!C6</f>
        <v>0</v>
      </c>
      <c r="E115" s="9"/>
      <c r="F115" s="71">
        <f t="shared" si="14"/>
        <v>0</v>
      </c>
      <c r="G115" s="12">
        <f>'Early Morning Report'!H6</f>
        <v>0</v>
      </c>
      <c r="H115" s="12">
        <f>'Early Morning Report'!I6</f>
        <v>0</v>
      </c>
      <c r="I115" s="12">
        <f>'Early Morning Report'!J6</f>
        <v>0</v>
      </c>
      <c r="J115" s="71">
        <f t="shared" si="1"/>
        <v>0</v>
      </c>
      <c r="K115" s="12">
        <f>'Early Morning Report'!E6</f>
        <v>0</v>
      </c>
      <c r="L115" s="12">
        <f>'Early Morning Report'!F6</f>
        <v>0</v>
      </c>
      <c r="M115" s="12">
        <f>'Early Morning Report'!G6</f>
        <v>0</v>
      </c>
      <c r="N115" s="71">
        <f t="shared" si="2"/>
        <v>0</v>
      </c>
      <c r="O115" s="2" t="s">
        <v>107</v>
      </c>
      <c r="P115" s="42">
        <f>'FLO - DR &amp; Loaders'!G5</f>
        <v>6</v>
      </c>
      <c r="Q115" s="1"/>
      <c r="R115" s="1"/>
      <c r="S115" s="46"/>
      <c r="T115" s="49"/>
      <c r="U115" s="49"/>
      <c r="V115" s="3"/>
      <c r="W115" s="3"/>
      <c r="X115" s="3"/>
      <c r="Y115" s="2"/>
    </row>
    <row r="116" spans="1:25" ht="38.25" customHeight="1" x14ac:dyDescent="0.2">
      <c r="A116" s="9">
        <v>6</v>
      </c>
      <c r="B116" s="44">
        <f>'Early Morning Report'!A7</f>
        <v>0</v>
      </c>
      <c r="C116" s="45">
        <f>'Early Morning Report'!B7</f>
        <v>0</v>
      </c>
      <c r="D116" s="45">
        <f>'Early Morning Report'!C7</f>
        <v>0</v>
      </c>
      <c r="E116" s="9"/>
      <c r="F116" s="71">
        <f t="shared" si="14"/>
        <v>0</v>
      </c>
      <c r="G116" s="12">
        <f>'Early Morning Report'!H7</f>
        <v>0</v>
      </c>
      <c r="H116" s="12">
        <f>'Early Morning Report'!I7</f>
        <v>0</v>
      </c>
      <c r="I116" s="12">
        <f>'Early Morning Report'!J7</f>
        <v>0</v>
      </c>
      <c r="J116" s="71">
        <f t="shared" si="1"/>
        <v>0</v>
      </c>
      <c r="K116" s="12">
        <f>'Early Morning Report'!E7</f>
        <v>0</v>
      </c>
      <c r="L116" s="12">
        <f>'Early Morning Report'!F7</f>
        <v>0</v>
      </c>
      <c r="M116" s="12">
        <f>'Early Morning Report'!G7</f>
        <v>0</v>
      </c>
      <c r="N116" s="71">
        <f t="shared" si="2"/>
        <v>0</v>
      </c>
      <c r="O116" s="2"/>
      <c r="P116" s="2"/>
      <c r="Q116" s="1"/>
      <c r="R116" s="1"/>
      <c r="S116" s="46"/>
      <c r="T116" s="49"/>
      <c r="U116" s="49"/>
      <c r="V116" s="3"/>
      <c r="W116" s="3"/>
      <c r="X116" s="3"/>
      <c r="Y116" s="2"/>
    </row>
    <row r="117" spans="1:25" ht="38.25" customHeight="1" x14ac:dyDescent="0.2">
      <c r="A117" s="9">
        <v>7</v>
      </c>
      <c r="B117" s="44">
        <f>'Early Morning Report'!A8</f>
        <v>0</v>
      </c>
      <c r="C117" s="45">
        <f>'Early Morning Report'!B8</f>
        <v>0</v>
      </c>
      <c r="D117" s="45">
        <f>'Early Morning Report'!C8</f>
        <v>0</v>
      </c>
      <c r="E117" s="9"/>
      <c r="F117" s="71">
        <f t="shared" si="14"/>
        <v>0</v>
      </c>
      <c r="G117" s="12">
        <f>'Early Morning Report'!H8</f>
        <v>0</v>
      </c>
      <c r="H117" s="12">
        <f>'Early Morning Report'!I8</f>
        <v>0</v>
      </c>
      <c r="I117" s="12">
        <f>'Early Morning Report'!J8</f>
        <v>0</v>
      </c>
      <c r="J117" s="71">
        <f t="shared" si="1"/>
        <v>0</v>
      </c>
      <c r="K117" s="12">
        <f>'Early Morning Report'!E8</f>
        <v>0</v>
      </c>
      <c r="L117" s="12">
        <f>'Early Morning Report'!F8</f>
        <v>0</v>
      </c>
      <c r="M117" s="12">
        <f>'Early Morning Report'!G8</f>
        <v>0</v>
      </c>
      <c r="N117" s="71">
        <f t="shared" si="2"/>
        <v>0</v>
      </c>
      <c r="O117" s="2" t="s">
        <v>108</v>
      </c>
      <c r="P117" s="42">
        <f>SUM(P107:P116)</f>
        <v>60</v>
      </c>
      <c r="Q117" s="1"/>
      <c r="R117" s="1"/>
      <c r="S117" s="46"/>
      <c r="T117" s="49"/>
      <c r="U117" s="49"/>
      <c r="V117" s="3"/>
      <c r="W117" s="3"/>
      <c r="X117" s="3"/>
      <c r="Y117" s="2"/>
    </row>
    <row r="118" spans="1:25" ht="38.25" customHeight="1" x14ac:dyDescent="0.2">
      <c r="A118" s="9">
        <v>8</v>
      </c>
      <c r="B118" s="44">
        <f>'Early Morning Report'!A9</f>
        <v>0</v>
      </c>
      <c r="C118" s="45">
        <f>'Early Morning Report'!B9</f>
        <v>0</v>
      </c>
      <c r="D118" s="45">
        <f>'Early Morning Report'!C9</f>
        <v>0</v>
      </c>
      <c r="E118" s="9"/>
      <c r="F118" s="71">
        <f t="shared" si="14"/>
        <v>0</v>
      </c>
      <c r="G118" s="12">
        <f>'Early Morning Report'!H9</f>
        <v>0</v>
      </c>
      <c r="H118" s="12">
        <f>'Early Morning Report'!I9</f>
        <v>0</v>
      </c>
      <c r="I118" s="12">
        <f>'Early Morning Report'!J9</f>
        <v>0</v>
      </c>
      <c r="J118" s="71">
        <f t="shared" si="1"/>
        <v>0</v>
      </c>
      <c r="K118" s="12">
        <f>'Early Morning Report'!E9</f>
        <v>0</v>
      </c>
      <c r="L118" s="12">
        <f>'Early Morning Report'!F9</f>
        <v>0</v>
      </c>
      <c r="M118" s="12">
        <f>'Early Morning Report'!G9</f>
        <v>0</v>
      </c>
      <c r="N118" s="71">
        <f t="shared" si="2"/>
        <v>0</v>
      </c>
      <c r="O118" s="2" t="s">
        <v>61</v>
      </c>
      <c r="P118" s="42">
        <f>SUM(P107:P116)*12</f>
        <v>720</v>
      </c>
      <c r="Q118" s="1"/>
      <c r="R118" s="1"/>
      <c r="S118" s="46"/>
      <c r="T118" s="49"/>
      <c r="U118" s="49"/>
      <c r="V118" s="3"/>
      <c r="W118" s="3"/>
      <c r="X118" s="3"/>
      <c r="Y118" s="2"/>
    </row>
    <row r="119" spans="1:25" ht="38.25" customHeight="1" x14ac:dyDescent="0.2">
      <c r="A119" s="9">
        <v>9</v>
      </c>
      <c r="B119" s="44">
        <f>'Early Morning Report'!A10</f>
        <v>0</v>
      </c>
      <c r="C119" s="45">
        <f>'Early Morning Report'!B10</f>
        <v>0</v>
      </c>
      <c r="D119" s="45">
        <f>'Early Morning Report'!C10</f>
        <v>0</v>
      </c>
      <c r="E119" s="9"/>
      <c r="F119" s="71">
        <f t="shared" si="14"/>
        <v>0</v>
      </c>
      <c r="G119" s="12">
        <f>'Early Morning Report'!H10</f>
        <v>0</v>
      </c>
      <c r="H119" s="12">
        <f>'Early Morning Report'!I10</f>
        <v>0</v>
      </c>
      <c r="I119" s="12">
        <f>'Early Morning Report'!J10</f>
        <v>0</v>
      </c>
      <c r="J119" s="71">
        <f t="shared" si="1"/>
        <v>0</v>
      </c>
      <c r="K119" s="12">
        <f>'Early Morning Report'!E10</f>
        <v>0</v>
      </c>
      <c r="L119" s="12">
        <f>'Early Morning Report'!F10</f>
        <v>0</v>
      </c>
      <c r="M119" s="12">
        <f>'Early Morning Report'!G10</f>
        <v>0</v>
      </c>
      <c r="N119" s="71">
        <f t="shared" si="2"/>
        <v>0</v>
      </c>
      <c r="O119" s="2"/>
      <c r="P119" s="2"/>
      <c r="Q119" s="1"/>
      <c r="R119" s="1"/>
      <c r="S119" s="46"/>
      <c r="T119" s="49"/>
      <c r="U119" s="49"/>
      <c r="V119" s="3"/>
      <c r="W119" s="3"/>
      <c r="X119" s="3"/>
      <c r="Y119" s="2"/>
    </row>
    <row r="120" spans="1:25" ht="38.25" customHeight="1" x14ac:dyDescent="0.2">
      <c r="A120" s="9">
        <v>10</v>
      </c>
      <c r="B120" s="44">
        <f>'Early Morning Report'!A11</f>
        <v>0</v>
      </c>
      <c r="C120" s="45">
        <f>'Early Morning Report'!B11</f>
        <v>0</v>
      </c>
      <c r="D120" s="45">
        <f>'Early Morning Report'!C11</f>
        <v>0</v>
      </c>
      <c r="E120" s="9"/>
      <c r="F120" s="71">
        <f t="shared" si="14"/>
        <v>0</v>
      </c>
      <c r="G120" s="12">
        <f>'Early Morning Report'!H11</f>
        <v>0</v>
      </c>
      <c r="H120" s="12">
        <f>'Early Morning Report'!I11</f>
        <v>0</v>
      </c>
      <c r="I120" s="12">
        <f>'Early Morning Report'!J11</f>
        <v>0</v>
      </c>
      <c r="J120" s="71">
        <f t="shared" si="1"/>
        <v>0</v>
      </c>
      <c r="K120" s="12">
        <f>'Early Morning Report'!E11</f>
        <v>0</v>
      </c>
      <c r="L120" s="12">
        <f>'Early Morning Report'!F11</f>
        <v>0</v>
      </c>
      <c r="M120" s="12">
        <f>'Early Morning Report'!G11</f>
        <v>0</v>
      </c>
      <c r="N120" s="71">
        <f t="shared" si="2"/>
        <v>0</v>
      </c>
      <c r="O120" s="414" t="s">
        <v>109</v>
      </c>
      <c r="P120" s="414"/>
      <c r="Q120" s="1"/>
      <c r="R120" s="1"/>
      <c r="S120" s="46"/>
      <c r="T120" s="49"/>
      <c r="U120" s="49"/>
      <c r="V120" s="3"/>
      <c r="W120" s="3"/>
      <c r="X120" s="3"/>
      <c r="Y120" s="2"/>
    </row>
    <row r="121" spans="1:25" ht="38.25" customHeight="1" x14ac:dyDescent="0.2">
      <c r="A121" s="9">
        <v>11</v>
      </c>
      <c r="B121" s="44">
        <f>'Early Morning Report'!A12</f>
        <v>0</v>
      </c>
      <c r="C121" s="45">
        <f>'Early Morning Report'!B12</f>
        <v>0</v>
      </c>
      <c r="D121" s="45">
        <f>'Early Morning Report'!C12</f>
        <v>0</v>
      </c>
      <c r="E121" s="9"/>
      <c r="F121" s="71">
        <f t="shared" si="14"/>
        <v>0</v>
      </c>
      <c r="G121" s="12">
        <f>'Early Morning Report'!H12</f>
        <v>0</v>
      </c>
      <c r="H121" s="12">
        <f>'Early Morning Report'!I12</f>
        <v>0</v>
      </c>
      <c r="I121" s="12">
        <f>'Early Morning Report'!J12</f>
        <v>0</v>
      </c>
      <c r="J121" s="71">
        <f t="shared" si="1"/>
        <v>0</v>
      </c>
      <c r="K121" s="12">
        <f>'Early Morning Report'!E12</f>
        <v>0</v>
      </c>
      <c r="L121" s="12">
        <f>'Early Morning Report'!F12</f>
        <v>0</v>
      </c>
      <c r="M121" s="12">
        <f>'Early Morning Report'!G12</f>
        <v>0</v>
      </c>
      <c r="N121" s="71">
        <f t="shared" si="2"/>
        <v>0</v>
      </c>
      <c r="O121" s="374" t="s">
        <v>95</v>
      </c>
      <c r="P121" s="375"/>
      <c r="Q121" s="1"/>
      <c r="R121" s="1"/>
      <c r="S121" s="46"/>
      <c r="T121" s="49"/>
      <c r="U121" s="49"/>
      <c r="V121" s="3"/>
      <c r="W121" s="3"/>
      <c r="X121" s="3"/>
      <c r="Y121" s="2"/>
    </row>
    <row r="122" spans="1:25" ht="38.25" customHeight="1" x14ac:dyDescent="0.2">
      <c r="A122" s="9">
        <v>12</v>
      </c>
      <c r="B122" s="44">
        <f>'Early Morning Report'!A13</f>
        <v>0</v>
      </c>
      <c r="C122" s="45">
        <f>'Early Morning Report'!B13</f>
        <v>0</v>
      </c>
      <c r="D122" s="45">
        <f>'Early Morning Report'!C13</f>
        <v>0</v>
      </c>
      <c r="E122" s="9"/>
      <c r="F122" s="71">
        <f t="shared" si="14"/>
        <v>0</v>
      </c>
      <c r="G122" s="12">
        <f>'Early Morning Report'!H13</f>
        <v>0</v>
      </c>
      <c r="H122" s="12">
        <f>'Early Morning Report'!I13</f>
        <v>0</v>
      </c>
      <c r="I122" s="12">
        <f>'Early Morning Report'!J13</f>
        <v>0</v>
      </c>
      <c r="J122" s="71">
        <f t="shared" si="1"/>
        <v>0</v>
      </c>
      <c r="K122" s="12">
        <f>'Early Morning Report'!E13</f>
        <v>0</v>
      </c>
      <c r="L122" s="12">
        <f>'Early Morning Report'!F13</f>
        <v>0</v>
      </c>
      <c r="M122" s="12">
        <f>'Early Morning Report'!G13</f>
        <v>0</v>
      </c>
      <c r="N122" s="71">
        <f t="shared" si="2"/>
        <v>0</v>
      </c>
      <c r="O122" s="2" t="s">
        <v>81</v>
      </c>
      <c r="P122" s="42">
        <f>COUNT(X11:X24,X26:X85)</f>
        <v>0</v>
      </c>
      <c r="Q122" s="1"/>
      <c r="R122" s="1"/>
      <c r="S122" s="46"/>
      <c r="T122" s="49"/>
      <c r="U122" s="49"/>
      <c r="V122" s="3"/>
      <c r="W122" s="3"/>
      <c r="X122" s="3"/>
      <c r="Y122" s="2"/>
    </row>
    <row r="123" spans="1:25" ht="38.25" customHeight="1" x14ac:dyDescent="0.2">
      <c r="A123" s="9">
        <v>13</v>
      </c>
      <c r="B123" s="44">
        <f>'Early Morning Report'!A14</f>
        <v>0</v>
      </c>
      <c r="C123" s="45">
        <f>'Early Morning Report'!B14</f>
        <v>0</v>
      </c>
      <c r="D123" s="45">
        <f>'Early Morning Report'!C14</f>
        <v>0</v>
      </c>
      <c r="E123" s="9"/>
      <c r="F123" s="71">
        <f t="shared" si="14"/>
        <v>0</v>
      </c>
      <c r="G123" s="12">
        <f>'Early Morning Report'!H14</f>
        <v>0</v>
      </c>
      <c r="H123" s="12">
        <f>'Early Morning Report'!I14</f>
        <v>0</v>
      </c>
      <c r="I123" s="12">
        <f>'Early Morning Report'!J14</f>
        <v>0</v>
      </c>
      <c r="J123" s="71">
        <f t="shared" si="1"/>
        <v>0</v>
      </c>
      <c r="K123" s="12">
        <f>'Early Morning Report'!E14</f>
        <v>0</v>
      </c>
      <c r="L123" s="12">
        <f>'Early Morning Report'!F14</f>
        <v>0</v>
      </c>
      <c r="M123" s="12">
        <f>'Early Morning Report'!G14</f>
        <v>0</v>
      </c>
      <c r="N123" s="71">
        <f t="shared" si="2"/>
        <v>0</v>
      </c>
      <c r="O123" s="2" t="s">
        <v>97</v>
      </c>
      <c r="P123" s="42">
        <f>P41</f>
        <v>303</v>
      </c>
      <c r="Q123" s="1"/>
      <c r="R123" s="1"/>
      <c r="S123" s="46"/>
      <c r="T123" s="49"/>
      <c r="U123" s="49"/>
      <c r="V123" s="3"/>
      <c r="W123" s="3"/>
      <c r="X123" s="3"/>
      <c r="Y123" s="2"/>
    </row>
    <row r="124" spans="1:25" ht="38.25" customHeight="1" x14ac:dyDescent="0.2">
      <c r="A124" s="9">
        <v>14</v>
      </c>
      <c r="B124" s="44">
        <f>'Early Morning Report'!A15</f>
        <v>0</v>
      </c>
      <c r="C124" s="45">
        <f>'Early Morning Report'!B15</f>
        <v>0</v>
      </c>
      <c r="D124" s="45">
        <f>'Early Morning Report'!C15</f>
        <v>0</v>
      </c>
      <c r="E124" s="9"/>
      <c r="F124" s="71">
        <f t="shared" si="14"/>
        <v>0</v>
      </c>
      <c r="G124" s="12">
        <f>'Early Morning Report'!H15</f>
        <v>0</v>
      </c>
      <c r="H124" s="12">
        <f>'Early Morning Report'!I15</f>
        <v>0</v>
      </c>
      <c r="I124" s="12">
        <f>'Early Morning Report'!J15</f>
        <v>0</v>
      </c>
      <c r="J124" s="71">
        <f t="shared" si="1"/>
        <v>0</v>
      </c>
      <c r="K124" s="12">
        <f>'Early Morning Report'!E15</f>
        <v>0</v>
      </c>
      <c r="L124" s="12">
        <f>'Early Morning Report'!F15</f>
        <v>0</v>
      </c>
      <c r="M124" s="12">
        <f>'Early Morning Report'!G15</f>
        <v>0</v>
      </c>
      <c r="N124" s="71">
        <f t="shared" si="2"/>
        <v>0</v>
      </c>
      <c r="O124" s="374" t="s">
        <v>98</v>
      </c>
      <c r="P124" s="375"/>
      <c r="Q124" s="1"/>
      <c r="R124" s="1"/>
      <c r="S124" s="46"/>
      <c r="T124" s="49"/>
      <c r="U124" s="49"/>
      <c r="V124" s="3"/>
      <c r="W124" s="3"/>
      <c r="X124" s="3"/>
      <c r="Y124" s="2"/>
    </row>
    <row r="125" spans="1:25" ht="38.25" customHeight="1" x14ac:dyDescent="0.2">
      <c r="A125" s="9">
        <v>15</v>
      </c>
      <c r="B125" s="44">
        <f>'Early Morning Report'!A16</f>
        <v>0</v>
      </c>
      <c r="C125" s="45">
        <f>'Early Morning Report'!B16</f>
        <v>0</v>
      </c>
      <c r="D125" s="45">
        <f>'Early Morning Report'!C16</f>
        <v>0</v>
      </c>
      <c r="E125" s="9"/>
      <c r="F125" s="71">
        <f t="shared" si="14"/>
        <v>0</v>
      </c>
      <c r="G125" s="12">
        <f>'Early Morning Report'!H16</f>
        <v>0</v>
      </c>
      <c r="H125" s="12">
        <f>'Early Morning Report'!I16</f>
        <v>0</v>
      </c>
      <c r="I125" s="12">
        <f>'Early Morning Report'!J16</f>
        <v>0</v>
      </c>
      <c r="J125" s="71">
        <f t="shared" ref="J125:J160" si="15">G125+H125+I125</f>
        <v>0</v>
      </c>
      <c r="K125" s="12">
        <f>'Early Morning Report'!E16</f>
        <v>0</v>
      </c>
      <c r="L125" s="12">
        <f>'Early Morning Report'!F16</f>
        <v>0</v>
      </c>
      <c r="M125" s="12">
        <f>'Early Morning Report'!G16</f>
        <v>0</v>
      </c>
      <c r="N125" s="71">
        <f t="shared" ref="N125:N160" si="16">K125+L125+M125</f>
        <v>0</v>
      </c>
      <c r="O125" s="144" t="s">
        <v>81</v>
      </c>
      <c r="P125" s="2"/>
      <c r="Q125" s="1"/>
      <c r="R125" s="1"/>
      <c r="S125" s="46"/>
      <c r="T125" s="49"/>
      <c r="U125" s="49"/>
      <c r="V125" s="3"/>
      <c r="W125" s="3"/>
      <c r="X125" s="3"/>
      <c r="Y125" s="2"/>
    </row>
    <row r="126" spans="1:25" ht="38.25" customHeight="1" x14ac:dyDescent="0.2">
      <c r="A126" s="9">
        <v>16</v>
      </c>
      <c r="B126" s="44">
        <f>'Early Morning Report'!A17</f>
        <v>0</v>
      </c>
      <c r="C126" s="45">
        <f>'Early Morning Report'!B17</f>
        <v>0</v>
      </c>
      <c r="D126" s="45">
        <f>'Early Morning Report'!C17</f>
        <v>0</v>
      </c>
      <c r="E126" s="9"/>
      <c r="F126" s="71">
        <f t="shared" si="14"/>
        <v>0</v>
      </c>
      <c r="G126" s="12">
        <f>'Early Morning Report'!H17</f>
        <v>0</v>
      </c>
      <c r="H126" s="12">
        <f>'Early Morning Report'!I17</f>
        <v>0</v>
      </c>
      <c r="I126" s="12">
        <f>'Early Morning Report'!J17</f>
        <v>0</v>
      </c>
      <c r="J126" s="71">
        <f t="shared" si="15"/>
        <v>0</v>
      </c>
      <c r="K126" s="12">
        <f>'Early Morning Report'!E17</f>
        <v>0</v>
      </c>
      <c r="L126" s="12">
        <f>'Early Morning Report'!F17</f>
        <v>0</v>
      </c>
      <c r="M126" s="12">
        <f>'Early Morning Report'!G17</f>
        <v>0</v>
      </c>
      <c r="N126" s="71">
        <f t="shared" si="16"/>
        <v>0</v>
      </c>
      <c r="O126" s="144" t="s">
        <v>97</v>
      </c>
      <c r="P126" s="2"/>
      <c r="Q126" s="1"/>
      <c r="R126" s="1"/>
      <c r="S126" s="46"/>
      <c r="T126" s="49"/>
      <c r="U126" s="49"/>
      <c r="V126" s="3"/>
      <c r="W126" s="3"/>
      <c r="X126" s="3"/>
      <c r="Y126" s="2"/>
    </row>
    <row r="127" spans="1:25" ht="38.25" customHeight="1" x14ac:dyDescent="0.2">
      <c r="A127" s="9">
        <v>17</v>
      </c>
      <c r="B127" s="44">
        <f>'Early Morning Report'!A18</f>
        <v>0</v>
      </c>
      <c r="C127" s="45">
        <f>'Early Morning Report'!B18</f>
        <v>0</v>
      </c>
      <c r="D127" s="45">
        <f>'Early Morning Report'!C18</f>
        <v>0</v>
      </c>
      <c r="E127" s="9"/>
      <c r="F127" s="71">
        <f t="shared" si="14"/>
        <v>0</v>
      </c>
      <c r="G127" s="12">
        <f>'Early Morning Report'!H18</f>
        <v>0</v>
      </c>
      <c r="H127" s="12">
        <f>'Early Morning Report'!I18</f>
        <v>0</v>
      </c>
      <c r="I127" s="12">
        <f>'Early Morning Report'!J18</f>
        <v>0</v>
      </c>
      <c r="J127" s="71">
        <f t="shared" si="15"/>
        <v>0</v>
      </c>
      <c r="K127" s="12">
        <f>'Early Morning Report'!E18</f>
        <v>0</v>
      </c>
      <c r="L127" s="12">
        <f>'Early Morning Report'!F18</f>
        <v>0</v>
      </c>
      <c r="M127" s="12">
        <f>'Early Morning Report'!G18</f>
        <v>0</v>
      </c>
      <c r="N127" s="71">
        <f t="shared" si="16"/>
        <v>0</v>
      </c>
      <c r="O127" s="374" t="s">
        <v>99</v>
      </c>
      <c r="P127" s="375"/>
      <c r="Q127" s="1"/>
      <c r="R127" s="1"/>
      <c r="S127" s="46"/>
      <c r="T127" s="49"/>
      <c r="U127" s="49"/>
      <c r="V127" s="3"/>
      <c r="W127" s="3"/>
      <c r="X127" s="3"/>
      <c r="Y127" s="2"/>
    </row>
    <row r="128" spans="1:25" ht="38.25" customHeight="1" x14ac:dyDescent="0.2">
      <c r="A128" s="9">
        <v>18</v>
      </c>
      <c r="B128" s="44">
        <f>'Early Morning Report'!A19</f>
        <v>0</v>
      </c>
      <c r="C128" s="45">
        <f>'Early Morning Report'!B19</f>
        <v>0</v>
      </c>
      <c r="D128" s="45">
        <f>'Early Morning Report'!C19</f>
        <v>0</v>
      </c>
      <c r="E128" s="9"/>
      <c r="F128" s="71">
        <f t="shared" si="14"/>
        <v>0</v>
      </c>
      <c r="G128" s="12">
        <f>'Early Morning Report'!H19</f>
        <v>0</v>
      </c>
      <c r="H128" s="12">
        <f>'Early Morning Report'!I19</f>
        <v>0</v>
      </c>
      <c r="I128" s="12">
        <f>'Early Morning Report'!J19</f>
        <v>0</v>
      </c>
      <c r="J128" s="71">
        <f t="shared" si="15"/>
        <v>0</v>
      </c>
      <c r="K128" s="12">
        <f>'Early Morning Report'!E19</f>
        <v>0</v>
      </c>
      <c r="L128" s="12">
        <f>'Early Morning Report'!F19</f>
        <v>0</v>
      </c>
      <c r="M128" s="12">
        <f>'Early Morning Report'!G19</f>
        <v>0</v>
      </c>
      <c r="N128" s="71">
        <f t="shared" si="16"/>
        <v>0</v>
      </c>
      <c r="O128" s="144" t="s">
        <v>81</v>
      </c>
      <c r="P128" s="2"/>
      <c r="Q128" s="1"/>
      <c r="R128" s="1"/>
      <c r="S128" s="46"/>
      <c r="T128" s="49"/>
      <c r="U128" s="49"/>
      <c r="V128" s="3"/>
      <c r="W128" s="3"/>
      <c r="X128" s="3"/>
      <c r="Y128" s="2"/>
    </row>
    <row r="129" spans="1:25" ht="38.25" customHeight="1" x14ac:dyDescent="0.2">
      <c r="A129" s="9">
        <v>19</v>
      </c>
      <c r="B129" s="44">
        <f>'Early Morning Report'!A20</f>
        <v>0</v>
      </c>
      <c r="C129" s="45">
        <f>'Early Morning Report'!B20</f>
        <v>0</v>
      </c>
      <c r="D129" s="45">
        <f>'Early Morning Report'!C20</f>
        <v>0</v>
      </c>
      <c r="E129" s="9"/>
      <c r="F129" s="71">
        <f t="shared" si="14"/>
        <v>0</v>
      </c>
      <c r="G129" s="12">
        <f>'Early Morning Report'!H20</f>
        <v>0</v>
      </c>
      <c r="H129" s="12">
        <f>'Early Morning Report'!I20</f>
        <v>0</v>
      </c>
      <c r="I129" s="12">
        <f>'Early Morning Report'!J20</f>
        <v>0</v>
      </c>
      <c r="J129" s="71">
        <f t="shared" si="15"/>
        <v>0</v>
      </c>
      <c r="K129" s="12">
        <f>'Early Morning Report'!E20</f>
        <v>0</v>
      </c>
      <c r="L129" s="12">
        <f>'Early Morning Report'!F20</f>
        <v>0</v>
      </c>
      <c r="M129" s="12">
        <f>'Early Morning Report'!G20</f>
        <v>0</v>
      </c>
      <c r="N129" s="71">
        <f t="shared" si="16"/>
        <v>0</v>
      </c>
      <c r="O129" s="144" t="s">
        <v>97</v>
      </c>
      <c r="P129" s="2"/>
      <c r="Q129" s="1"/>
      <c r="R129" s="1"/>
      <c r="S129" s="46"/>
      <c r="T129" s="49"/>
      <c r="U129" s="49"/>
      <c r="V129" s="3"/>
      <c r="W129" s="3"/>
      <c r="X129" s="3"/>
      <c r="Y129" s="2"/>
    </row>
    <row r="130" spans="1:25" ht="38.25" customHeight="1" x14ac:dyDescent="0.2">
      <c r="A130" s="9">
        <v>20</v>
      </c>
      <c r="B130" s="44">
        <f>'Early Morning Report'!A21</f>
        <v>0</v>
      </c>
      <c r="C130" s="45">
        <f>'Early Morning Report'!B21</f>
        <v>0</v>
      </c>
      <c r="D130" s="45">
        <f>'Early Morning Report'!C21</f>
        <v>0</v>
      </c>
      <c r="E130" s="9"/>
      <c r="F130" s="71">
        <f t="shared" si="14"/>
        <v>0</v>
      </c>
      <c r="G130" s="12">
        <f>'Early Morning Report'!H21</f>
        <v>0</v>
      </c>
      <c r="H130" s="12">
        <f>'Early Morning Report'!I21</f>
        <v>0</v>
      </c>
      <c r="I130" s="12">
        <f>'Early Morning Report'!J21</f>
        <v>0</v>
      </c>
      <c r="J130" s="71">
        <f t="shared" si="15"/>
        <v>0</v>
      </c>
      <c r="K130" s="12">
        <f>'Early Morning Report'!E21</f>
        <v>0</v>
      </c>
      <c r="L130" s="12">
        <f>'Early Morning Report'!F21</f>
        <v>0</v>
      </c>
      <c r="M130" s="12">
        <f>'Early Morning Report'!G21</f>
        <v>0</v>
      </c>
      <c r="N130" s="71">
        <f t="shared" si="16"/>
        <v>0</v>
      </c>
      <c r="O130" s="374" t="s">
        <v>100</v>
      </c>
      <c r="P130" s="375"/>
      <c r="Q130" s="1"/>
      <c r="R130" s="1"/>
      <c r="S130" s="46"/>
      <c r="T130" s="49"/>
      <c r="U130" s="49"/>
      <c r="V130" s="3"/>
      <c r="W130" s="3"/>
      <c r="X130" s="3"/>
      <c r="Y130" s="2"/>
    </row>
    <row r="131" spans="1:25" ht="38.25" customHeight="1" x14ac:dyDescent="0.2">
      <c r="A131" s="9">
        <v>21</v>
      </c>
      <c r="B131" s="44">
        <f>'Early Morning Report'!A22</f>
        <v>0</v>
      </c>
      <c r="C131" s="45">
        <f>'Early Morning Report'!B22</f>
        <v>0</v>
      </c>
      <c r="D131" s="45">
        <f>'Early Morning Report'!C22</f>
        <v>0</v>
      </c>
      <c r="E131" s="9"/>
      <c r="F131" s="71">
        <f t="shared" si="14"/>
        <v>0</v>
      </c>
      <c r="G131" s="12">
        <f>'Early Morning Report'!H22</f>
        <v>0</v>
      </c>
      <c r="H131" s="12">
        <f>'Early Morning Report'!I22</f>
        <v>0</v>
      </c>
      <c r="I131" s="12">
        <f>'Early Morning Report'!J22</f>
        <v>0</v>
      </c>
      <c r="J131" s="71">
        <f t="shared" si="15"/>
        <v>0</v>
      </c>
      <c r="K131" s="12">
        <f>'Early Morning Report'!E22</f>
        <v>0</v>
      </c>
      <c r="L131" s="12">
        <f>'Early Morning Report'!F22</f>
        <v>0</v>
      </c>
      <c r="M131" s="12">
        <f>'Early Morning Report'!G22</f>
        <v>0</v>
      </c>
      <c r="N131" s="71">
        <f t="shared" si="16"/>
        <v>0</v>
      </c>
      <c r="O131" s="144" t="s">
        <v>101</v>
      </c>
      <c r="P131" s="2"/>
      <c r="Q131" s="1"/>
      <c r="R131" s="1"/>
      <c r="S131" s="46"/>
      <c r="T131" s="49"/>
      <c r="U131" s="49"/>
      <c r="V131" s="3"/>
      <c r="W131" s="3"/>
      <c r="X131" s="3"/>
      <c r="Y131" s="2"/>
    </row>
    <row r="132" spans="1:25" ht="38.25" customHeight="1" x14ac:dyDescent="0.2">
      <c r="A132" s="9">
        <v>22</v>
      </c>
      <c r="B132" s="44">
        <f>'Early Morning Report'!A23</f>
        <v>0</v>
      </c>
      <c r="C132" s="45">
        <f>'Early Morning Report'!B23</f>
        <v>0</v>
      </c>
      <c r="D132" s="45">
        <f>'Early Morning Report'!C23</f>
        <v>0</v>
      </c>
      <c r="E132" s="9"/>
      <c r="F132" s="71">
        <f t="shared" si="14"/>
        <v>0</v>
      </c>
      <c r="G132" s="12">
        <f>'Early Morning Report'!H23</f>
        <v>0</v>
      </c>
      <c r="H132" s="12">
        <f>'Early Morning Report'!I23</f>
        <v>0</v>
      </c>
      <c r="I132" s="12">
        <f>'Early Morning Report'!J23</f>
        <v>0</v>
      </c>
      <c r="J132" s="71">
        <f t="shared" si="15"/>
        <v>0</v>
      </c>
      <c r="K132" s="12">
        <f>'Early Morning Report'!E23</f>
        <v>0</v>
      </c>
      <c r="L132" s="12">
        <f>'Early Morning Report'!F23</f>
        <v>0</v>
      </c>
      <c r="M132" s="12">
        <f>'Early Morning Report'!G23</f>
        <v>0</v>
      </c>
      <c r="N132" s="71">
        <f t="shared" si="16"/>
        <v>0</v>
      </c>
      <c r="O132" s="144" t="s">
        <v>102</v>
      </c>
      <c r="P132" s="2"/>
      <c r="Q132" s="1"/>
      <c r="R132" s="1"/>
      <c r="S132" s="46"/>
      <c r="T132" s="49"/>
      <c r="U132" s="49"/>
      <c r="V132" s="3"/>
      <c r="W132" s="3"/>
      <c r="X132" s="3"/>
      <c r="Y132" s="2"/>
    </row>
    <row r="133" spans="1:25" ht="38.25" customHeight="1" x14ac:dyDescent="0.2">
      <c r="A133" s="9">
        <v>23</v>
      </c>
      <c r="B133" s="44">
        <f>'Early Morning Report'!A24</f>
        <v>0</v>
      </c>
      <c r="C133" s="45">
        <f>'Early Morning Report'!B24</f>
        <v>0</v>
      </c>
      <c r="D133" s="45">
        <f>'Early Morning Report'!C24</f>
        <v>0</v>
      </c>
      <c r="E133" s="9"/>
      <c r="F133" s="71">
        <f t="shared" si="14"/>
        <v>0</v>
      </c>
      <c r="G133" s="12">
        <f>'Early Morning Report'!H24</f>
        <v>0</v>
      </c>
      <c r="H133" s="12">
        <f>'Early Morning Report'!I24</f>
        <v>0</v>
      </c>
      <c r="I133" s="12">
        <f>'Early Morning Report'!J24</f>
        <v>0</v>
      </c>
      <c r="J133" s="71">
        <f t="shared" si="15"/>
        <v>0</v>
      </c>
      <c r="K133" s="12">
        <f>'Early Morning Report'!E24</f>
        <v>0</v>
      </c>
      <c r="L133" s="12">
        <f>'Early Morning Report'!F24</f>
        <v>0</v>
      </c>
      <c r="M133" s="12">
        <f>'Early Morning Report'!G24</f>
        <v>0</v>
      </c>
      <c r="N133" s="71">
        <f t="shared" si="16"/>
        <v>0</v>
      </c>
      <c r="O133" s="144" t="s">
        <v>110</v>
      </c>
      <c r="P133" s="2"/>
      <c r="Q133" s="1"/>
      <c r="R133" s="1"/>
      <c r="S133" s="46"/>
      <c r="T133" s="49"/>
      <c r="U133" s="49"/>
      <c r="V133" s="3"/>
      <c r="W133" s="3"/>
      <c r="X133" s="3"/>
      <c r="Y133" s="2"/>
    </row>
    <row r="134" spans="1:25" ht="38.25" customHeight="1" x14ac:dyDescent="0.2">
      <c r="A134" s="9">
        <v>24</v>
      </c>
      <c r="B134" s="44">
        <f>'Early Morning Report'!A25</f>
        <v>0</v>
      </c>
      <c r="C134" s="45">
        <f>'Early Morning Report'!B25</f>
        <v>0</v>
      </c>
      <c r="D134" s="45">
        <f>'Early Morning Report'!C25</f>
        <v>0</v>
      </c>
      <c r="E134" s="9"/>
      <c r="F134" s="71">
        <f t="shared" si="14"/>
        <v>0</v>
      </c>
      <c r="G134" s="12">
        <f>'Early Morning Report'!H25</f>
        <v>0</v>
      </c>
      <c r="H134" s="12">
        <f>'Early Morning Report'!I25</f>
        <v>0</v>
      </c>
      <c r="I134" s="12">
        <f>'Early Morning Report'!J25</f>
        <v>0</v>
      </c>
      <c r="J134" s="71">
        <f t="shared" si="15"/>
        <v>0</v>
      </c>
      <c r="K134" s="12">
        <f>'Early Morning Report'!E25</f>
        <v>0</v>
      </c>
      <c r="L134" s="12">
        <f>'Early Morning Report'!F25</f>
        <v>0</v>
      </c>
      <c r="M134" s="12">
        <f>'Early Morning Report'!G25</f>
        <v>0</v>
      </c>
      <c r="N134" s="71">
        <f t="shared" si="16"/>
        <v>0</v>
      </c>
      <c r="O134" s="144" t="s">
        <v>111</v>
      </c>
      <c r="P134" s="2"/>
      <c r="Q134" s="1"/>
      <c r="R134" s="1"/>
      <c r="S134" s="46"/>
      <c r="T134" s="49"/>
      <c r="U134" s="49"/>
      <c r="V134" s="3"/>
      <c r="W134" s="3"/>
      <c r="X134" s="3"/>
      <c r="Y134" s="2"/>
    </row>
    <row r="135" spans="1:25" ht="38.25" customHeight="1" x14ac:dyDescent="0.2">
      <c r="A135" s="9">
        <v>25</v>
      </c>
      <c r="B135" s="44">
        <f>'Early Morning Report'!A26</f>
        <v>0</v>
      </c>
      <c r="C135" s="45">
        <f>'Early Morning Report'!B26</f>
        <v>0</v>
      </c>
      <c r="D135" s="45">
        <f>'Early Morning Report'!C26</f>
        <v>0</v>
      </c>
      <c r="E135" s="9"/>
      <c r="F135" s="71">
        <f t="shared" si="14"/>
        <v>0</v>
      </c>
      <c r="G135" s="12">
        <f>'Early Morning Report'!H26</f>
        <v>0</v>
      </c>
      <c r="H135" s="12">
        <f>'Early Morning Report'!I26</f>
        <v>0</v>
      </c>
      <c r="I135" s="12">
        <f>'Early Morning Report'!J26</f>
        <v>0</v>
      </c>
      <c r="J135" s="71">
        <f t="shared" si="15"/>
        <v>0</v>
      </c>
      <c r="K135" s="12">
        <f>'Early Morning Report'!E26</f>
        <v>0</v>
      </c>
      <c r="L135" s="12">
        <f>'Early Morning Report'!F26</f>
        <v>0</v>
      </c>
      <c r="M135" s="12">
        <f>'Early Morning Report'!G26</f>
        <v>0</v>
      </c>
      <c r="N135" s="71">
        <f t="shared" si="16"/>
        <v>0</v>
      </c>
      <c r="O135" s="144" t="s">
        <v>37</v>
      </c>
      <c r="P135" s="2"/>
      <c r="Q135" s="1"/>
      <c r="R135" s="1"/>
      <c r="S135" s="46"/>
      <c r="T135" s="49"/>
      <c r="U135" s="49"/>
      <c r="V135" s="3"/>
      <c r="W135" s="3"/>
      <c r="X135" s="3"/>
      <c r="Y135" s="2"/>
    </row>
    <row r="136" spans="1:25" ht="38.25" customHeight="1" x14ac:dyDescent="0.2">
      <c r="A136" s="9">
        <v>26</v>
      </c>
      <c r="B136" s="44">
        <f>'Early Morning Report'!A27</f>
        <v>0</v>
      </c>
      <c r="C136" s="45">
        <f>'Early Morning Report'!B27</f>
        <v>0</v>
      </c>
      <c r="D136" s="45">
        <f>'Early Morning Report'!C27</f>
        <v>0</v>
      </c>
      <c r="E136" s="9"/>
      <c r="F136" s="71">
        <f t="shared" si="14"/>
        <v>0</v>
      </c>
      <c r="G136" s="12">
        <f>'Early Morning Report'!H27</f>
        <v>0</v>
      </c>
      <c r="H136" s="12">
        <f>'Early Morning Report'!I27</f>
        <v>0</v>
      </c>
      <c r="I136" s="12">
        <f>'Early Morning Report'!J27</f>
        <v>0</v>
      </c>
      <c r="J136" s="71">
        <f t="shared" si="15"/>
        <v>0</v>
      </c>
      <c r="K136" s="12">
        <f>'Early Morning Report'!E27</f>
        <v>0</v>
      </c>
      <c r="L136" s="12">
        <f>'Early Morning Report'!F27</f>
        <v>0</v>
      </c>
      <c r="M136" s="12">
        <f>'Early Morning Report'!G27</f>
        <v>0</v>
      </c>
      <c r="N136" s="71">
        <f t="shared" si="16"/>
        <v>0</v>
      </c>
      <c r="O136" s="144" t="s">
        <v>105</v>
      </c>
      <c r="P136" s="2"/>
      <c r="Q136" s="1"/>
      <c r="R136" s="1"/>
      <c r="S136" s="46"/>
      <c r="T136" s="49"/>
      <c r="U136" s="49"/>
      <c r="V136" s="3"/>
      <c r="W136" s="3"/>
      <c r="X136" s="3"/>
      <c r="Y136" s="2"/>
    </row>
    <row r="137" spans="1:25" ht="38.25" customHeight="1" x14ac:dyDescent="0.2">
      <c r="A137" s="9">
        <v>27</v>
      </c>
      <c r="B137" s="44">
        <f>'Early Morning Report'!A28</f>
        <v>0</v>
      </c>
      <c r="C137" s="45">
        <f>'Early Morning Report'!B28</f>
        <v>0</v>
      </c>
      <c r="D137" s="45">
        <f>'Early Morning Report'!C28</f>
        <v>0</v>
      </c>
      <c r="E137" s="9"/>
      <c r="F137" s="71">
        <f t="shared" si="14"/>
        <v>0</v>
      </c>
      <c r="G137" s="12">
        <f>'Early Morning Report'!H28</f>
        <v>0</v>
      </c>
      <c r="H137" s="12">
        <f>'Early Morning Report'!I28</f>
        <v>0</v>
      </c>
      <c r="I137" s="12">
        <f>'Early Morning Report'!J28</f>
        <v>0</v>
      </c>
      <c r="J137" s="71">
        <f t="shared" si="15"/>
        <v>0</v>
      </c>
      <c r="K137" s="12">
        <f>'Early Morning Report'!E28</f>
        <v>0</v>
      </c>
      <c r="L137" s="12">
        <f>'Early Morning Report'!F28</f>
        <v>0</v>
      </c>
      <c r="M137" s="12">
        <f>'Early Morning Report'!G28</f>
        <v>0</v>
      </c>
      <c r="N137" s="71">
        <f t="shared" si="16"/>
        <v>0</v>
      </c>
      <c r="O137" s="144" t="s">
        <v>33</v>
      </c>
      <c r="P137" s="2"/>
      <c r="Q137" s="1"/>
      <c r="R137" s="1"/>
      <c r="S137" s="46"/>
      <c r="T137" s="49"/>
      <c r="U137" s="49"/>
      <c r="V137" s="3"/>
      <c r="W137" s="3"/>
      <c r="X137" s="3"/>
      <c r="Y137" s="2"/>
    </row>
    <row r="138" spans="1:25" ht="38.25" customHeight="1" x14ac:dyDescent="0.2">
      <c r="A138" s="9">
        <v>28</v>
      </c>
      <c r="B138" s="44">
        <f>'Early Morning Report'!A29</f>
        <v>0</v>
      </c>
      <c r="C138" s="45">
        <f>'Early Morning Report'!B29</f>
        <v>0</v>
      </c>
      <c r="D138" s="45">
        <f>'Early Morning Report'!C29</f>
        <v>0</v>
      </c>
      <c r="E138" s="9"/>
      <c r="F138" s="71">
        <f t="shared" si="14"/>
        <v>0</v>
      </c>
      <c r="G138" s="12">
        <f>'Early Morning Report'!H29</f>
        <v>0</v>
      </c>
      <c r="H138" s="12">
        <f>'Early Morning Report'!I29</f>
        <v>0</v>
      </c>
      <c r="I138" s="12">
        <f>'Early Morning Report'!J29</f>
        <v>0</v>
      </c>
      <c r="J138" s="71">
        <f t="shared" si="15"/>
        <v>0</v>
      </c>
      <c r="K138" s="12">
        <f>'Early Morning Report'!E29</f>
        <v>0</v>
      </c>
      <c r="L138" s="12">
        <f>'Early Morning Report'!F29</f>
        <v>0</v>
      </c>
      <c r="M138" s="12">
        <f>'Early Morning Report'!G29</f>
        <v>0</v>
      </c>
      <c r="N138" s="71">
        <f t="shared" si="16"/>
        <v>0</v>
      </c>
      <c r="O138" s="144" t="s">
        <v>106</v>
      </c>
      <c r="P138" s="2"/>
      <c r="Q138" s="1"/>
      <c r="R138" s="1"/>
      <c r="S138" s="46"/>
      <c r="T138" s="49"/>
      <c r="U138" s="49"/>
      <c r="V138" s="3"/>
      <c r="W138" s="3"/>
      <c r="X138" s="3"/>
      <c r="Y138" s="2"/>
    </row>
    <row r="139" spans="1:25" ht="38.25" customHeight="1" x14ac:dyDescent="0.2">
      <c r="A139" s="9">
        <v>29</v>
      </c>
      <c r="B139" s="44">
        <f>'Early Morning Report'!A30</f>
        <v>0</v>
      </c>
      <c r="C139" s="45">
        <f>'Early Morning Report'!B30</f>
        <v>0</v>
      </c>
      <c r="D139" s="45">
        <f>'Early Morning Report'!C30</f>
        <v>0</v>
      </c>
      <c r="E139" s="9"/>
      <c r="F139" s="71">
        <f t="shared" si="14"/>
        <v>0</v>
      </c>
      <c r="G139" s="12">
        <f>'Early Morning Report'!H30</f>
        <v>0</v>
      </c>
      <c r="H139" s="12">
        <f>'Early Morning Report'!I30</f>
        <v>0</v>
      </c>
      <c r="I139" s="12">
        <f>'Early Morning Report'!J30</f>
        <v>0</v>
      </c>
      <c r="J139" s="71">
        <f t="shared" si="15"/>
        <v>0</v>
      </c>
      <c r="K139" s="12">
        <f>'Early Morning Report'!E30</f>
        <v>0</v>
      </c>
      <c r="L139" s="12">
        <f>'Early Morning Report'!F30</f>
        <v>0</v>
      </c>
      <c r="M139" s="12">
        <f>'Early Morning Report'!G30</f>
        <v>0</v>
      </c>
      <c r="N139" s="71">
        <f t="shared" si="16"/>
        <v>0</v>
      </c>
      <c r="O139" s="144" t="s">
        <v>112</v>
      </c>
      <c r="P139" s="2"/>
      <c r="Q139" s="1"/>
      <c r="R139" s="1"/>
      <c r="S139" s="46"/>
      <c r="T139" s="49"/>
      <c r="U139" s="49"/>
      <c r="V139" s="3"/>
      <c r="W139" s="3"/>
      <c r="X139" s="3"/>
      <c r="Y139" s="2"/>
    </row>
    <row r="140" spans="1:25" ht="38.25" customHeight="1" x14ac:dyDescent="0.2">
      <c r="A140" s="9">
        <v>30</v>
      </c>
      <c r="B140" s="44">
        <f>'Early Morning Report'!A31</f>
        <v>0</v>
      </c>
      <c r="C140" s="45">
        <f>'Early Morning Report'!B31</f>
        <v>0</v>
      </c>
      <c r="D140" s="45">
        <f>'Early Morning Report'!C31</f>
        <v>0</v>
      </c>
      <c r="E140" s="9"/>
      <c r="F140" s="71">
        <f t="shared" si="14"/>
        <v>0</v>
      </c>
      <c r="G140" s="12">
        <f>'Early Morning Report'!H31</f>
        <v>0</v>
      </c>
      <c r="H140" s="12">
        <f>'Early Morning Report'!I31</f>
        <v>0</v>
      </c>
      <c r="I140" s="12">
        <f>'Early Morning Report'!J31</f>
        <v>0</v>
      </c>
      <c r="J140" s="71">
        <f t="shared" si="15"/>
        <v>0</v>
      </c>
      <c r="K140" s="12">
        <f>'Early Morning Report'!E31</f>
        <v>0</v>
      </c>
      <c r="L140" s="12">
        <f>'Early Morning Report'!F31</f>
        <v>0</v>
      </c>
      <c r="M140" s="12">
        <f>'Early Morning Report'!G31</f>
        <v>0</v>
      </c>
      <c r="N140" s="71">
        <f t="shared" si="16"/>
        <v>0</v>
      </c>
      <c r="O140" s="144" t="s">
        <v>113</v>
      </c>
      <c r="P140" s="2"/>
      <c r="Q140" s="1"/>
      <c r="R140" s="1"/>
      <c r="S140" s="46"/>
      <c r="T140" s="49"/>
      <c r="U140" s="49"/>
      <c r="V140" s="3"/>
      <c r="W140" s="3"/>
      <c r="X140" s="3"/>
      <c r="Y140" s="2"/>
    </row>
    <row r="141" spans="1:25" ht="38.25" customHeight="1" x14ac:dyDescent="0.2">
      <c r="A141" s="9">
        <v>31</v>
      </c>
      <c r="B141" s="44">
        <f>'Early Morning Report'!A32</f>
        <v>0</v>
      </c>
      <c r="C141" s="45">
        <f>'Early Morning Report'!B32</f>
        <v>0</v>
      </c>
      <c r="D141" s="45">
        <f>'Early Morning Report'!C32</f>
        <v>0</v>
      </c>
      <c r="E141" s="9"/>
      <c r="F141" s="71">
        <f t="shared" si="14"/>
        <v>0</v>
      </c>
      <c r="G141" s="12">
        <f>'Early Morning Report'!H32</f>
        <v>0</v>
      </c>
      <c r="H141" s="12">
        <f>'Early Morning Report'!I32</f>
        <v>0</v>
      </c>
      <c r="I141" s="12">
        <f>'Early Morning Report'!J32</f>
        <v>0</v>
      </c>
      <c r="J141" s="71">
        <f t="shared" si="15"/>
        <v>0</v>
      </c>
      <c r="K141" s="12">
        <f>'Early Morning Report'!E32</f>
        <v>0</v>
      </c>
      <c r="L141" s="12">
        <f>'Early Morning Report'!F32</f>
        <v>0</v>
      </c>
      <c r="M141" s="12">
        <f>'Early Morning Report'!G32</f>
        <v>0</v>
      </c>
      <c r="N141" s="71">
        <f t="shared" si="16"/>
        <v>0</v>
      </c>
      <c r="O141" s="2" t="s">
        <v>108</v>
      </c>
      <c r="P141" s="42">
        <f>SUM(P131:P140)</f>
        <v>0</v>
      </c>
      <c r="Q141" s="1"/>
      <c r="R141" s="1"/>
      <c r="S141" s="46"/>
      <c r="T141" s="49"/>
      <c r="U141" s="49"/>
      <c r="V141" s="3"/>
      <c r="W141" s="3"/>
      <c r="X141" s="3"/>
      <c r="Y141" s="2"/>
    </row>
    <row r="142" spans="1:25" ht="38.25" customHeight="1" x14ac:dyDescent="0.2">
      <c r="A142" s="9">
        <v>32</v>
      </c>
      <c r="B142" s="44">
        <f>'Early Morning Report'!A33</f>
        <v>0</v>
      </c>
      <c r="C142" s="45">
        <f>'Early Morning Report'!B33</f>
        <v>0</v>
      </c>
      <c r="D142" s="45">
        <f>'Early Morning Report'!C33</f>
        <v>0</v>
      </c>
      <c r="E142" s="9"/>
      <c r="F142" s="71">
        <f t="shared" si="14"/>
        <v>0</v>
      </c>
      <c r="G142" s="12">
        <f>'Early Morning Report'!H33</f>
        <v>0</v>
      </c>
      <c r="H142" s="12">
        <f>'Early Morning Report'!I33</f>
        <v>0</v>
      </c>
      <c r="I142" s="12">
        <f>'Early Morning Report'!J33</f>
        <v>0</v>
      </c>
      <c r="J142" s="71">
        <f t="shared" si="15"/>
        <v>0</v>
      </c>
      <c r="K142" s="12">
        <f>'Early Morning Report'!E33</f>
        <v>0</v>
      </c>
      <c r="L142" s="12">
        <f>'Early Morning Report'!F33</f>
        <v>0</v>
      </c>
      <c r="M142" s="12">
        <f>'Early Morning Report'!G33</f>
        <v>0</v>
      </c>
      <c r="N142" s="71">
        <f t="shared" si="16"/>
        <v>0</v>
      </c>
      <c r="O142" s="144" t="s">
        <v>61</v>
      </c>
      <c r="P142" s="2"/>
      <c r="Q142" s="1"/>
      <c r="R142" s="1"/>
      <c r="S142" s="46"/>
      <c r="T142" s="49"/>
      <c r="U142" s="49"/>
      <c r="V142" s="3"/>
      <c r="W142" s="3"/>
      <c r="X142" s="3"/>
      <c r="Y142" s="2"/>
    </row>
    <row r="143" spans="1:25" ht="38.25" customHeight="1" x14ac:dyDescent="0.2">
      <c r="A143" s="9">
        <v>33</v>
      </c>
      <c r="B143" s="44">
        <f>'Early Morning Report'!A34</f>
        <v>0</v>
      </c>
      <c r="C143" s="45">
        <f>'Early Morning Report'!B34</f>
        <v>0</v>
      </c>
      <c r="D143" s="45">
        <f>'Early Morning Report'!C34</f>
        <v>0</v>
      </c>
      <c r="E143" s="9"/>
      <c r="F143" s="71">
        <f t="shared" si="14"/>
        <v>0</v>
      </c>
      <c r="G143" s="12">
        <f>'Early Morning Report'!H34</f>
        <v>0</v>
      </c>
      <c r="H143" s="12">
        <f>'Early Morning Report'!I34</f>
        <v>0</v>
      </c>
      <c r="I143" s="12">
        <f>'Early Morning Report'!J34</f>
        <v>0</v>
      </c>
      <c r="J143" s="71">
        <f t="shared" si="15"/>
        <v>0</v>
      </c>
      <c r="K143" s="12">
        <f>'Early Morning Report'!E34</f>
        <v>0</v>
      </c>
      <c r="L143" s="12">
        <f>'Early Morning Report'!F34</f>
        <v>0</v>
      </c>
      <c r="M143" s="12">
        <f>'Early Morning Report'!G34</f>
        <v>0</v>
      </c>
      <c r="N143" s="71">
        <f t="shared" si="16"/>
        <v>0</v>
      </c>
      <c r="O143" s="2"/>
      <c r="P143" s="2"/>
      <c r="Q143" s="1"/>
      <c r="R143" s="1"/>
      <c r="S143" s="46"/>
      <c r="T143" s="49"/>
      <c r="U143" s="49"/>
      <c r="V143" s="3"/>
      <c r="W143" s="3"/>
      <c r="X143" s="3"/>
      <c r="Y143" s="2"/>
    </row>
    <row r="144" spans="1:25" ht="38.25" customHeight="1" x14ac:dyDescent="0.2">
      <c r="A144" s="9">
        <v>34</v>
      </c>
      <c r="B144" s="44">
        <f>'Early Morning Report'!A35</f>
        <v>0</v>
      </c>
      <c r="C144" s="45">
        <f>'Early Morning Report'!B35</f>
        <v>0</v>
      </c>
      <c r="D144" s="45">
        <f>'Early Morning Report'!C35</f>
        <v>0</v>
      </c>
      <c r="E144" s="9"/>
      <c r="F144" s="71">
        <f t="shared" si="14"/>
        <v>0</v>
      </c>
      <c r="G144" s="12">
        <f>'Early Morning Report'!H35</f>
        <v>0</v>
      </c>
      <c r="H144" s="12">
        <f>'Early Morning Report'!I35</f>
        <v>0</v>
      </c>
      <c r="I144" s="12">
        <f>'Early Morning Report'!J35</f>
        <v>0</v>
      </c>
      <c r="J144" s="71">
        <f t="shared" si="15"/>
        <v>0</v>
      </c>
      <c r="K144" s="12">
        <f>'Early Morning Report'!E35</f>
        <v>0</v>
      </c>
      <c r="L144" s="12">
        <f>'Early Morning Report'!F35</f>
        <v>0</v>
      </c>
      <c r="M144" s="12">
        <f>'Early Morning Report'!G35</f>
        <v>0</v>
      </c>
      <c r="N144" s="71">
        <f t="shared" si="16"/>
        <v>0</v>
      </c>
      <c r="O144" s="414" t="s">
        <v>114</v>
      </c>
      <c r="P144" s="414"/>
      <c r="Q144" s="1"/>
      <c r="R144" s="1"/>
      <c r="S144" s="46"/>
      <c r="T144" s="49"/>
      <c r="U144" s="49"/>
      <c r="V144" s="3"/>
      <c r="W144" s="3"/>
      <c r="X144" s="3"/>
      <c r="Y144" s="2"/>
    </row>
    <row r="145" spans="1:25" ht="38.25" customHeight="1" x14ac:dyDescent="0.2">
      <c r="A145" s="9">
        <v>35</v>
      </c>
      <c r="B145" s="44">
        <f>'Early Morning Report'!A36</f>
        <v>0</v>
      </c>
      <c r="C145" s="45">
        <f>'Early Morning Report'!B36</f>
        <v>0</v>
      </c>
      <c r="D145" s="45">
        <f>'Early Morning Report'!C36</f>
        <v>0</v>
      </c>
      <c r="E145" s="9"/>
      <c r="F145" s="71">
        <f t="shared" si="14"/>
        <v>0</v>
      </c>
      <c r="G145" s="12">
        <f>'Early Morning Report'!H36</f>
        <v>0</v>
      </c>
      <c r="H145" s="12">
        <f>'Early Morning Report'!I36</f>
        <v>0</v>
      </c>
      <c r="I145" s="12">
        <f>'Early Morning Report'!J36</f>
        <v>0</v>
      </c>
      <c r="J145" s="71">
        <f t="shared" si="15"/>
        <v>0</v>
      </c>
      <c r="K145" s="12">
        <f>'Early Morning Report'!E36</f>
        <v>0</v>
      </c>
      <c r="L145" s="12">
        <f>'Early Morning Report'!F36</f>
        <v>0</v>
      </c>
      <c r="M145" s="12">
        <f>'Early Morning Report'!G36</f>
        <v>0</v>
      </c>
      <c r="N145" s="71">
        <f t="shared" si="16"/>
        <v>0</v>
      </c>
      <c r="O145" s="144" t="s">
        <v>115</v>
      </c>
      <c r="P145" s="2"/>
      <c r="Q145" s="1"/>
      <c r="R145" s="1"/>
      <c r="S145" s="46"/>
      <c r="T145" s="49"/>
      <c r="U145" s="49"/>
      <c r="V145" s="3"/>
      <c r="W145" s="3"/>
      <c r="X145" s="3"/>
      <c r="Y145" s="2"/>
    </row>
    <row r="146" spans="1:25" ht="38.25" customHeight="1" x14ac:dyDescent="0.2">
      <c r="A146" s="9">
        <v>36</v>
      </c>
      <c r="B146" s="44">
        <f>'Early Morning Report'!A37</f>
        <v>0</v>
      </c>
      <c r="C146" s="45">
        <f>'Early Morning Report'!B37</f>
        <v>0</v>
      </c>
      <c r="D146" s="45">
        <f>'Early Morning Report'!C37</f>
        <v>0</v>
      </c>
      <c r="E146" s="9"/>
      <c r="F146" s="71">
        <f t="shared" si="14"/>
        <v>0</v>
      </c>
      <c r="G146" s="12">
        <f>'Early Morning Report'!H37</f>
        <v>0</v>
      </c>
      <c r="H146" s="12">
        <f>'Early Morning Report'!I37</f>
        <v>0</v>
      </c>
      <c r="I146" s="12">
        <f>'Early Morning Report'!J37</f>
        <v>0</v>
      </c>
      <c r="J146" s="71">
        <f t="shared" si="15"/>
        <v>0</v>
      </c>
      <c r="K146" s="12">
        <f>'Early Morning Report'!E37</f>
        <v>0</v>
      </c>
      <c r="L146" s="12">
        <f>'Early Morning Report'!F37</f>
        <v>0</v>
      </c>
      <c r="M146" s="12">
        <f>'Early Morning Report'!G37</f>
        <v>0</v>
      </c>
      <c r="N146" s="71">
        <f t="shared" si="16"/>
        <v>0</v>
      </c>
      <c r="O146" s="144" t="s">
        <v>97</v>
      </c>
      <c r="P146" s="2"/>
      <c r="Q146" s="1"/>
      <c r="R146" s="1"/>
      <c r="S146" s="46"/>
      <c r="T146" s="49"/>
      <c r="U146" s="49"/>
      <c r="V146" s="3"/>
      <c r="W146" s="3"/>
      <c r="X146" s="3"/>
      <c r="Y146" s="2"/>
    </row>
    <row r="147" spans="1:25" ht="38.25" customHeight="1" x14ac:dyDescent="0.2">
      <c r="A147" s="9">
        <v>37</v>
      </c>
      <c r="B147" s="44">
        <f>'Early Morning Report'!A38</f>
        <v>0</v>
      </c>
      <c r="C147" s="45">
        <f>'Early Morning Report'!B38</f>
        <v>0</v>
      </c>
      <c r="D147" s="45">
        <f>'Early Morning Report'!C38</f>
        <v>0</v>
      </c>
      <c r="E147" s="9"/>
      <c r="F147" s="71">
        <f t="shared" si="14"/>
        <v>0</v>
      </c>
      <c r="G147" s="12">
        <f>'Early Morning Report'!H38</f>
        <v>0</v>
      </c>
      <c r="H147" s="12">
        <f>'Early Morning Report'!I38</f>
        <v>0</v>
      </c>
      <c r="I147" s="12">
        <f>'Early Morning Report'!J38</f>
        <v>0</v>
      </c>
      <c r="J147" s="71">
        <f t="shared" si="15"/>
        <v>0</v>
      </c>
      <c r="K147" s="12">
        <f>'Early Morning Report'!E38</f>
        <v>0</v>
      </c>
      <c r="L147" s="12">
        <f>'Early Morning Report'!F38</f>
        <v>0</v>
      </c>
      <c r="M147" s="12">
        <f>'Early Morning Report'!G38</f>
        <v>0</v>
      </c>
      <c r="N147" s="71">
        <f t="shared" si="16"/>
        <v>0</v>
      </c>
      <c r="O147" s="144" t="s">
        <v>116</v>
      </c>
      <c r="P147" s="2"/>
      <c r="Q147" s="1"/>
      <c r="R147" s="1"/>
      <c r="S147" s="46"/>
      <c r="T147" s="49"/>
      <c r="U147" s="49"/>
      <c r="V147" s="3"/>
      <c r="W147" s="3"/>
      <c r="X147" s="3"/>
      <c r="Y147" s="2"/>
    </row>
    <row r="148" spans="1:25" ht="38.25" customHeight="1" x14ac:dyDescent="0.2">
      <c r="A148" s="9">
        <v>38</v>
      </c>
      <c r="B148" s="44">
        <f>'Early Morning Report'!A39</f>
        <v>0</v>
      </c>
      <c r="C148" s="45">
        <f>'Early Morning Report'!B39</f>
        <v>0</v>
      </c>
      <c r="D148" s="45">
        <f>'Early Morning Report'!C39</f>
        <v>0</v>
      </c>
      <c r="E148" s="9"/>
      <c r="F148" s="71">
        <f t="shared" si="14"/>
        <v>0</v>
      </c>
      <c r="G148" s="12">
        <f>'Early Morning Report'!H39</f>
        <v>0</v>
      </c>
      <c r="H148" s="12">
        <f>'Early Morning Report'!I39</f>
        <v>0</v>
      </c>
      <c r="I148" s="12">
        <f>'Early Morning Report'!J39</f>
        <v>0</v>
      </c>
      <c r="J148" s="71">
        <f t="shared" si="15"/>
        <v>0</v>
      </c>
      <c r="K148" s="12">
        <f>'Early Morning Report'!E39</f>
        <v>0</v>
      </c>
      <c r="L148" s="12">
        <f>'Early Morning Report'!F39</f>
        <v>0</v>
      </c>
      <c r="M148" s="12">
        <f>'Early Morning Report'!G39</f>
        <v>0</v>
      </c>
      <c r="N148" s="71">
        <f t="shared" si="16"/>
        <v>0</v>
      </c>
      <c r="O148" s="144" t="s">
        <v>117</v>
      </c>
      <c r="P148" s="2"/>
      <c r="Q148" s="1"/>
      <c r="R148" s="1"/>
      <c r="S148" s="46"/>
      <c r="T148" s="49"/>
      <c r="U148" s="49"/>
      <c r="V148" s="3"/>
      <c r="W148" s="3"/>
      <c r="X148" s="3"/>
      <c r="Y148" s="2"/>
    </row>
    <row r="149" spans="1:25" ht="38.25" customHeight="1" x14ac:dyDescent="0.2">
      <c r="A149" s="9">
        <v>39</v>
      </c>
      <c r="B149" s="44">
        <f>'Early Morning Report'!A40</f>
        <v>0</v>
      </c>
      <c r="C149" s="45">
        <f>'Early Morning Report'!B40</f>
        <v>0</v>
      </c>
      <c r="D149" s="45">
        <f>'Early Morning Report'!C40</f>
        <v>0</v>
      </c>
      <c r="E149" s="9"/>
      <c r="F149" s="71">
        <f t="shared" si="14"/>
        <v>0</v>
      </c>
      <c r="G149" s="12">
        <f>'Early Morning Report'!H40</f>
        <v>0</v>
      </c>
      <c r="H149" s="12">
        <f>'Early Morning Report'!I40</f>
        <v>0</v>
      </c>
      <c r="I149" s="12">
        <f>'Early Morning Report'!J40</f>
        <v>0</v>
      </c>
      <c r="J149" s="71">
        <f t="shared" si="15"/>
        <v>0</v>
      </c>
      <c r="K149" s="12">
        <f>'Early Morning Report'!E40</f>
        <v>0</v>
      </c>
      <c r="L149" s="12">
        <f>'Early Morning Report'!F40</f>
        <v>0</v>
      </c>
      <c r="M149" s="12">
        <f>'Early Morning Report'!G40</f>
        <v>0</v>
      </c>
      <c r="N149" s="71">
        <f t="shared" si="16"/>
        <v>0</v>
      </c>
      <c r="O149" s="2" t="s">
        <v>118</v>
      </c>
      <c r="P149" s="42">
        <f>P147-P148-P150</f>
        <v>0</v>
      </c>
      <c r="Q149" s="1"/>
      <c r="R149" s="1"/>
      <c r="S149" s="46"/>
      <c r="T149" s="49"/>
      <c r="U149" s="49"/>
      <c r="V149" s="3"/>
      <c r="W149" s="3"/>
      <c r="X149" s="3"/>
      <c r="Y149" s="2"/>
    </row>
    <row r="150" spans="1:25" ht="38.25" customHeight="1" x14ac:dyDescent="0.2">
      <c r="A150" s="9">
        <v>40</v>
      </c>
      <c r="B150" s="44">
        <f>'Early Morning Report'!A41</f>
        <v>0</v>
      </c>
      <c r="C150" s="45">
        <f>'Early Morning Report'!B41</f>
        <v>0</v>
      </c>
      <c r="D150" s="45">
        <f>'Early Morning Report'!C41</f>
        <v>0</v>
      </c>
      <c r="E150" s="9"/>
      <c r="F150" s="71">
        <f t="shared" si="14"/>
        <v>0</v>
      </c>
      <c r="G150" s="12">
        <f>'Early Morning Report'!H41</f>
        <v>0</v>
      </c>
      <c r="H150" s="12">
        <f>'Early Morning Report'!I41</f>
        <v>0</v>
      </c>
      <c r="I150" s="12">
        <f>'Early Morning Report'!J41</f>
        <v>0</v>
      </c>
      <c r="J150" s="71">
        <f t="shared" si="15"/>
        <v>0</v>
      </c>
      <c r="K150" s="12">
        <f>'Early Morning Report'!E41</f>
        <v>0</v>
      </c>
      <c r="L150" s="12">
        <f>'Early Morning Report'!F41</f>
        <v>0</v>
      </c>
      <c r="M150" s="12">
        <f>'Early Morning Report'!G41</f>
        <v>0</v>
      </c>
      <c r="N150" s="71">
        <f t="shared" si="16"/>
        <v>0</v>
      </c>
      <c r="O150" s="144" t="s">
        <v>119</v>
      </c>
      <c r="P150" s="2"/>
      <c r="Q150" s="1"/>
      <c r="R150" s="1"/>
      <c r="S150" s="46"/>
      <c r="T150" s="49"/>
      <c r="U150" s="49"/>
      <c r="V150" s="3"/>
      <c r="W150" s="3"/>
      <c r="X150" s="3"/>
      <c r="Y150" s="2"/>
    </row>
    <row r="151" spans="1:25" ht="38.25" customHeight="1" x14ac:dyDescent="0.2">
      <c r="A151" s="9">
        <v>41</v>
      </c>
      <c r="B151" s="44">
        <f>'Early Morning Report'!A42</f>
        <v>0</v>
      </c>
      <c r="C151" s="45">
        <f>'Early Morning Report'!B42</f>
        <v>0</v>
      </c>
      <c r="D151" s="45">
        <f>'Early Morning Report'!C42</f>
        <v>0</v>
      </c>
      <c r="E151" s="9"/>
      <c r="F151" s="71">
        <f t="shared" si="14"/>
        <v>0</v>
      </c>
      <c r="G151" s="12">
        <f>'Early Morning Report'!H42</f>
        <v>0</v>
      </c>
      <c r="H151" s="12">
        <f>'Early Morning Report'!I42</f>
        <v>0</v>
      </c>
      <c r="I151" s="12">
        <f>'Early Morning Report'!J42</f>
        <v>0</v>
      </c>
      <c r="J151" s="71">
        <f t="shared" si="15"/>
        <v>0</v>
      </c>
      <c r="K151" s="12">
        <f>'Early Morning Report'!E42</f>
        <v>0</v>
      </c>
      <c r="L151" s="12">
        <f>'Early Morning Report'!F42</f>
        <v>0</v>
      </c>
      <c r="M151" s="12">
        <f>'Early Morning Report'!G42</f>
        <v>0</v>
      </c>
      <c r="N151" s="71">
        <f t="shared" si="16"/>
        <v>0</v>
      </c>
      <c r="O151" s="72" t="s">
        <v>62</v>
      </c>
      <c r="P151" s="77" t="e">
        <f>P149/P146</f>
        <v>#DIV/0!</v>
      </c>
      <c r="Q151" s="1"/>
      <c r="R151" s="1"/>
      <c r="S151" s="46"/>
      <c r="T151" s="49"/>
      <c r="U151" s="49"/>
      <c r="V151" s="3"/>
      <c r="W151" s="3"/>
      <c r="X151" s="3"/>
      <c r="Y151" s="2"/>
    </row>
    <row r="152" spans="1:25" ht="38.25" customHeight="1" x14ac:dyDescent="0.2">
      <c r="A152" s="9">
        <v>42</v>
      </c>
      <c r="B152" s="44">
        <f>'Early Morning Report'!A43</f>
        <v>0</v>
      </c>
      <c r="C152" s="45">
        <f>'Early Morning Report'!B43</f>
        <v>0</v>
      </c>
      <c r="D152" s="45">
        <f>'Early Morning Report'!C43</f>
        <v>0</v>
      </c>
      <c r="E152" s="9"/>
      <c r="F152" s="71">
        <f t="shared" si="14"/>
        <v>0</v>
      </c>
      <c r="G152" s="12">
        <f>'Early Morning Report'!H43</f>
        <v>0</v>
      </c>
      <c r="H152" s="12">
        <f>'Early Morning Report'!I43</f>
        <v>0</v>
      </c>
      <c r="I152" s="12">
        <f>'Early Morning Report'!J43</f>
        <v>0</v>
      </c>
      <c r="J152" s="71">
        <f t="shared" si="15"/>
        <v>0</v>
      </c>
      <c r="K152" s="12">
        <f>'Early Morning Report'!E43</f>
        <v>0</v>
      </c>
      <c r="L152" s="12">
        <f>'Early Morning Report'!F43</f>
        <v>0</v>
      </c>
      <c r="M152" s="12">
        <f>'Early Morning Report'!G43</f>
        <v>0</v>
      </c>
      <c r="N152" s="71">
        <f t="shared" si="16"/>
        <v>0</v>
      </c>
      <c r="O152" s="2"/>
      <c r="P152" s="2"/>
      <c r="Q152" s="1"/>
      <c r="R152" s="1"/>
      <c r="S152" s="46"/>
      <c r="T152" s="49"/>
      <c r="U152" s="49"/>
      <c r="V152" s="3"/>
      <c r="W152" s="3"/>
      <c r="X152" s="3"/>
      <c r="Y152" s="2"/>
    </row>
    <row r="153" spans="1:25" ht="38.25" customHeight="1" x14ac:dyDescent="0.2">
      <c r="A153" s="9">
        <v>43</v>
      </c>
      <c r="B153" s="44">
        <f>'Early Morning Report'!A44</f>
        <v>0</v>
      </c>
      <c r="C153" s="45">
        <f>'Early Morning Report'!B44</f>
        <v>0</v>
      </c>
      <c r="D153" s="45">
        <f>'Early Morning Report'!C44</f>
        <v>0</v>
      </c>
      <c r="E153" s="9"/>
      <c r="F153" s="71">
        <f t="shared" si="14"/>
        <v>0</v>
      </c>
      <c r="G153" s="12">
        <f>'Early Morning Report'!H44</f>
        <v>0</v>
      </c>
      <c r="H153" s="12">
        <f>'Early Morning Report'!I44</f>
        <v>0</v>
      </c>
      <c r="I153" s="12">
        <f>'Early Morning Report'!J44</f>
        <v>0</v>
      </c>
      <c r="J153" s="71">
        <f t="shared" si="15"/>
        <v>0</v>
      </c>
      <c r="K153" s="12">
        <f>'Early Morning Report'!E44</f>
        <v>0</v>
      </c>
      <c r="L153" s="12">
        <f>'Early Morning Report'!F44</f>
        <v>0</v>
      </c>
      <c r="M153" s="12">
        <f>'Early Morning Report'!G44</f>
        <v>0</v>
      </c>
      <c r="N153" s="71">
        <f t="shared" si="16"/>
        <v>0</v>
      </c>
      <c r="O153" s="152"/>
      <c r="P153" s="152"/>
      <c r="Q153" s="1"/>
      <c r="R153" s="1"/>
      <c r="S153" s="46"/>
      <c r="T153" s="49"/>
      <c r="U153" s="49"/>
      <c r="V153" s="3"/>
      <c r="W153" s="3"/>
      <c r="X153" s="3"/>
      <c r="Y153" s="2"/>
    </row>
    <row r="154" spans="1:25" ht="38.25" customHeight="1" x14ac:dyDescent="0.2">
      <c r="A154" s="9">
        <v>44</v>
      </c>
      <c r="B154" s="44">
        <f>'Early Morning Report'!A45</f>
        <v>0</v>
      </c>
      <c r="C154" s="45">
        <f>'Early Morning Report'!B45</f>
        <v>0</v>
      </c>
      <c r="D154" s="45">
        <f>'Early Morning Report'!C45</f>
        <v>0</v>
      </c>
      <c r="E154" s="9"/>
      <c r="F154" s="71">
        <f t="shared" si="14"/>
        <v>0</v>
      </c>
      <c r="G154" s="12">
        <f>'Early Morning Report'!H45</f>
        <v>0</v>
      </c>
      <c r="H154" s="12">
        <f>'Early Morning Report'!I45</f>
        <v>0</v>
      </c>
      <c r="I154" s="12">
        <f>'Early Morning Report'!J45</f>
        <v>0</v>
      </c>
      <c r="J154" s="71">
        <f t="shared" si="15"/>
        <v>0</v>
      </c>
      <c r="K154" s="12">
        <f>'Early Morning Report'!E45</f>
        <v>0</v>
      </c>
      <c r="L154" s="12">
        <f>'Early Morning Report'!F45</f>
        <v>0</v>
      </c>
      <c r="M154" s="12">
        <f>'Early Morning Report'!G45</f>
        <v>0</v>
      </c>
      <c r="N154" s="71">
        <f t="shared" si="16"/>
        <v>0</v>
      </c>
      <c r="O154" s="1"/>
      <c r="P154" s="1"/>
      <c r="Q154" s="1"/>
      <c r="R154" s="1"/>
      <c r="S154" s="46"/>
      <c r="T154" s="49"/>
      <c r="U154" s="49"/>
      <c r="V154" s="3"/>
      <c r="W154" s="3"/>
      <c r="X154" s="3"/>
      <c r="Y154" s="2"/>
    </row>
    <row r="155" spans="1:25" ht="38.25" customHeight="1" x14ac:dyDescent="0.2">
      <c r="A155" s="9">
        <v>45</v>
      </c>
      <c r="B155" s="44">
        <f>'Early Morning Report'!A46</f>
        <v>0</v>
      </c>
      <c r="C155" s="45">
        <f>'Early Morning Report'!B46</f>
        <v>0</v>
      </c>
      <c r="D155" s="45">
        <f>'Early Morning Report'!C46</f>
        <v>0</v>
      </c>
      <c r="E155" s="9"/>
      <c r="F155" s="71">
        <f t="shared" si="14"/>
        <v>0</v>
      </c>
      <c r="G155" s="12">
        <f>'Early Morning Report'!H46</f>
        <v>0</v>
      </c>
      <c r="H155" s="12">
        <f>'Early Morning Report'!I46</f>
        <v>0</v>
      </c>
      <c r="I155" s="12">
        <f>'Early Morning Report'!J46</f>
        <v>0</v>
      </c>
      <c r="J155" s="71">
        <f t="shared" si="15"/>
        <v>0</v>
      </c>
      <c r="K155" s="12">
        <f>'Early Morning Report'!E46</f>
        <v>0</v>
      </c>
      <c r="L155" s="12">
        <f>'Early Morning Report'!F46</f>
        <v>0</v>
      </c>
      <c r="M155" s="12">
        <f>'Early Morning Report'!G46</f>
        <v>0</v>
      </c>
      <c r="N155" s="71">
        <f t="shared" si="16"/>
        <v>0</v>
      </c>
      <c r="O155" s="1"/>
      <c r="P155" s="1"/>
      <c r="Q155" s="1"/>
      <c r="R155" s="1"/>
      <c r="S155" s="46"/>
      <c r="T155" s="49"/>
      <c r="U155" s="49"/>
      <c r="V155" s="3"/>
      <c r="W155" s="3"/>
      <c r="X155" s="3"/>
      <c r="Y155" s="2"/>
    </row>
    <row r="156" spans="1:25" ht="38.25" customHeight="1" x14ac:dyDescent="0.2">
      <c r="A156" s="9">
        <v>46</v>
      </c>
      <c r="B156" s="44">
        <f>'Early Morning Report'!A47</f>
        <v>0</v>
      </c>
      <c r="C156" s="45">
        <f>'Early Morning Report'!B47</f>
        <v>0</v>
      </c>
      <c r="D156" s="45">
        <f>'Early Morning Report'!C47</f>
        <v>0</v>
      </c>
      <c r="E156" s="9"/>
      <c r="F156" s="71">
        <f t="shared" si="14"/>
        <v>0</v>
      </c>
      <c r="G156" s="12">
        <f>'Early Morning Report'!H47</f>
        <v>0</v>
      </c>
      <c r="H156" s="12">
        <f>'Early Morning Report'!I47</f>
        <v>0</v>
      </c>
      <c r="I156" s="12">
        <f>'Early Morning Report'!J47</f>
        <v>0</v>
      </c>
      <c r="J156" s="71">
        <f t="shared" si="15"/>
        <v>0</v>
      </c>
      <c r="K156" s="12">
        <f>'Early Morning Report'!E47</f>
        <v>0</v>
      </c>
      <c r="L156" s="12">
        <f>'Early Morning Report'!F47</f>
        <v>0</v>
      </c>
      <c r="M156" s="12">
        <f>'Early Morning Report'!G47</f>
        <v>0</v>
      </c>
      <c r="N156" s="71">
        <f t="shared" si="16"/>
        <v>0</v>
      </c>
      <c r="O156" s="1"/>
      <c r="P156" s="1"/>
      <c r="Q156" s="1"/>
      <c r="R156" s="1"/>
      <c r="S156" s="46"/>
      <c r="T156" s="49"/>
      <c r="U156" s="49"/>
      <c r="V156" s="3"/>
      <c r="W156" s="3"/>
      <c r="X156" s="3"/>
      <c r="Y156" s="2"/>
    </row>
    <row r="157" spans="1:25" ht="38.25" customHeight="1" x14ac:dyDescent="0.2">
      <c r="A157" s="9">
        <v>47</v>
      </c>
      <c r="B157" s="44">
        <f>'Early Morning Report'!A48</f>
        <v>0</v>
      </c>
      <c r="C157" s="45">
        <f>'Early Morning Report'!B48</f>
        <v>0</v>
      </c>
      <c r="D157" s="45">
        <f>'Early Morning Report'!C48</f>
        <v>0</v>
      </c>
      <c r="E157" s="9"/>
      <c r="F157" s="71">
        <f t="shared" si="14"/>
        <v>0</v>
      </c>
      <c r="G157" s="12">
        <f>'Early Morning Report'!H48</f>
        <v>0</v>
      </c>
      <c r="H157" s="12">
        <f>'Early Morning Report'!I48</f>
        <v>0</v>
      </c>
      <c r="I157" s="12">
        <f>'Early Morning Report'!J48</f>
        <v>0</v>
      </c>
      <c r="J157" s="71">
        <f t="shared" si="15"/>
        <v>0</v>
      </c>
      <c r="K157" s="12">
        <f>'Early Morning Report'!E48</f>
        <v>0</v>
      </c>
      <c r="L157" s="12">
        <f>'Early Morning Report'!F48</f>
        <v>0</v>
      </c>
      <c r="M157" s="12">
        <f>'Early Morning Report'!G48</f>
        <v>0</v>
      </c>
      <c r="N157" s="71">
        <f t="shared" si="16"/>
        <v>0</v>
      </c>
      <c r="O157" s="1"/>
      <c r="P157" s="1"/>
      <c r="Q157" s="1"/>
      <c r="R157" s="1"/>
      <c r="S157" s="46"/>
      <c r="T157" s="49"/>
      <c r="U157" s="49"/>
      <c r="V157" s="3"/>
      <c r="W157" s="3"/>
      <c r="X157" s="3"/>
      <c r="Y157" s="2"/>
    </row>
    <row r="158" spans="1:25" ht="38.25" customHeight="1" x14ac:dyDescent="0.2">
      <c r="A158" s="9">
        <v>48</v>
      </c>
      <c r="B158" s="44">
        <f>'Early Morning Report'!A49</f>
        <v>0</v>
      </c>
      <c r="C158" s="45">
        <f>'Early Morning Report'!B49</f>
        <v>0</v>
      </c>
      <c r="D158" s="45">
        <f>'Early Morning Report'!C49</f>
        <v>0</v>
      </c>
      <c r="E158" s="9"/>
      <c r="F158" s="71">
        <f t="shared" si="14"/>
        <v>0</v>
      </c>
      <c r="G158" s="12">
        <f>'Early Morning Report'!H49</f>
        <v>0</v>
      </c>
      <c r="H158" s="12">
        <f>'Early Morning Report'!I49</f>
        <v>0</v>
      </c>
      <c r="I158" s="12">
        <f>'Early Morning Report'!J49</f>
        <v>0</v>
      </c>
      <c r="J158" s="71">
        <f t="shared" si="15"/>
        <v>0</v>
      </c>
      <c r="K158" s="12">
        <f>'Early Morning Report'!E49</f>
        <v>0</v>
      </c>
      <c r="L158" s="12">
        <f>'Early Morning Report'!F49</f>
        <v>0</v>
      </c>
      <c r="M158" s="12">
        <f>'Early Morning Report'!G49</f>
        <v>0</v>
      </c>
      <c r="N158" s="71">
        <f t="shared" si="16"/>
        <v>0</v>
      </c>
      <c r="O158" s="1"/>
      <c r="P158" s="11"/>
      <c r="Q158" s="1"/>
      <c r="R158" s="1"/>
      <c r="S158" s="46"/>
      <c r="T158" s="49"/>
      <c r="U158" s="49"/>
      <c r="V158" s="3"/>
      <c r="W158" s="3"/>
      <c r="X158" s="3"/>
      <c r="Y158" s="2"/>
    </row>
    <row r="159" spans="1:25" ht="38.25" customHeight="1" x14ac:dyDescent="0.2">
      <c r="A159" s="9">
        <v>49</v>
      </c>
      <c r="B159" s="44">
        <f>'Early Morning Report'!A50</f>
        <v>0</v>
      </c>
      <c r="C159" s="45">
        <f>'Early Morning Report'!B50</f>
        <v>0</v>
      </c>
      <c r="D159" s="45">
        <f>'Early Morning Report'!C50</f>
        <v>0</v>
      </c>
      <c r="E159" s="9"/>
      <c r="F159" s="71">
        <f t="shared" si="14"/>
        <v>0</v>
      </c>
      <c r="G159" s="12">
        <f>'Early Morning Report'!H50</f>
        <v>0</v>
      </c>
      <c r="H159" s="12">
        <f>'Early Morning Report'!I50</f>
        <v>0</v>
      </c>
      <c r="I159" s="12">
        <f>'Early Morning Report'!J50</f>
        <v>0</v>
      </c>
      <c r="J159" s="71">
        <f t="shared" si="15"/>
        <v>0</v>
      </c>
      <c r="K159" s="12">
        <f>'Early Morning Report'!E50</f>
        <v>0</v>
      </c>
      <c r="L159" s="12">
        <f>'Early Morning Report'!F50</f>
        <v>0</v>
      </c>
      <c r="M159" s="12">
        <f>'Early Morning Report'!G50</f>
        <v>0</v>
      </c>
      <c r="N159" s="71">
        <f t="shared" si="16"/>
        <v>0</v>
      </c>
      <c r="O159" s="372" t="s">
        <v>120</v>
      </c>
      <c r="P159" s="373"/>
      <c r="Q159" s="1"/>
      <c r="R159" s="1"/>
      <c r="S159" s="46"/>
      <c r="T159" s="49"/>
      <c r="U159" s="49"/>
      <c r="V159" s="3"/>
      <c r="W159" s="3"/>
      <c r="X159" s="3"/>
      <c r="Y159" s="2"/>
    </row>
    <row r="160" spans="1:25" ht="38.25" customHeight="1" x14ac:dyDescent="0.2">
      <c r="A160" s="9">
        <v>50</v>
      </c>
      <c r="B160" s="44">
        <f>'Early Morning Report'!A51</f>
        <v>0</v>
      </c>
      <c r="C160" s="45">
        <f>'Early Morning Report'!B51</f>
        <v>0</v>
      </c>
      <c r="D160" s="45">
        <f>'Early Morning Report'!C51</f>
        <v>0</v>
      </c>
      <c r="E160" s="9"/>
      <c r="F160" s="71">
        <f t="shared" ref="F160:F212" si="17">J160+N160</f>
        <v>0</v>
      </c>
      <c r="G160" s="12">
        <f>'Early Morning Report'!H51</f>
        <v>0</v>
      </c>
      <c r="H160" s="12">
        <f>'Early Morning Report'!I51</f>
        <v>0</v>
      </c>
      <c r="I160" s="12">
        <f>'Early Morning Report'!J51</f>
        <v>0</v>
      </c>
      <c r="J160" s="71">
        <f t="shared" si="15"/>
        <v>0</v>
      </c>
      <c r="K160" s="12">
        <f>'Early Morning Report'!E51</f>
        <v>0</v>
      </c>
      <c r="L160" s="12">
        <f>'Early Morning Report'!F51</f>
        <v>0</v>
      </c>
      <c r="M160" s="12">
        <f>'Early Morning Report'!G51</f>
        <v>0</v>
      </c>
      <c r="N160" s="71">
        <f t="shared" si="16"/>
        <v>0</v>
      </c>
      <c r="O160" s="2" t="s">
        <v>121</v>
      </c>
      <c r="P160" s="42">
        <f>'Plan vs Advance'!F6</f>
        <v>314</v>
      </c>
      <c r="Q160" s="1"/>
      <c r="R160" s="1"/>
      <c r="S160" s="46"/>
      <c r="T160" s="49"/>
      <c r="U160" s="49"/>
      <c r="V160" s="3"/>
      <c r="W160" s="3"/>
      <c r="X160" s="3"/>
      <c r="Y160" s="2"/>
    </row>
    <row r="161" spans="1:25" ht="38.25" customHeight="1" x14ac:dyDescent="0.2">
      <c r="A161" s="78"/>
      <c r="B161" s="420" t="s">
        <v>122</v>
      </c>
      <c r="C161" s="420"/>
      <c r="D161" s="420"/>
      <c r="E161" s="420"/>
      <c r="F161" s="420"/>
      <c r="G161" s="420"/>
      <c r="H161" s="420"/>
      <c r="I161" s="420"/>
      <c r="J161" s="420"/>
      <c r="K161" s="420"/>
      <c r="L161" s="420"/>
      <c r="M161" s="420"/>
      <c r="N161" s="420"/>
      <c r="O161" s="2" t="s">
        <v>123</v>
      </c>
      <c r="P161" s="42">
        <f>'Plan vs Advance'!F19</f>
        <v>145</v>
      </c>
      <c r="Q161" s="1"/>
      <c r="R161" s="1"/>
      <c r="S161" s="46"/>
      <c r="T161" s="49"/>
      <c r="U161" s="49"/>
      <c r="V161" s="3"/>
      <c r="W161" s="3"/>
      <c r="X161" s="3"/>
      <c r="Y161" s="2"/>
    </row>
    <row r="162" spans="1:25" ht="38.25" customHeight="1" x14ac:dyDescent="0.2">
      <c r="A162" s="9">
        <v>51</v>
      </c>
      <c r="B162" s="44">
        <f>'Early Morning Report'!A54</f>
        <v>0</v>
      </c>
      <c r="C162" s="45">
        <f>'Early Morning Report'!B54</f>
        <v>0</v>
      </c>
      <c r="D162" s="45">
        <f>'Early Morning Report'!C54</f>
        <v>0</v>
      </c>
      <c r="E162" s="9"/>
      <c r="F162" s="71">
        <f t="shared" si="17"/>
        <v>0</v>
      </c>
      <c r="G162" s="12">
        <f>'Early Morning Report'!H54</f>
        <v>0</v>
      </c>
      <c r="H162" s="12">
        <f>'Early Morning Report'!I54</f>
        <v>0</v>
      </c>
      <c r="I162" s="12">
        <f>'Early Morning Report'!J54</f>
        <v>0</v>
      </c>
      <c r="J162" s="71">
        <f t="shared" ref="J162:J212" si="18">G162+H162+I162</f>
        <v>0</v>
      </c>
      <c r="K162" s="12">
        <f>'Early Morning Report'!E54</f>
        <v>0</v>
      </c>
      <c r="L162" s="12">
        <f>'Early Morning Report'!F54</f>
        <v>0</v>
      </c>
      <c r="M162" s="12">
        <f>'Early Morning Report'!G54</f>
        <v>0</v>
      </c>
      <c r="N162" s="71">
        <f t="shared" ref="N162:N212" si="19">K162+L162+M162</f>
        <v>0</v>
      </c>
      <c r="O162" s="2" t="s">
        <v>19</v>
      </c>
      <c r="P162" s="42">
        <f>SUM(P160:P161)</f>
        <v>459</v>
      </c>
      <c r="Q162" s="1"/>
      <c r="R162" s="1"/>
      <c r="S162" s="46"/>
      <c r="T162" s="49"/>
      <c r="U162" s="49"/>
      <c r="V162" s="3"/>
      <c r="W162" s="3"/>
      <c r="X162" s="3"/>
      <c r="Y162" s="2"/>
    </row>
    <row r="163" spans="1:25" ht="38.25" customHeight="1" x14ac:dyDescent="0.2">
      <c r="A163" s="9">
        <v>52</v>
      </c>
      <c r="B163" s="44">
        <f>'Early Morning Report'!A55</f>
        <v>0</v>
      </c>
      <c r="C163" s="45">
        <f>'Early Morning Report'!B55</f>
        <v>0</v>
      </c>
      <c r="D163" s="45">
        <f>'Early Morning Report'!C55</f>
        <v>0</v>
      </c>
      <c r="E163" s="9"/>
      <c r="F163" s="71">
        <f t="shared" si="17"/>
        <v>0</v>
      </c>
      <c r="G163" s="12">
        <f>'Early Morning Report'!H55</f>
        <v>0</v>
      </c>
      <c r="H163" s="12">
        <f>'Early Morning Report'!I55</f>
        <v>0</v>
      </c>
      <c r="I163" s="12">
        <f>'Early Morning Report'!J55</f>
        <v>0</v>
      </c>
      <c r="J163" s="71">
        <f t="shared" si="18"/>
        <v>0</v>
      </c>
      <c r="K163" s="12">
        <f>'Early Morning Report'!E55</f>
        <v>0</v>
      </c>
      <c r="L163" s="12">
        <f>'Early Morning Report'!F55</f>
        <v>0</v>
      </c>
      <c r="M163" s="12">
        <f>'Early Morning Report'!G55</f>
        <v>0</v>
      </c>
      <c r="N163" s="71">
        <f t="shared" si="19"/>
        <v>0</v>
      </c>
      <c r="O163" s="372" t="s">
        <v>124</v>
      </c>
      <c r="P163" s="373"/>
      <c r="Q163" s="1"/>
      <c r="R163" s="1"/>
      <c r="S163" s="46"/>
      <c r="T163" s="49"/>
      <c r="U163" s="49"/>
      <c r="V163" s="3"/>
      <c r="W163" s="3"/>
      <c r="X163" s="3"/>
      <c r="Y163" s="2"/>
    </row>
    <row r="164" spans="1:25" ht="38.25" customHeight="1" x14ac:dyDescent="0.2">
      <c r="A164" s="9">
        <v>53</v>
      </c>
      <c r="B164" s="44">
        <f>'Early Morning Report'!A56</f>
        <v>0</v>
      </c>
      <c r="C164" s="45">
        <f>'Early Morning Report'!B56</f>
        <v>0</v>
      </c>
      <c r="D164" s="45">
        <f>'Early Morning Report'!C56</f>
        <v>0</v>
      </c>
      <c r="E164" s="9"/>
      <c r="F164" s="71">
        <f t="shared" si="17"/>
        <v>0</v>
      </c>
      <c r="G164" s="12">
        <f>'Early Morning Report'!H56</f>
        <v>0</v>
      </c>
      <c r="H164" s="12">
        <f>'Early Morning Report'!I56</f>
        <v>0</v>
      </c>
      <c r="I164" s="12">
        <f>'Early Morning Report'!J56</f>
        <v>0</v>
      </c>
      <c r="J164" s="71">
        <f t="shared" si="18"/>
        <v>0</v>
      </c>
      <c r="K164" s="12">
        <f>'Early Morning Report'!E56</f>
        <v>0</v>
      </c>
      <c r="L164" s="12">
        <f>'Early Morning Report'!F56</f>
        <v>0</v>
      </c>
      <c r="M164" s="12">
        <f>'Early Morning Report'!G56</f>
        <v>0</v>
      </c>
      <c r="N164" s="71">
        <f t="shared" si="19"/>
        <v>0</v>
      </c>
      <c r="O164" s="2" t="s">
        <v>121</v>
      </c>
      <c r="P164" s="42">
        <f>'Adv Report'!H82</f>
        <v>240</v>
      </c>
      <c r="Q164" s="1"/>
      <c r="R164" s="1"/>
      <c r="S164" s="46"/>
      <c r="T164" s="49"/>
      <c r="U164" s="49"/>
      <c r="V164" s="3"/>
      <c r="W164" s="3"/>
      <c r="X164" s="3"/>
      <c r="Y164" s="2"/>
    </row>
    <row r="165" spans="1:25" ht="38.25" customHeight="1" x14ac:dyDescent="0.2">
      <c r="A165" s="9">
        <v>54</v>
      </c>
      <c r="B165" s="44">
        <f>'Early Morning Report'!A57</f>
        <v>0</v>
      </c>
      <c r="C165" s="45">
        <f>'Early Morning Report'!B57</f>
        <v>0</v>
      </c>
      <c r="D165" s="45">
        <f>'Early Morning Report'!C57</f>
        <v>0</v>
      </c>
      <c r="E165" s="9"/>
      <c r="F165" s="71">
        <f t="shared" si="17"/>
        <v>0</v>
      </c>
      <c r="G165" s="12">
        <f>'Early Morning Report'!H57</f>
        <v>0</v>
      </c>
      <c r="H165" s="12">
        <f>'Early Morning Report'!I57</f>
        <v>0</v>
      </c>
      <c r="I165" s="12">
        <f>'Early Morning Report'!J57</f>
        <v>0</v>
      </c>
      <c r="J165" s="71">
        <f t="shared" si="18"/>
        <v>0</v>
      </c>
      <c r="K165" s="12">
        <f>'Early Morning Report'!E57</f>
        <v>0</v>
      </c>
      <c r="L165" s="12">
        <f>'Early Morning Report'!F57</f>
        <v>0</v>
      </c>
      <c r="M165" s="12">
        <f>'Early Morning Report'!G57</f>
        <v>0</v>
      </c>
      <c r="N165" s="71">
        <f t="shared" si="19"/>
        <v>0</v>
      </c>
      <c r="O165" s="2" t="s">
        <v>123</v>
      </c>
      <c r="P165" s="42">
        <f>'Adv Report'!V82</f>
        <v>63</v>
      </c>
      <c r="Q165" s="1"/>
      <c r="R165" s="1"/>
      <c r="S165" s="46"/>
      <c r="T165" s="49"/>
      <c r="U165" s="49"/>
      <c r="V165" s="3"/>
      <c r="W165" s="3"/>
      <c r="X165" s="3"/>
      <c r="Y165" s="2"/>
    </row>
    <row r="166" spans="1:25" ht="38.25" customHeight="1" x14ac:dyDescent="0.2">
      <c r="A166" s="9">
        <v>55</v>
      </c>
      <c r="B166" s="44">
        <f>'Early Morning Report'!A58</f>
        <v>0</v>
      </c>
      <c r="C166" s="45">
        <f>'Early Morning Report'!B58</f>
        <v>0</v>
      </c>
      <c r="D166" s="45">
        <f>'Early Morning Report'!C58</f>
        <v>0</v>
      </c>
      <c r="E166" s="9"/>
      <c r="F166" s="71">
        <f t="shared" si="17"/>
        <v>0</v>
      </c>
      <c r="G166" s="12">
        <f>'Early Morning Report'!H58</f>
        <v>0</v>
      </c>
      <c r="H166" s="12">
        <f>'Early Morning Report'!I58</f>
        <v>0</v>
      </c>
      <c r="I166" s="12">
        <f>'Early Morning Report'!J58</f>
        <v>0</v>
      </c>
      <c r="J166" s="71">
        <f t="shared" si="18"/>
        <v>0</v>
      </c>
      <c r="K166" s="12">
        <f>'Early Morning Report'!E58</f>
        <v>0</v>
      </c>
      <c r="L166" s="12">
        <f>'Early Morning Report'!F58</f>
        <v>0</v>
      </c>
      <c r="M166" s="12">
        <f>'Early Morning Report'!G58</f>
        <v>0</v>
      </c>
      <c r="N166" s="71">
        <f t="shared" si="19"/>
        <v>0</v>
      </c>
      <c r="O166" s="2" t="s">
        <v>19</v>
      </c>
      <c r="P166" s="42">
        <f>SUM(P164:P165)</f>
        <v>303</v>
      </c>
      <c r="Q166" s="1"/>
      <c r="R166" s="1"/>
      <c r="S166" s="46"/>
      <c r="T166" s="49"/>
      <c r="U166" s="49"/>
      <c r="V166" s="3"/>
      <c r="W166" s="3"/>
      <c r="X166" s="3"/>
      <c r="Y166" s="2"/>
    </row>
    <row r="167" spans="1:25" ht="38.25" customHeight="1" x14ac:dyDescent="0.2">
      <c r="A167" s="9">
        <v>56</v>
      </c>
      <c r="B167" s="44">
        <f>'Early Morning Report'!A59</f>
        <v>0</v>
      </c>
      <c r="C167" s="45">
        <f>'Early Morning Report'!B59</f>
        <v>0</v>
      </c>
      <c r="D167" s="45">
        <f>'Early Morning Report'!C59</f>
        <v>0</v>
      </c>
      <c r="E167" s="9"/>
      <c r="F167" s="71">
        <f t="shared" si="17"/>
        <v>0</v>
      </c>
      <c r="G167" s="12">
        <f>'Early Morning Report'!H59</f>
        <v>0</v>
      </c>
      <c r="H167" s="12">
        <f>'Early Morning Report'!I59</f>
        <v>0</v>
      </c>
      <c r="I167" s="12">
        <f>'Early Morning Report'!J59</f>
        <v>0</v>
      </c>
      <c r="J167" s="71">
        <f t="shared" si="18"/>
        <v>0</v>
      </c>
      <c r="K167" s="12">
        <f>'Early Morning Report'!E59</f>
        <v>0</v>
      </c>
      <c r="L167" s="12">
        <f>'Early Morning Report'!F59</f>
        <v>0</v>
      </c>
      <c r="M167" s="12">
        <f>'Early Morning Report'!G59</f>
        <v>0</v>
      </c>
      <c r="N167" s="71">
        <f t="shared" si="19"/>
        <v>0</v>
      </c>
      <c r="O167" s="372" t="s">
        <v>125</v>
      </c>
      <c r="P167" s="373"/>
      <c r="Q167" s="1"/>
      <c r="R167" s="1"/>
      <c r="S167" s="46"/>
      <c r="T167" s="49"/>
      <c r="U167" s="49"/>
      <c r="V167" s="3"/>
      <c r="W167" s="3"/>
      <c r="X167" s="3"/>
      <c r="Y167" s="2"/>
    </row>
    <row r="168" spans="1:25" ht="38.25" customHeight="1" x14ac:dyDescent="0.2">
      <c r="A168" s="9">
        <v>57</v>
      </c>
      <c r="B168" s="44">
        <f>'Early Morning Report'!A60</f>
        <v>0</v>
      </c>
      <c r="C168" s="45">
        <f>'Early Morning Report'!B60</f>
        <v>0</v>
      </c>
      <c r="D168" s="45">
        <f>'Early Morning Report'!C60</f>
        <v>0</v>
      </c>
      <c r="E168" s="9"/>
      <c r="F168" s="71">
        <f t="shared" si="17"/>
        <v>0</v>
      </c>
      <c r="G168" s="12">
        <f>'Early Morning Report'!H60</f>
        <v>0</v>
      </c>
      <c r="H168" s="12">
        <f>'Early Morning Report'!I60</f>
        <v>0</v>
      </c>
      <c r="I168" s="12">
        <f>'Early Morning Report'!J60</f>
        <v>0</v>
      </c>
      <c r="J168" s="71">
        <f t="shared" si="18"/>
        <v>0</v>
      </c>
      <c r="K168" s="12">
        <f>'Early Morning Report'!E60</f>
        <v>0</v>
      </c>
      <c r="L168" s="12">
        <f>'Early Morning Report'!F60</f>
        <v>0</v>
      </c>
      <c r="M168" s="12">
        <f>'Early Morning Report'!G60</f>
        <v>0</v>
      </c>
      <c r="N168" s="71">
        <f t="shared" si="19"/>
        <v>0</v>
      </c>
      <c r="O168" s="2" t="s">
        <v>121</v>
      </c>
      <c r="P168" s="42">
        <f>P160-P164</f>
        <v>74</v>
      </c>
      <c r="Q168" s="1"/>
      <c r="R168" s="1"/>
      <c r="S168" s="46"/>
      <c r="T168" s="49"/>
      <c r="U168" s="49"/>
      <c r="V168" s="3"/>
      <c r="W168" s="3"/>
      <c r="X168" s="3"/>
      <c r="Y168" s="2"/>
    </row>
    <row r="169" spans="1:25" ht="38.25" customHeight="1" x14ac:dyDescent="0.2">
      <c r="A169" s="9">
        <v>58</v>
      </c>
      <c r="B169" s="44">
        <f>'Early Morning Report'!A61</f>
        <v>0</v>
      </c>
      <c r="C169" s="45">
        <f>'Early Morning Report'!B61</f>
        <v>0</v>
      </c>
      <c r="D169" s="45">
        <f>'Early Morning Report'!C61</f>
        <v>0</v>
      </c>
      <c r="E169" s="9"/>
      <c r="F169" s="71">
        <f t="shared" si="17"/>
        <v>0</v>
      </c>
      <c r="G169" s="12">
        <f>'Early Morning Report'!H61</f>
        <v>0</v>
      </c>
      <c r="H169" s="12">
        <f>'Early Morning Report'!I61</f>
        <v>0</v>
      </c>
      <c r="I169" s="12">
        <f>'Early Morning Report'!J61</f>
        <v>0</v>
      </c>
      <c r="J169" s="71">
        <f t="shared" si="18"/>
        <v>0</v>
      </c>
      <c r="K169" s="12">
        <f>'Early Morning Report'!E61</f>
        <v>0</v>
      </c>
      <c r="L169" s="12">
        <f>'Early Morning Report'!F61</f>
        <v>0</v>
      </c>
      <c r="M169" s="12">
        <f>'Early Morning Report'!G61</f>
        <v>0</v>
      </c>
      <c r="N169" s="71">
        <f t="shared" si="19"/>
        <v>0</v>
      </c>
      <c r="O169" s="2" t="s">
        <v>123</v>
      </c>
      <c r="P169" s="42">
        <f>P161-P165</f>
        <v>82</v>
      </c>
      <c r="Q169" s="1"/>
      <c r="R169" s="1"/>
      <c r="S169" s="46"/>
      <c r="T169" s="49"/>
      <c r="U169" s="49"/>
      <c r="V169" s="3"/>
      <c r="W169" s="3"/>
      <c r="X169" s="3"/>
      <c r="Y169" s="2"/>
    </row>
    <row r="170" spans="1:25" ht="38.25" customHeight="1" x14ac:dyDescent="0.2">
      <c r="A170" s="9">
        <v>59</v>
      </c>
      <c r="B170" s="44">
        <f>'Early Morning Report'!A62</f>
        <v>0</v>
      </c>
      <c r="C170" s="45">
        <f>'Early Morning Report'!B62</f>
        <v>0</v>
      </c>
      <c r="D170" s="45">
        <f>'Early Morning Report'!C62</f>
        <v>0</v>
      </c>
      <c r="E170" s="9"/>
      <c r="F170" s="71">
        <f t="shared" si="17"/>
        <v>0</v>
      </c>
      <c r="G170" s="12">
        <f>'Early Morning Report'!H62</f>
        <v>0</v>
      </c>
      <c r="H170" s="12">
        <f>'Early Morning Report'!I62</f>
        <v>0</v>
      </c>
      <c r="I170" s="12">
        <f>'Early Morning Report'!J62</f>
        <v>0</v>
      </c>
      <c r="J170" s="71">
        <f t="shared" si="18"/>
        <v>0</v>
      </c>
      <c r="K170" s="12">
        <f>'Early Morning Report'!E62</f>
        <v>0</v>
      </c>
      <c r="L170" s="12">
        <f>'Early Morning Report'!F62</f>
        <v>0</v>
      </c>
      <c r="M170" s="12">
        <f>'Early Morning Report'!G62</f>
        <v>0</v>
      </c>
      <c r="N170" s="71">
        <f t="shared" si="19"/>
        <v>0</v>
      </c>
      <c r="O170" s="2" t="s">
        <v>19</v>
      </c>
      <c r="P170" s="42">
        <f>SUM(P168:P169)</f>
        <v>156</v>
      </c>
      <c r="Q170" s="1"/>
      <c r="R170" s="1"/>
      <c r="S170" s="46"/>
      <c r="T170" s="49"/>
      <c r="U170" s="49"/>
      <c r="V170" s="3"/>
      <c r="W170" s="3"/>
      <c r="X170" s="3"/>
      <c r="Y170" s="2"/>
    </row>
    <row r="171" spans="1:25" ht="38.25" customHeight="1" x14ac:dyDescent="0.2">
      <c r="A171" s="9">
        <v>60</v>
      </c>
      <c r="B171" s="44">
        <f>'Early Morning Report'!A63</f>
        <v>0</v>
      </c>
      <c r="C171" s="45">
        <f>'Early Morning Report'!B63</f>
        <v>0</v>
      </c>
      <c r="D171" s="45">
        <f>'Early Morning Report'!C63</f>
        <v>0</v>
      </c>
      <c r="E171" s="9"/>
      <c r="F171" s="71">
        <f t="shared" si="17"/>
        <v>0</v>
      </c>
      <c r="G171" s="12">
        <f>'Early Morning Report'!H63</f>
        <v>0</v>
      </c>
      <c r="H171" s="12">
        <f>'Early Morning Report'!I63</f>
        <v>0</v>
      </c>
      <c r="I171" s="12">
        <f>'Early Morning Report'!J63</f>
        <v>0</v>
      </c>
      <c r="J171" s="71">
        <f t="shared" si="18"/>
        <v>0</v>
      </c>
      <c r="K171" s="12">
        <f>'Early Morning Report'!E63</f>
        <v>0</v>
      </c>
      <c r="L171" s="12">
        <f>'Early Morning Report'!F63</f>
        <v>0</v>
      </c>
      <c r="M171" s="12">
        <f>'Early Morning Report'!G63</f>
        <v>0</v>
      </c>
      <c r="N171" s="71">
        <f t="shared" si="19"/>
        <v>0</v>
      </c>
      <c r="O171" s="372" t="s">
        <v>126</v>
      </c>
      <c r="P171" s="373"/>
      <c r="Q171" s="1"/>
      <c r="R171" s="1"/>
      <c r="S171" s="46"/>
      <c r="T171" s="49"/>
      <c r="U171" s="49"/>
      <c r="V171" s="3"/>
      <c r="W171" s="3"/>
      <c r="X171" s="3"/>
      <c r="Y171" s="2"/>
    </row>
    <row r="172" spans="1:25" ht="38.25" customHeight="1" x14ac:dyDescent="0.2">
      <c r="A172" s="9">
        <v>61</v>
      </c>
      <c r="B172" s="44">
        <f>'Early Morning Report'!A64</f>
        <v>0</v>
      </c>
      <c r="C172" s="45">
        <f>'Early Morning Report'!B64</f>
        <v>0</v>
      </c>
      <c r="D172" s="45">
        <f>'Early Morning Report'!C64</f>
        <v>0</v>
      </c>
      <c r="E172" s="9"/>
      <c r="F172" s="71">
        <f t="shared" si="17"/>
        <v>0</v>
      </c>
      <c r="G172" s="12">
        <f>'Early Morning Report'!H64</f>
        <v>0</v>
      </c>
      <c r="H172" s="12">
        <f>'Early Morning Report'!I64</f>
        <v>0</v>
      </c>
      <c r="I172" s="12">
        <f>'Early Morning Report'!J64</f>
        <v>0</v>
      </c>
      <c r="J172" s="71">
        <f t="shared" si="18"/>
        <v>0</v>
      </c>
      <c r="K172" s="12">
        <f>'Early Morning Report'!E64</f>
        <v>0</v>
      </c>
      <c r="L172" s="12">
        <f>'Early Morning Report'!F64</f>
        <v>0</v>
      </c>
      <c r="M172" s="12">
        <f>'Early Morning Report'!G64</f>
        <v>0</v>
      </c>
      <c r="N172" s="71">
        <f t="shared" si="19"/>
        <v>0</v>
      </c>
      <c r="O172" s="2" t="s">
        <v>127</v>
      </c>
      <c r="P172" s="42">
        <f>'Early Morning Report'!L52</f>
        <v>0</v>
      </c>
      <c r="Q172" s="1"/>
      <c r="R172" s="1"/>
      <c r="S172" s="46"/>
      <c r="T172" s="49"/>
      <c r="U172" s="49"/>
      <c r="V172" s="3"/>
      <c r="W172" s="3"/>
      <c r="X172" s="3"/>
      <c r="Y172" s="2"/>
    </row>
    <row r="173" spans="1:25" ht="38.25" customHeight="1" x14ac:dyDescent="0.2">
      <c r="A173" s="9">
        <v>62</v>
      </c>
      <c r="B173" s="44">
        <f>'Early Morning Report'!A65</f>
        <v>0</v>
      </c>
      <c r="C173" s="45">
        <f>'Early Morning Report'!B65</f>
        <v>0</v>
      </c>
      <c r="D173" s="45">
        <f>'Early Morning Report'!C65</f>
        <v>0</v>
      </c>
      <c r="E173" s="9"/>
      <c r="F173" s="71">
        <f t="shared" si="17"/>
        <v>0</v>
      </c>
      <c r="G173" s="12">
        <f>'Early Morning Report'!H65</f>
        <v>0</v>
      </c>
      <c r="H173" s="12">
        <f>'Early Morning Report'!I65</f>
        <v>0</v>
      </c>
      <c r="I173" s="12">
        <f>'Early Morning Report'!J65</f>
        <v>0</v>
      </c>
      <c r="J173" s="71">
        <f t="shared" si="18"/>
        <v>0</v>
      </c>
      <c r="K173" s="12">
        <f>'Early Morning Report'!E65</f>
        <v>0</v>
      </c>
      <c r="L173" s="12">
        <f>'Early Morning Report'!F65</f>
        <v>0</v>
      </c>
      <c r="M173" s="12">
        <f>'Early Morning Report'!G65</f>
        <v>0</v>
      </c>
      <c r="N173" s="71">
        <f t="shared" si="19"/>
        <v>0</v>
      </c>
      <c r="O173" s="2" t="s">
        <v>128</v>
      </c>
      <c r="P173" s="42">
        <f>'Early Morning Report'!L105</f>
        <v>0</v>
      </c>
      <c r="Q173" s="1"/>
      <c r="R173" s="1"/>
      <c r="S173" s="46"/>
      <c r="T173" s="49"/>
      <c r="U173" s="49"/>
      <c r="V173" s="3"/>
      <c r="W173" s="3"/>
      <c r="X173" s="3"/>
      <c r="Y173" s="2"/>
    </row>
    <row r="174" spans="1:25" ht="38.25" customHeight="1" x14ac:dyDescent="0.2">
      <c r="A174" s="9">
        <v>63</v>
      </c>
      <c r="B174" s="44">
        <f>'Early Morning Report'!A66</f>
        <v>0</v>
      </c>
      <c r="C174" s="45">
        <f>'Early Morning Report'!B66</f>
        <v>0</v>
      </c>
      <c r="D174" s="45">
        <f>'Early Morning Report'!C66</f>
        <v>0</v>
      </c>
      <c r="E174" s="9"/>
      <c r="F174" s="71">
        <f t="shared" si="17"/>
        <v>0</v>
      </c>
      <c r="G174" s="12">
        <f>'Early Morning Report'!H66</f>
        <v>0</v>
      </c>
      <c r="H174" s="12">
        <f>'Early Morning Report'!I66</f>
        <v>0</v>
      </c>
      <c r="I174" s="12">
        <f>'Early Morning Report'!J66</f>
        <v>0</v>
      </c>
      <c r="J174" s="71">
        <f t="shared" si="18"/>
        <v>0</v>
      </c>
      <c r="K174" s="12">
        <f>'Early Morning Report'!E66</f>
        <v>0</v>
      </c>
      <c r="L174" s="12">
        <f>'Early Morning Report'!F66</f>
        <v>0</v>
      </c>
      <c r="M174" s="12">
        <f>'Early Morning Report'!G66</f>
        <v>0</v>
      </c>
      <c r="N174" s="71">
        <f t="shared" si="19"/>
        <v>0</v>
      </c>
      <c r="O174" s="2" t="s">
        <v>19</v>
      </c>
      <c r="P174" s="42">
        <f>SUM(P172:P173)</f>
        <v>0</v>
      </c>
      <c r="Q174" s="1"/>
      <c r="R174" s="1"/>
      <c r="S174" s="46"/>
      <c r="T174" s="49"/>
      <c r="U174" s="49"/>
      <c r="V174" s="3"/>
      <c r="W174" s="3"/>
      <c r="X174" s="3"/>
      <c r="Y174" s="2"/>
    </row>
    <row r="175" spans="1:25" ht="38.25" customHeight="1" x14ac:dyDescent="0.2">
      <c r="A175" s="9">
        <v>64</v>
      </c>
      <c r="B175" s="44">
        <f>'Early Morning Report'!A67</f>
        <v>0</v>
      </c>
      <c r="C175" s="45">
        <f>'Early Morning Report'!B67</f>
        <v>0</v>
      </c>
      <c r="D175" s="45">
        <f>'Early Morning Report'!C67</f>
        <v>0</v>
      </c>
      <c r="E175" s="9"/>
      <c r="F175" s="71">
        <f t="shared" si="17"/>
        <v>0</v>
      </c>
      <c r="G175" s="12">
        <f>'Early Morning Report'!H67</f>
        <v>0</v>
      </c>
      <c r="H175" s="12">
        <f>'Early Morning Report'!I67</f>
        <v>0</v>
      </c>
      <c r="I175" s="12">
        <f>'Early Morning Report'!J67</f>
        <v>0</v>
      </c>
      <c r="J175" s="71">
        <f t="shared" si="18"/>
        <v>0</v>
      </c>
      <c r="K175" s="12">
        <f>'Early Morning Report'!E67</f>
        <v>0</v>
      </c>
      <c r="L175" s="12">
        <f>'Early Morning Report'!F67</f>
        <v>0</v>
      </c>
      <c r="M175" s="12">
        <f>'Early Morning Report'!G67</f>
        <v>0</v>
      </c>
      <c r="N175" s="71">
        <f t="shared" si="19"/>
        <v>0</v>
      </c>
      <c r="O175" s="372" t="s">
        <v>129</v>
      </c>
      <c r="P175" s="373"/>
      <c r="Q175" s="1"/>
      <c r="R175" s="1"/>
      <c r="S175" s="46"/>
      <c r="T175" s="49"/>
      <c r="U175" s="49"/>
      <c r="V175" s="3"/>
      <c r="W175" s="3"/>
      <c r="X175" s="3"/>
      <c r="Y175" s="2"/>
    </row>
    <row r="176" spans="1:25" ht="38.25" customHeight="1" x14ac:dyDescent="0.2">
      <c r="A176" s="9">
        <v>65</v>
      </c>
      <c r="B176" s="44">
        <f>'Early Morning Report'!A68</f>
        <v>0</v>
      </c>
      <c r="C176" s="45">
        <f>'Early Morning Report'!B68</f>
        <v>0</v>
      </c>
      <c r="D176" s="45">
        <f>'Early Morning Report'!C68</f>
        <v>0</v>
      </c>
      <c r="E176" s="9"/>
      <c r="F176" s="71">
        <f t="shared" si="17"/>
        <v>0</v>
      </c>
      <c r="G176" s="12">
        <f>'Early Morning Report'!H68</f>
        <v>0</v>
      </c>
      <c r="H176" s="12">
        <f>'Early Morning Report'!I68</f>
        <v>0</v>
      </c>
      <c r="I176" s="12">
        <f>'Early Morning Report'!J68</f>
        <v>0</v>
      </c>
      <c r="J176" s="71">
        <f t="shared" si="18"/>
        <v>0</v>
      </c>
      <c r="K176" s="12">
        <f>'Early Morning Report'!E68</f>
        <v>0</v>
      </c>
      <c r="L176" s="12">
        <f>'Early Morning Report'!F68</f>
        <v>0</v>
      </c>
      <c r="M176" s="12">
        <f>'Early Morning Report'!G68</f>
        <v>0</v>
      </c>
      <c r="N176" s="71">
        <f t="shared" si="19"/>
        <v>0</v>
      </c>
      <c r="O176" s="2" t="s">
        <v>64</v>
      </c>
      <c r="P176" s="42">
        <f>P177+P178</f>
        <v>0</v>
      </c>
      <c r="Q176" s="1"/>
      <c r="R176" s="1"/>
      <c r="S176" s="46"/>
      <c r="T176" s="49"/>
      <c r="U176" s="49"/>
      <c r="V176" s="3"/>
      <c r="W176" s="3"/>
      <c r="X176" s="3"/>
      <c r="Y176" s="2"/>
    </row>
    <row r="177" spans="1:25" ht="38.25" customHeight="1" x14ac:dyDescent="0.2">
      <c r="A177" s="9">
        <v>66</v>
      </c>
      <c r="B177" s="44">
        <f>'Early Morning Report'!A69</f>
        <v>0</v>
      </c>
      <c r="C177" s="45">
        <f>'Early Morning Report'!B69</f>
        <v>0</v>
      </c>
      <c r="D177" s="45">
        <f>'Early Morning Report'!C69</f>
        <v>0</v>
      </c>
      <c r="E177" s="9"/>
      <c r="F177" s="71">
        <f t="shared" si="17"/>
        <v>0</v>
      </c>
      <c r="G177" s="12">
        <f>'Early Morning Report'!H69</f>
        <v>0</v>
      </c>
      <c r="H177" s="12">
        <f>'Early Morning Report'!I69</f>
        <v>0</v>
      </c>
      <c r="I177" s="12">
        <f>'Early Morning Report'!J69</f>
        <v>0</v>
      </c>
      <c r="J177" s="71">
        <f t="shared" si="18"/>
        <v>0</v>
      </c>
      <c r="K177" s="12">
        <f>'Early Morning Report'!E69</f>
        <v>0</v>
      </c>
      <c r="L177" s="12">
        <f>'Early Morning Report'!F69</f>
        <v>0</v>
      </c>
      <c r="M177" s="12">
        <f>'Early Morning Report'!G69</f>
        <v>0</v>
      </c>
      <c r="N177" s="71">
        <f t="shared" si="19"/>
        <v>0</v>
      </c>
      <c r="O177" s="2" t="s">
        <v>9</v>
      </c>
      <c r="P177" s="42">
        <f>'Plan vs Advance'!E32</f>
        <v>0</v>
      </c>
      <c r="Q177" s="1"/>
      <c r="R177" s="1"/>
      <c r="S177" s="46"/>
      <c r="T177" s="49"/>
      <c r="U177" s="49"/>
      <c r="V177" s="3"/>
      <c r="W177" s="3"/>
      <c r="X177" s="3"/>
      <c r="Y177" s="2"/>
    </row>
    <row r="178" spans="1:25" ht="38.25" customHeight="1" x14ac:dyDescent="0.2">
      <c r="A178" s="9">
        <v>67</v>
      </c>
      <c r="B178" s="44">
        <f>'Early Morning Report'!A70</f>
        <v>0</v>
      </c>
      <c r="C178" s="45">
        <f>'Early Morning Report'!B70</f>
        <v>0</v>
      </c>
      <c r="D178" s="45">
        <f>'Early Morning Report'!C70</f>
        <v>0</v>
      </c>
      <c r="E178" s="9"/>
      <c r="F178" s="71">
        <f t="shared" si="17"/>
        <v>0</v>
      </c>
      <c r="G178" s="12">
        <f>'Early Morning Report'!H70</f>
        <v>0</v>
      </c>
      <c r="H178" s="12">
        <f>'Early Morning Report'!I70</f>
        <v>0</v>
      </c>
      <c r="I178" s="12">
        <f>'Early Morning Report'!J70</f>
        <v>0</v>
      </c>
      <c r="J178" s="71">
        <f t="shared" si="18"/>
        <v>0</v>
      </c>
      <c r="K178" s="12">
        <f>'Early Morning Report'!E70</f>
        <v>0</v>
      </c>
      <c r="L178" s="12">
        <f>'Early Morning Report'!F70</f>
        <v>0</v>
      </c>
      <c r="M178" s="12">
        <f>'Early Morning Report'!G70</f>
        <v>0</v>
      </c>
      <c r="N178" s="71">
        <f t="shared" si="19"/>
        <v>0</v>
      </c>
      <c r="O178" s="2" t="s">
        <v>130</v>
      </c>
      <c r="P178" s="42">
        <f>'Plan vs Advance'!E37</f>
        <v>0</v>
      </c>
      <c r="Q178" s="1"/>
      <c r="R178" s="1"/>
      <c r="S178" s="46"/>
      <c r="T178" s="49"/>
      <c r="U178" s="49"/>
      <c r="V178" s="3"/>
      <c r="W178" s="3"/>
      <c r="X178" s="3"/>
      <c r="Y178" s="2"/>
    </row>
    <row r="179" spans="1:25" ht="38.25" customHeight="1" x14ac:dyDescent="0.2">
      <c r="A179" s="9">
        <v>68</v>
      </c>
      <c r="B179" s="44">
        <f>'Early Morning Report'!A71</f>
        <v>0</v>
      </c>
      <c r="C179" s="45">
        <f>'Early Morning Report'!B71</f>
        <v>0</v>
      </c>
      <c r="D179" s="45">
        <f>'Early Morning Report'!C71</f>
        <v>0</v>
      </c>
      <c r="E179" s="9"/>
      <c r="F179" s="71">
        <f t="shared" si="17"/>
        <v>0</v>
      </c>
      <c r="G179" s="12">
        <f>'Early Morning Report'!H71</f>
        <v>0</v>
      </c>
      <c r="H179" s="12">
        <f>'Early Morning Report'!I71</f>
        <v>0</v>
      </c>
      <c r="I179" s="12">
        <f>'Early Morning Report'!J71</f>
        <v>0</v>
      </c>
      <c r="J179" s="71">
        <f t="shared" si="18"/>
        <v>0</v>
      </c>
      <c r="K179" s="12">
        <f>'Early Morning Report'!E71</f>
        <v>0</v>
      </c>
      <c r="L179" s="12">
        <f>'Early Morning Report'!F71</f>
        <v>0</v>
      </c>
      <c r="M179" s="12">
        <f>'Early Morning Report'!G71</f>
        <v>0</v>
      </c>
      <c r="N179" s="71">
        <f t="shared" si="19"/>
        <v>0</v>
      </c>
      <c r="O179" s="372" t="s">
        <v>131</v>
      </c>
      <c r="P179" s="373"/>
      <c r="Q179" s="1"/>
      <c r="R179" s="1"/>
      <c r="S179" s="46"/>
      <c r="T179" s="49"/>
      <c r="U179" s="49"/>
      <c r="V179" s="3"/>
      <c r="W179" s="3"/>
      <c r="X179" s="3"/>
      <c r="Y179" s="2"/>
    </row>
    <row r="180" spans="1:25" ht="38.25" customHeight="1" x14ac:dyDescent="0.2">
      <c r="A180" s="9">
        <v>69</v>
      </c>
      <c r="B180" s="44">
        <f>'Early Morning Report'!A72</f>
        <v>0</v>
      </c>
      <c r="C180" s="45">
        <f>'Early Morning Report'!B72</f>
        <v>0</v>
      </c>
      <c r="D180" s="45">
        <f>'Early Morning Report'!C72</f>
        <v>0</v>
      </c>
      <c r="E180" s="9"/>
      <c r="F180" s="71">
        <f t="shared" si="17"/>
        <v>0</v>
      </c>
      <c r="G180" s="12">
        <f>'Early Morning Report'!H72</f>
        <v>0</v>
      </c>
      <c r="H180" s="12">
        <f>'Early Morning Report'!I72</f>
        <v>0</v>
      </c>
      <c r="I180" s="12">
        <f>'Early Morning Report'!J72</f>
        <v>0</v>
      </c>
      <c r="J180" s="71">
        <f t="shared" si="18"/>
        <v>0</v>
      </c>
      <c r="K180" s="12">
        <f>'Early Morning Report'!E72</f>
        <v>0</v>
      </c>
      <c r="L180" s="12">
        <f>'Early Morning Report'!F72</f>
        <v>0</v>
      </c>
      <c r="M180" s="12">
        <f>'Early Morning Report'!G72</f>
        <v>0</v>
      </c>
      <c r="N180" s="71">
        <f t="shared" si="19"/>
        <v>0</v>
      </c>
      <c r="O180" s="144" t="s">
        <v>132</v>
      </c>
      <c r="P180" s="2"/>
      <c r="Q180" s="1"/>
      <c r="R180" s="1"/>
      <c r="S180" s="46"/>
      <c r="T180" s="49"/>
      <c r="U180" s="49"/>
      <c r="V180" s="3"/>
      <c r="W180" s="3"/>
      <c r="X180" s="3"/>
      <c r="Y180" s="2"/>
    </row>
    <row r="181" spans="1:25" ht="38.25" customHeight="1" x14ac:dyDescent="0.2">
      <c r="A181" s="9">
        <v>70</v>
      </c>
      <c r="B181" s="44">
        <f>'Early Morning Report'!A73</f>
        <v>0</v>
      </c>
      <c r="C181" s="45">
        <f>'Early Morning Report'!B73</f>
        <v>0</v>
      </c>
      <c r="D181" s="45">
        <f>'Early Morning Report'!C73</f>
        <v>0</v>
      </c>
      <c r="E181" s="9"/>
      <c r="F181" s="71">
        <f t="shared" si="17"/>
        <v>0</v>
      </c>
      <c r="G181" s="12">
        <f>'Early Morning Report'!H73</f>
        <v>0</v>
      </c>
      <c r="H181" s="12">
        <f>'Early Morning Report'!I73</f>
        <v>0</v>
      </c>
      <c r="I181" s="12">
        <f>'Early Morning Report'!J73</f>
        <v>0</v>
      </c>
      <c r="J181" s="71">
        <f t="shared" si="18"/>
        <v>0</v>
      </c>
      <c r="K181" s="12">
        <f>'Early Morning Report'!E73</f>
        <v>0</v>
      </c>
      <c r="L181" s="12">
        <f>'Early Morning Report'!F73</f>
        <v>0</v>
      </c>
      <c r="M181" s="12">
        <f>'Early Morning Report'!G73</f>
        <v>0</v>
      </c>
      <c r="N181" s="71">
        <f t="shared" si="19"/>
        <v>0</v>
      </c>
      <c r="O181" s="2" t="s">
        <v>133</v>
      </c>
      <c r="P181" s="42">
        <f>P180-P182</f>
        <v>0</v>
      </c>
      <c r="Q181" s="1"/>
      <c r="R181" s="1"/>
      <c r="S181" s="46"/>
      <c r="T181" s="49"/>
      <c r="U181" s="49"/>
      <c r="V181" s="3"/>
      <c r="W181" s="3"/>
      <c r="X181" s="3"/>
      <c r="Y181" s="2"/>
    </row>
    <row r="182" spans="1:25" ht="38.25" customHeight="1" x14ac:dyDescent="0.2">
      <c r="A182" s="9">
        <v>71</v>
      </c>
      <c r="B182" s="44">
        <f>'Early Morning Report'!A74</f>
        <v>0</v>
      </c>
      <c r="C182" s="45">
        <f>'Early Morning Report'!B74</f>
        <v>0</v>
      </c>
      <c r="D182" s="45">
        <f>'Early Morning Report'!C74</f>
        <v>0</v>
      </c>
      <c r="E182" s="9"/>
      <c r="F182" s="71">
        <f t="shared" si="17"/>
        <v>0</v>
      </c>
      <c r="G182" s="12">
        <f>'Early Morning Report'!H74</f>
        <v>0</v>
      </c>
      <c r="H182" s="12">
        <f>'Early Morning Report'!I74</f>
        <v>0</v>
      </c>
      <c r="I182" s="12">
        <f>'Early Morning Report'!J74</f>
        <v>0</v>
      </c>
      <c r="J182" s="71">
        <f t="shared" si="18"/>
        <v>0</v>
      </c>
      <c r="K182" s="12">
        <f>'Early Morning Report'!E74</f>
        <v>0</v>
      </c>
      <c r="L182" s="12">
        <f>'Early Morning Report'!F74</f>
        <v>0</v>
      </c>
      <c r="M182" s="12">
        <f>'Early Morning Report'!G74</f>
        <v>0</v>
      </c>
      <c r="N182" s="71">
        <f t="shared" si="19"/>
        <v>0</v>
      </c>
      <c r="O182" s="144" t="s">
        <v>130</v>
      </c>
      <c r="P182" s="2"/>
      <c r="Q182" s="1"/>
      <c r="R182" s="1"/>
      <c r="S182" s="46"/>
      <c r="T182" s="49"/>
      <c r="U182" s="49"/>
      <c r="V182" s="3"/>
      <c r="W182" s="3"/>
      <c r="X182" s="3"/>
      <c r="Y182" s="2"/>
    </row>
    <row r="183" spans="1:25" ht="38.25" customHeight="1" x14ac:dyDescent="0.2">
      <c r="A183" s="9">
        <v>72</v>
      </c>
      <c r="B183" s="44">
        <f>'Early Morning Report'!A75</f>
        <v>0</v>
      </c>
      <c r="C183" s="45">
        <f>'Early Morning Report'!B75</f>
        <v>0</v>
      </c>
      <c r="D183" s="45">
        <f>'Early Morning Report'!C75</f>
        <v>0</v>
      </c>
      <c r="E183" s="9"/>
      <c r="F183" s="71">
        <f t="shared" si="17"/>
        <v>0</v>
      </c>
      <c r="G183" s="12">
        <f>'Early Morning Report'!H75</f>
        <v>0</v>
      </c>
      <c r="H183" s="12">
        <f>'Early Morning Report'!I75</f>
        <v>0</v>
      </c>
      <c r="I183" s="12">
        <f>'Early Morning Report'!J75</f>
        <v>0</v>
      </c>
      <c r="J183" s="71">
        <f t="shared" si="18"/>
        <v>0</v>
      </c>
      <c r="K183" s="12">
        <f>'Early Morning Report'!E75</f>
        <v>0</v>
      </c>
      <c r="L183" s="12">
        <f>'Early Morning Report'!F75</f>
        <v>0</v>
      </c>
      <c r="M183" s="12">
        <f>'Early Morning Report'!G75</f>
        <v>0</v>
      </c>
      <c r="N183" s="71">
        <f t="shared" si="19"/>
        <v>0</v>
      </c>
      <c r="O183" s="372" t="s">
        <v>134</v>
      </c>
      <c r="P183" s="373"/>
      <c r="Q183" s="1"/>
      <c r="R183" s="1"/>
      <c r="S183" s="46"/>
      <c r="T183" s="49"/>
      <c r="U183" s="49"/>
      <c r="V183" s="3"/>
      <c r="W183" s="3"/>
      <c r="X183" s="3"/>
      <c r="Y183" s="2"/>
    </row>
    <row r="184" spans="1:25" ht="38.25" customHeight="1" x14ac:dyDescent="0.2">
      <c r="A184" s="9">
        <v>73</v>
      </c>
      <c r="B184" s="44">
        <f>'Early Morning Report'!A76</f>
        <v>0</v>
      </c>
      <c r="C184" s="45">
        <f>'Early Morning Report'!B76</f>
        <v>0</v>
      </c>
      <c r="D184" s="45">
        <f>'Early Morning Report'!C76</f>
        <v>0</v>
      </c>
      <c r="E184" s="9"/>
      <c r="F184" s="71">
        <f t="shared" si="17"/>
        <v>0</v>
      </c>
      <c r="G184" s="12">
        <f>'Early Morning Report'!H76</f>
        <v>0</v>
      </c>
      <c r="H184" s="12">
        <f>'Early Morning Report'!I76</f>
        <v>0</v>
      </c>
      <c r="I184" s="12">
        <f>'Early Morning Report'!J76</f>
        <v>0</v>
      </c>
      <c r="J184" s="71">
        <f t="shared" si="18"/>
        <v>0</v>
      </c>
      <c r="K184" s="12">
        <f>'Early Morning Report'!E76</f>
        <v>0</v>
      </c>
      <c r="L184" s="12">
        <f>'Early Morning Report'!F76</f>
        <v>0</v>
      </c>
      <c r="M184" s="12">
        <f>'Early Morning Report'!G76</f>
        <v>0</v>
      </c>
      <c r="N184" s="71">
        <f t="shared" si="19"/>
        <v>0</v>
      </c>
      <c r="O184" s="144" t="s">
        <v>135</v>
      </c>
      <c r="P184" s="2"/>
      <c r="Q184" s="1"/>
      <c r="R184" s="1"/>
      <c r="S184" s="46"/>
      <c r="T184" s="49"/>
      <c r="U184" s="49"/>
      <c r="V184" s="3"/>
      <c r="W184" s="3"/>
      <c r="X184" s="3"/>
      <c r="Y184" s="2"/>
    </row>
    <row r="185" spans="1:25" ht="38.25" customHeight="1" x14ac:dyDescent="0.2">
      <c r="A185" s="9">
        <v>74</v>
      </c>
      <c r="B185" s="44">
        <f>'Early Morning Report'!A77</f>
        <v>0</v>
      </c>
      <c r="C185" s="45">
        <f>'Early Morning Report'!B77</f>
        <v>0</v>
      </c>
      <c r="D185" s="45">
        <f>'Early Morning Report'!C77</f>
        <v>0</v>
      </c>
      <c r="E185" s="9"/>
      <c r="F185" s="71">
        <f t="shared" si="17"/>
        <v>0</v>
      </c>
      <c r="G185" s="12">
        <f>'Early Morning Report'!H77</f>
        <v>0</v>
      </c>
      <c r="H185" s="12">
        <f>'Early Morning Report'!I77</f>
        <v>0</v>
      </c>
      <c r="I185" s="12">
        <f>'Early Morning Report'!J77</f>
        <v>0</v>
      </c>
      <c r="J185" s="71">
        <f t="shared" si="18"/>
        <v>0</v>
      </c>
      <c r="K185" s="12">
        <f>'Early Morning Report'!E77</f>
        <v>0</v>
      </c>
      <c r="L185" s="12">
        <f>'Early Morning Report'!F77</f>
        <v>0</v>
      </c>
      <c r="M185" s="12">
        <f>'Early Morning Report'!G77</f>
        <v>0</v>
      </c>
      <c r="N185" s="71">
        <f t="shared" si="19"/>
        <v>0</v>
      </c>
      <c r="O185" s="2" t="s">
        <v>136</v>
      </c>
      <c r="P185" s="42">
        <f>SUM('Early Morning Report'!K52,'Early Morning Report'!K105)</f>
        <v>0</v>
      </c>
      <c r="Q185" s="1"/>
      <c r="R185" s="1"/>
      <c r="S185" s="46"/>
      <c r="T185" s="49"/>
      <c r="U185" s="49"/>
      <c r="V185" s="3"/>
      <c r="W185" s="3"/>
      <c r="X185" s="3"/>
      <c r="Y185" s="2"/>
    </row>
    <row r="186" spans="1:25" ht="38.25" customHeight="1" x14ac:dyDescent="0.2">
      <c r="A186" s="9">
        <v>75</v>
      </c>
      <c r="B186" s="44">
        <f>'Early Morning Report'!A78</f>
        <v>0</v>
      </c>
      <c r="C186" s="45">
        <f>'Early Morning Report'!B78</f>
        <v>0</v>
      </c>
      <c r="D186" s="45">
        <f>'Early Morning Report'!C78</f>
        <v>0</v>
      </c>
      <c r="E186" s="9"/>
      <c r="F186" s="71">
        <f t="shared" si="17"/>
        <v>0</v>
      </c>
      <c r="G186" s="12">
        <f>'Early Morning Report'!H78</f>
        <v>0</v>
      </c>
      <c r="H186" s="12">
        <f>'Early Morning Report'!I78</f>
        <v>0</v>
      </c>
      <c r="I186" s="12">
        <f>'Early Morning Report'!J78</f>
        <v>0</v>
      </c>
      <c r="J186" s="71">
        <f t="shared" si="18"/>
        <v>0</v>
      </c>
      <c r="K186" s="12">
        <f>'Early Morning Report'!E78</f>
        <v>0</v>
      </c>
      <c r="L186" s="12">
        <f>'Early Morning Report'!F78</f>
        <v>0</v>
      </c>
      <c r="M186" s="12">
        <f>'Early Morning Report'!G78</f>
        <v>0</v>
      </c>
      <c r="N186" s="71">
        <f t="shared" si="19"/>
        <v>0</v>
      </c>
      <c r="O186" s="2" t="s">
        <v>137</v>
      </c>
      <c r="P186" s="42">
        <f>P166</f>
        <v>303</v>
      </c>
      <c r="Q186" s="1"/>
      <c r="R186" s="1"/>
      <c r="S186" s="46"/>
      <c r="T186" s="49"/>
      <c r="U186" s="49"/>
      <c r="V186" s="3"/>
      <c r="W186" s="3"/>
      <c r="X186" s="3"/>
      <c r="Y186" s="2"/>
    </row>
    <row r="187" spans="1:25" ht="38.25" customHeight="1" x14ac:dyDescent="0.2">
      <c r="A187" s="9">
        <v>76</v>
      </c>
      <c r="B187" s="44">
        <f>'Early Morning Report'!A79</f>
        <v>0</v>
      </c>
      <c r="C187" s="45">
        <f>'Early Morning Report'!B79</f>
        <v>0</v>
      </c>
      <c r="D187" s="45">
        <f>'Early Morning Report'!C79</f>
        <v>0</v>
      </c>
      <c r="E187" s="9"/>
      <c r="F187" s="71">
        <f t="shared" si="17"/>
        <v>0</v>
      </c>
      <c r="G187" s="12">
        <f>'Early Morning Report'!H79</f>
        <v>0</v>
      </c>
      <c r="H187" s="12">
        <f>'Early Morning Report'!I79</f>
        <v>0</v>
      </c>
      <c r="I187" s="12">
        <f>'Early Morning Report'!J79</f>
        <v>0</v>
      </c>
      <c r="J187" s="71">
        <f t="shared" si="18"/>
        <v>0</v>
      </c>
      <c r="K187" s="12">
        <f>'Early Morning Report'!E79</f>
        <v>0</v>
      </c>
      <c r="L187" s="12">
        <f>'Early Morning Report'!F79</f>
        <v>0</v>
      </c>
      <c r="M187" s="12">
        <f>'Early Morning Report'!G79</f>
        <v>0</v>
      </c>
      <c r="N187" s="71">
        <f t="shared" si="19"/>
        <v>0</v>
      </c>
      <c r="O187" s="144" t="s">
        <v>138</v>
      </c>
      <c r="P187" s="2"/>
      <c r="Q187" s="1"/>
      <c r="R187" s="1"/>
      <c r="S187" s="46"/>
      <c r="T187" s="49"/>
      <c r="U187" s="49"/>
      <c r="V187" s="3"/>
      <c r="W187" s="3"/>
      <c r="X187" s="3"/>
      <c r="Y187" s="2"/>
    </row>
    <row r="188" spans="1:25" ht="38.25" customHeight="1" x14ac:dyDescent="0.2">
      <c r="A188" s="9">
        <v>77</v>
      </c>
      <c r="B188" s="44">
        <f>'Early Morning Report'!A80</f>
        <v>0</v>
      </c>
      <c r="C188" s="45">
        <f>'Early Morning Report'!B80</f>
        <v>0</v>
      </c>
      <c r="D188" s="45">
        <f>'Early Morning Report'!C80</f>
        <v>0</v>
      </c>
      <c r="E188" s="9"/>
      <c r="F188" s="71">
        <f t="shared" si="17"/>
        <v>0</v>
      </c>
      <c r="G188" s="12">
        <f>'Early Morning Report'!H80</f>
        <v>0</v>
      </c>
      <c r="H188" s="12">
        <f>'Early Morning Report'!I80</f>
        <v>0</v>
      </c>
      <c r="I188" s="12">
        <f>'Early Morning Report'!J80</f>
        <v>0</v>
      </c>
      <c r="J188" s="71">
        <f t="shared" si="18"/>
        <v>0</v>
      </c>
      <c r="K188" s="12">
        <f>'Early Morning Report'!E80</f>
        <v>0</v>
      </c>
      <c r="L188" s="12">
        <f>'Early Morning Report'!F80</f>
        <v>0</v>
      </c>
      <c r="M188" s="12">
        <f>'Early Morning Report'!G80</f>
        <v>0</v>
      </c>
      <c r="N188" s="71">
        <f t="shared" si="19"/>
        <v>0</v>
      </c>
      <c r="O188" s="2" t="s">
        <v>19</v>
      </c>
      <c r="P188" s="42">
        <f>SUM(P184:P187)</f>
        <v>303</v>
      </c>
      <c r="Q188" s="1"/>
      <c r="R188" s="1"/>
      <c r="S188" s="46"/>
      <c r="T188" s="49"/>
      <c r="U188" s="49"/>
      <c r="V188" s="3"/>
      <c r="W188" s="3"/>
      <c r="X188" s="3"/>
      <c r="Y188" s="2"/>
    </row>
    <row r="189" spans="1:25" ht="38.25" customHeight="1" x14ac:dyDescent="0.2">
      <c r="A189" s="9">
        <v>78</v>
      </c>
      <c r="B189" s="44">
        <f>'Early Morning Report'!A81</f>
        <v>0</v>
      </c>
      <c r="C189" s="45">
        <f>'Early Morning Report'!B81</f>
        <v>0</v>
      </c>
      <c r="D189" s="45">
        <f>'Early Morning Report'!C81</f>
        <v>0</v>
      </c>
      <c r="E189" s="9"/>
      <c r="F189" s="71">
        <f t="shared" si="17"/>
        <v>0</v>
      </c>
      <c r="G189" s="12">
        <f>'Early Morning Report'!H81</f>
        <v>0</v>
      </c>
      <c r="H189" s="12">
        <f>'Early Morning Report'!I81</f>
        <v>0</v>
      </c>
      <c r="I189" s="12">
        <f>'Early Morning Report'!J81</f>
        <v>0</v>
      </c>
      <c r="J189" s="71">
        <f t="shared" si="18"/>
        <v>0</v>
      </c>
      <c r="K189" s="12">
        <f>'Early Morning Report'!E81</f>
        <v>0</v>
      </c>
      <c r="L189" s="12">
        <f>'Early Morning Report'!F81</f>
        <v>0</v>
      </c>
      <c r="M189" s="12">
        <f>'Early Morning Report'!G81</f>
        <v>0</v>
      </c>
      <c r="N189" s="71">
        <f t="shared" si="19"/>
        <v>0</v>
      </c>
      <c r="O189" s="2" t="s">
        <v>139</v>
      </c>
      <c r="P189" s="42">
        <f>P24</f>
        <v>303</v>
      </c>
      <c r="Q189" s="1"/>
      <c r="R189" s="1"/>
      <c r="S189" s="46"/>
      <c r="T189" s="49"/>
      <c r="U189" s="49"/>
      <c r="V189" s="3"/>
      <c r="W189" s="3"/>
      <c r="X189" s="3"/>
      <c r="Y189" s="2"/>
    </row>
    <row r="190" spans="1:25" ht="38.25" customHeight="1" x14ac:dyDescent="0.2">
      <c r="A190" s="9">
        <v>79</v>
      </c>
      <c r="B190" s="44">
        <f>'Early Morning Report'!A82</f>
        <v>0</v>
      </c>
      <c r="C190" s="45">
        <f>'Early Morning Report'!B82</f>
        <v>0</v>
      </c>
      <c r="D190" s="45">
        <f>'Early Morning Report'!C82</f>
        <v>0</v>
      </c>
      <c r="E190" s="9"/>
      <c r="F190" s="71">
        <f t="shared" si="17"/>
        <v>0</v>
      </c>
      <c r="G190" s="12">
        <f>'Early Morning Report'!H82</f>
        <v>0</v>
      </c>
      <c r="H190" s="12">
        <f>'Early Morning Report'!I82</f>
        <v>0</v>
      </c>
      <c r="I190" s="12">
        <f>'Early Morning Report'!J82</f>
        <v>0</v>
      </c>
      <c r="J190" s="71">
        <f t="shared" si="18"/>
        <v>0</v>
      </c>
      <c r="K190" s="12">
        <f>'Early Morning Report'!E82</f>
        <v>0</v>
      </c>
      <c r="L190" s="12">
        <f>'Early Morning Report'!F82</f>
        <v>0</v>
      </c>
      <c r="M190" s="12">
        <f>'Early Morning Report'!G82</f>
        <v>0</v>
      </c>
      <c r="N190" s="71">
        <f t="shared" si="19"/>
        <v>0</v>
      </c>
      <c r="O190" s="2" t="s">
        <v>140</v>
      </c>
      <c r="P190" s="42">
        <f>P189-P188</f>
        <v>0</v>
      </c>
      <c r="Q190" s="1"/>
      <c r="R190" s="1"/>
      <c r="S190" s="46"/>
      <c r="T190" s="49"/>
      <c r="U190" s="49"/>
      <c r="V190" s="3"/>
      <c r="W190" s="3"/>
      <c r="X190" s="3"/>
      <c r="Y190" s="2"/>
    </row>
    <row r="191" spans="1:25" ht="38.25" customHeight="1" x14ac:dyDescent="0.2">
      <c r="A191" s="9">
        <v>80</v>
      </c>
      <c r="B191" s="44">
        <f>'Early Morning Report'!A83</f>
        <v>0</v>
      </c>
      <c r="C191" s="45">
        <f>'Early Morning Report'!B83</f>
        <v>0</v>
      </c>
      <c r="D191" s="45">
        <f>'Early Morning Report'!C83</f>
        <v>0</v>
      </c>
      <c r="E191" s="9"/>
      <c r="F191" s="71">
        <f t="shared" si="17"/>
        <v>0</v>
      </c>
      <c r="G191" s="12">
        <f>'Early Morning Report'!H83</f>
        <v>0</v>
      </c>
      <c r="H191" s="12">
        <f>'Early Morning Report'!I83</f>
        <v>0</v>
      </c>
      <c r="I191" s="12">
        <f>'Early Morning Report'!J83</f>
        <v>0</v>
      </c>
      <c r="J191" s="71">
        <f t="shared" si="18"/>
        <v>0</v>
      </c>
      <c r="K191" s="12">
        <f>'Early Morning Report'!E83</f>
        <v>0</v>
      </c>
      <c r="L191" s="12">
        <f>'Early Morning Report'!F83</f>
        <v>0</v>
      </c>
      <c r="M191" s="12">
        <f>'Early Morning Report'!G83</f>
        <v>0</v>
      </c>
      <c r="N191" s="71">
        <f t="shared" si="19"/>
        <v>0</v>
      </c>
      <c r="O191" s="251" t="s">
        <v>141</v>
      </c>
      <c r="P191" s="252">
        <f>P190/P188</f>
        <v>0</v>
      </c>
      <c r="Q191" s="1"/>
      <c r="R191" s="1"/>
      <c r="S191" s="46"/>
      <c r="T191" s="49"/>
      <c r="U191" s="49"/>
      <c r="V191" s="3"/>
      <c r="W191" s="3"/>
      <c r="X191" s="3"/>
      <c r="Y191" s="2"/>
    </row>
    <row r="192" spans="1:25" ht="38.25" customHeight="1" x14ac:dyDescent="0.2">
      <c r="A192" s="9">
        <v>81</v>
      </c>
      <c r="B192" s="44">
        <f>'Early Morning Report'!A84</f>
        <v>0</v>
      </c>
      <c r="C192" s="45">
        <f>'Early Morning Report'!B84</f>
        <v>0</v>
      </c>
      <c r="D192" s="45">
        <f>'Early Morning Report'!C84</f>
        <v>0</v>
      </c>
      <c r="E192" s="9"/>
      <c r="F192" s="71">
        <f t="shared" si="17"/>
        <v>0</v>
      </c>
      <c r="G192" s="12">
        <f>'Early Morning Report'!H84</f>
        <v>0</v>
      </c>
      <c r="H192" s="12">
        <f>'Early Morning Report'!I84</f>
        <v>0</v>
      </c>
      <c r="I192" s="12">
        <f>'Early Morning Report'!J84</f>
        <v>0</v>
      </c>
      <c r="J192" s="71">
        <f t="shared" si="18"/>
        <v>0</v>
      </c>
      <c r="K192" s="12">
        <f>'Early Morning Report'!E84</f>
        <v>0</v>
      </c>
      <c r="L192" s="12">
        <f>'Early Morning Report'!F84</f>
        <v>0</v>
      </c>
      <c r="M192" s="12">
        <f>'Early Morning Report'!G84</f>
        <v>0</v>
      </c>
      <c r="N192" s="71">
        <f t="shared" si="19"/>
        <v>0</v>
      </c>
      <c r="O192" s="2"/>
      <c r="P192" s="2"/>
      <c r="Q192" s="1"/>
      <c r="R192" s="1"/>
      <c r="S192" s="46"/>
      <c r="T192" s="49"/>
      <c r="U192" s="49"/>
      <c r="V192" s="3"/>
      <c r="W192" s="3"/>
      <c r="X192" s="3"/>
      <c r="Y192" s="2"/>
    </row>
    <row r="193" spans="1:25" ht="38.25" customHeight="1" x14ac:dyDescent="0.2">
      <c r="A193" s="9">
        <v>82</v>
      </c>
      <c r="B193" s="44">
        <f>'Early Morning Report'!A85</f>
        <v>0</v>
      </c>
      <c r="C193" s="45">
        <f>'Early Morning Report'!B85</f>
        <v>0</v>
      </c>
      <c r="D193" s="45">
        <f>'Early Morning Report'!C85</f>
        <v>0</v>
      </c>
      <c r="E193" s="9"/>
      <c r="F193" s="71">
        <f t="shared" si="17"/>
        <v>0</v>
      </c>
      <c r="G193" s="12">
        <f>'Early Morning Report'!H85</f>
        <v>0</v>
      </c>
      <c r="H193" s="12">
        <f>'Early Morning Report'!I85</f>
        <v>0</v>
      </c>
      <c r="I193" s="12">
        <f>'Early Morning Report'!J85</f>
        <v>0</v>
      </c>
      <c r="J193" s="71">
        <f t="shared" si="18"/>
        <v>0</v>
      </c>
      <c r="K193" s="12">
        <f>'Early Morning Report'!E85</f>
        <v>0</v>
      </c>
      <c r="L193" s="12">
        <f>'Early Morning Report'!F85</f>
        <v>0</v>
      </c>
      <c r="M193" s="12">
        <f>'Early Morning Report'!G85</f>
        <v>0</v>
      </c>
      <c r="N193" s="71">
        <f t="shared" si="19"/>
        <v>0</v>
      </c>
      <c r="O193" s="2"/>
      <c r="P193" s="2"/>
      <c r="Q193" s="1"/>
      <c r="R193" s="1"/>
      <c r="S193" s="46"/>
      <c r="T193" s="49"/>
      <c r="U193" s="49"/>
      <c r="V193" s="3"/>
      <c r="W193" s="3"/>
      <c r="X193" s="3"/>
      <c r="Y193" s="2"/>
    </row>
    <row r="194" spans="1:25" ht="38.25" customHeight="1" x14ac:dyDescent="0.2">
      <c r="A194" s="9">
        <v>83</v>
      </c>
      <c r="B194" s="44">
        <f>'Early Morning Report'!A86</f>
        <v>0</v>
      </c>
      <c r="C194" s="45">
        <f>'Early Morning Report'!B86</f>
        <v>0</v>
      </c>
      <c r="D194" s="45">
        <f>'Early Morning Report'!C86</f>
        <v>0</v>
      </c>
      <c r="E194" s="9"/>
      <c r="F194" s="71">
        <f t="shared" si="17"/>
        <v>0</v>
      </c>
      <c r="G194" s="12">
        <f>'Early Morning Report'!H86</f>
        <v>0</v>
      </c>
      <c r="H194" s="12">
        <f>'Early Morning Report'!I86</f>
        <v>0</v>
      </c>
      <c r="I194" s="12">
        <f>'Early Morning Report'!J86</f>
        <v>0</v>
      </c>
      <c r="J194" s="71">
        <f t="shared" si="18"/>
        <v>0</v>
      </c>
      <c r="K194" s="12">
        <f>'Early Morning Report'!E86</f>
        <v>0</v>
      </c>
      <c r="L194" s="12">
        <f>'Early Morning Report'!F86</f>
        <v>0</v>
      </c>
      <c r="M194" s="12">
        <f>'Early Morning Report'!G86</f>
        <v>0</v>
      </c>
      <c r="N194" s="71">
        <f t="shared" si="19"/>
        <v>0</v>
      </c>
      <c r="O194" s="2"/>
      <c r="P194" s="2"/>
      <c r="Q194" s="1"/>
      <c r="R194" s="1"/>
      <c r="S194" s="46"/>
      <c r="T194" s="49"/>
      <c r="U194" s="49"/>
      <c r="V194" s="3"/>
      <c r="W194" s="3"/>
      <c r="X194" s="3"/>
      <c r="Y194" s="2"/>
    </row>
    <row r="195" spans="1:25" ht="38.25" customHeight="1" x14ac:dyDescent="0.2">
      <c r="A195" s="9">
        <v>84</v>
      </c>
      <c r="B195" s="44">
        <f>'Early Morning Report'!A87</f>
        <v>0</v>
      </c>
      <c r="C195" s="45">
        <f>'Early Morning Report'!B87</f>
        <v>0</v>
      </c>
      <c r="D195" s="45">
        <f>'Early Morning Report'!C87</f>
        <v>0</v>
      </c>
      <c r="E195" s="9"/>
      <c r="F195" s="71">
        <f t="shared" si="17"/>
        <v>0</v>
      </c>
      <c r="G195" s="12">
        <f>'Early Morning Report'!H87</f>
        <v>0</v>
      </c>
      <c r="H195" s="12">
        <f>'Early Morning Report'!I87</f>
        <v>0</v>
      </c>
      <c r="I195" s="12">
        <f>'Early Morning Report'!J87</f>
        <v>0</v>
      </c>
      <c r="J195" s="71">
        <f t="shared" si="18"/>
        <v>0</v>
      </c>
      <c r="K195" s="12">
        <f>'Early Morning Report'!E87</f>
        <v>0</v>
      </c>
      <c r="L195" s="12">
        <f>'Early Morning Report'!F87</f>
        <v>0</v>
      </c>
      <c r="M195" s="12">
        <f>'Early Morning Report'!G87</f>
        <v>0</v>
      </c>
      <c r="N195" s="71">
        <f t="shared" si="19"/>
        <v>0</v>
      </c>
      <c r="O195" s="2"/>
      <c r="P195" s="2"/>
      <c r="Q195" s="1"/>
      <c r="R195" s="1"/>
      <c r="S195" s="46"/>
      <c r="T195" s="49"/>
      <c r="U195" s="49"/>
      <c r="V195" s="3"/>
      <c r="W195" s="3"/>
      <c r="X195" s="3"/>
      <c r="Y195" s="2"/>
    </row>
    <row r="196" spans="1:25" ht="38.25" customHeight="1" x14ac:dyDescent="0.2">
      <c r="A196" s="9">
        <v>85</v>
      </c>
      <c r="B196" s="44">
        <f>'Early Morning Report'!A88</f>
        <v>0</v>
      </c>
      <c r="C196" s="45">
        <f>'Early Morning Report'!B88</f>
        <v>0</v>
      </c>
      <c r="D196" s="45">
        <f>'Early Morning Report'!C88</f>
        <v>0</v>
      </c>
      <c r="E196" s="9"/>
      <c r="F196" s="71">
        <f t="shared" si="17"/>
        <v>0</v>
      </c>
      <c r="G196" s="12">
        <f>'Early Morning Report'!H88</f>
        <v>0</v>
      </c>
      <c r="H196" s="12">
        <f>'Early Morning Report'!I88</f>
        <v>0</v>
      </c>
      <c r="I196" s="12">
        <f>'Early Morning Report'!J88</f>
        <v>0</v>
      </c>
      <c r="J196" s="71">
        <f t="shared" si="18"/>
        <v>0</v>
      </c>
      <c r="K196" s="12">
        <f>'Early Morning Report'!E88</f>
        <v>0</v>
      </c>
      <c r="L196" s="12">
        <f>'Early Morning Report'!F88</f>
        <v>0</v>
      </c>
      <c r="M196" s="12">
        <f>'Early Morning Report'!G88</f>
        <v>0</v>
      </c>
      <c r="N196" s="71">
        <f t="shared" si="19"/>
        <v>0</v>
      </c>
      <c r="O196" s="2"/>
      <c r="P196" s="2"/>
      <c r="Q196" s="1"/>
      <c r="R196" s="1"/>
      <c r="S196" s="46"/>
      <c r="T196" s="49"/>
      <c r="U196" s="49"/>
      <c r="V196" s="3"/>
      <c r="W196" s="3"/>
      <c r="X196" s="3"/>
      <c r="Y196" s="2"/>
    </row>
    <row r="197" spans="1:25" ht="38.25" customHeight="1" x14ac:dyDescent="0.2">
      <c r="A197" s="9">
        <v>86</v>
      </c>
      <c r="B197" s="44">
        <f>'Early Morning Report'!A89</f>
        <v>0</v>
      </c>
      <c r="C197" s="45">
        <f>'Early Morning Report'!B89</f>
        <v>0</v>
      </c>
      <c r="D197" s="45">
        <f>'Early Morning Report'!C89</f>
        <v>0</v>
      </c>
      <c r="E197" s="9"/>
      <c r="F197" s="71">
        <f t="shared" si="17"/>
        <v>0</v>
      </c>
      <c r="G197" s="12">
        <f>'Early Morning Report'!H89</f>
        <v>0</v>
      </c>
      <c r="H197" s="12">
        <f>'Early Morning Report'!I89</f>
        <v>0</v>
      </c>
      <c r="I197" s="12">
        <f>'Early Morning Report'!J89</f>
        <v>0</v>
      </c>
      <c r="J197" s="71">
        <f t="shared" si="18"/>
        <v>0</v>
      </c>
      <c r="K197" s="12">
        <f>'Early Morning Report'!E89</f>
        <v>0</v>
      </c>
      <c r="L197" s="12">
        <f>'Early Morning Report'!F89</f>
        <v>0</v>
      </c>
      <c r="M197" s="12">
        <f>'Early Morning Report'!G89</f>
        <v>0</v>
      </c>
      <c r="N197" s="71">
        <f t="shared" si="19"/>
        <v>0</v>
      </c>
      <c r="O197" s="2"/>
      <c r="P197" s="2"/>
      <c r="Q197" s="1"/>
      <c r="R197" s="1"/>
      <c r="S197" s="46"/>
      <c r="T197" s="49"/>
      <c r="U197" s="49"/>
      <c r="V197" s="3"/>
      <c r="W197" s="3"/>
      <c r="X197" s="3"/>
      <c r="Y197" s="2"/>
    </row>
    <row r="198" spans="1:25" ht="38.25" customHeight="1" x14ac:dyDescent="0.2">
      <c r="A198" s="9">
        <v>87</v>
      </c>
      <c r="B198" s="44">
        <f>'Early Morning Report'!A90</f>
        <v>0</v>
      </c>
      <c r="C198" s="45">
        <f>'Early Morning Report'!B90</f>
        <v>0</v>
      </c>
      <c r="D198" s="45">
        <f>'Early Morning Report'!C90</f>
        <v>0</v>
      </c>
      <c r="E198" s="9"/>
      <c r="F198" s="71">
        <f t="shared" si="17"/>
        <v>0</v>
      </c>
      <c r="G198" s="12">
        <f>'Early Morning Report'!H90</f>
        <v>0</v>
      </c>
      <c r="H198" s="12">
        <f>'Early Morning Report'!I90</f>
        <v>0</v>
      </c>
      <c r="I198" s="12">
        <f>'Early Morning Report'!J90</f>
        <v>0</v>
      </c>
      <c r="J198" s="71">
        <f t="shared" si="18"/>
        <v>0</v>
      </c>
      <c r="K198" s="12">
        <f>'Early Morning Report'!E90</f>
        <v>0</v>
      </c>
      <c r="L198" s="12">
        <f>'Early Morning Report'!F90</f>
        <v>0</v>
      </c>
      <c r="M198" s="12">
        <f>'Early Morning Report'!G90</f>
        <v>0</v>
      </c>
      <c r="N198" s="71">
        <f t="shared" si="19"/>
        <v>0</v>
      </c>
      <c r="O198" s="2"/>
      <c r="P198" s="2"/>
      <c r="Q198" s="1"/>
      <c r="R198" s="1"/>
      <c r="S198" s="46"/>
      <c r="T198" s="49"/>
      <c r="U198" s="49"/>
      <c r="V198" s="3"/>
      <c r="W198" s="3"/>
      <c r="X198" s="3"/>
      <c r="Y198" s="2"/>
    </row>
    <row r="199" spans="1:25" ht="38.25" customHeight="1" x14ac:dyDescent="0.2">
      <c r="A199" s="9">
        <v>88</v>
      </c>
      <c r="B199" s="44">
        <f>'Early Morning Report'!A91</f>
        <v>0</v>
      </c>
      <c r="C199" s="45">
        <f>'Early Morning Report'!B91</f>
        <v>0</v>
      </c>
      <c r="D199" s="45">
        <f>'Early Morning Report'!C91</f>
        <v>0</v>
      </c>
      <c r="E199" s="9"/>
      <c r="F199" s="71">
        <f t="shared" si="17"/>
        <v>0</v>
      </c>
      <c r="G199" s="12">
        <f>'Early Morning Report'!H91</f>
        <v>0</v>
      </c>
      <c r="H199" s="12">
        <f>'Early Morning Report'!I91</f>
        <v>0</v>
      </c>
      <c r="I199" s="12">
        <f>'Early Morning Report'!J91</f>
        <v>0</v>
      </c>
      <c r="J199" s="71">
        <f t="shared" si="18"/>
        <v>0</v>
      </c>
      <c r="K199" s="12">
        <f>'Early Morning Report'!E91</f>
        <v>0</v>
      </c>
      <c r="L199" s="12">
        <f>'Early Morning Report'!F91</f>
        <v>0</v>
      </c>
      <c r="M199" s="12">
        <f>'Early Morning Report'!G91</f>
        <v>0</v>
      </c>
      <c r="N199" s="71">
        <f t="shared" si="19"/>
        <v>0</v>
      </c>
      <c r="O199" s="2"/>
      <c r="P199" s="2"/>
      <c r="Q199" s="1"/>
      <c r="R199" s="1"/>
      <c r="S199" s="46"/>
      <c r="T199" s="49"/>
      <c r="U199" s="49"/>
      <c r="V199" s="3"/>
      <c r="W199" s="3"/>
      <c r="X199" s="3"/>
      <c r="Y199" s="2"/>
    </row>
    <row r="200" spans="1:25" ht="38.25" customHeight="1" x14ac:dyDescent="0.2">
      <c r="A200" s="9">
        <v>89</v>
      </c>
      <c r="B200" s="44">
        <f>'Early Morning Report'!A92</f>
        <v>0</v>
      </c>
      <c r="C200" s="45">
        <f>'Early Morning Report'!B92</f>
        <v>0</v>
      </c>
      <c r="D200" s="45">
        <f>'Early Morning Report'!C92</f>
        <v>0</v>
      </c>
      <c r="E200" s="9"/>
      <c r="F200" s="71">
        <f t="shared" si="17"/>
        <v>0</v>
      </c>
      <c r="G200" s="12">
        <f>'Early Morning Report'!H92</f>
        <v>0</v>
      </c>
      <c r="H200" s="12">
        <f>'Early Morning Report'!I92</f>
        <v>0</v>
      </c>
      <c r="I200" s="12">
        <f>'Early Morning Report'!J92</f>
        <v>0</v>
      </c>
      <c r="J200" s="71">
        <f t="shared" si="18"/>
        <v>0</v>
      </c>
      <c r="K200" s="12">
        <f>'Early Morning Report'!E92</f>
        <v>0</v>
      </c>
      <c r="L200" s="12">
        <f>'Early Morning Report'!F92</f>
        <v>0</v>
      </c>
      <c r="M200" s="12">
        <f>'Early Morning Report'!G92</f>
        <v>0</v>
      </c>
      <c r="N200" s="71">
        <f t="shared" si="19"/>
        <v>0</v>
      </c>
      <c r="O200" s="2"/>
      <c r="P200" s="2"/>
      <c r="Q200" s="1"/>
      <c r="R200" s="1"/>
      <c r="S200" s="46"/>
      <c r="T200" s="49"/>
      <c r="U200" s="49"/>
      <c r="V200" s="3"/>
      <c r="W200" s="3"/>
      <c r="X200" s="3"/>
      <c r="Y200" s="2"/>
    </row>
    <row r="201" spans="1:25" ht="38.25" customHeight="1" x14ac:dyDescent="0.2">
      <c r="A201" s="9">
        <v>90</v>
      </c>
      <c r="B201" s="44">
        <f>'Early Morning Report'!A93</f>
        <v>0</v>
      </c>
      <c r="C201" s="45">
        <f>'Early Morning Report'!B93</f>
        <v>0</v>
      </c>
      <c r="D201" s="45">
        <f>'Early Morning Report'!C93</f>
        <v>0</v>
      </c>
      <c r="E201" s="9"/>
      <c r="F201" s="71">
        <f t="shared" si="17"/>
        <v>0</v>
      </c>
      <c r="G201" s="12">
        <f>'Early Morning Report'!H93</f>
        <v>0</v>
      </c>
      <c r="H201" s="12">
        <f>'Early Morning Report'!I93</f>
        <v>0</v>
      </c>
      <c r="I201" s="12">
        <f>'Early Morning Report'!J93</f>
        <v>0</v>
      </c>
      <c r="J201" s="71">
        <f t="shared" si="18"/>
        <v>0</v>
      </c>
      <c r="K201" s="12">
        <f>'Early Morning Report'!E93</f>
        <v>0</v>
      </c>
      <c r="L201" s="12">
        <f>'Early Morning Report'!F93</f>
        <v>0</v>
      </c>
      <c r="M201" s="12">
        <f>'Early Morning Report'!G93</f>
        <v>0</v>
      </c>
      <c r="N201" s="71">
        <f t="shared" si="19"/>
        <v>0</v>
      </c>
      <c r="O201" s="2"/>
      <c r="P201" s="2"/>
      <c r="Q201" s="1"/>
      <c r="R201" s="1"/>
      <c r="S201" s="46"/>
      <c r="T201" s="49"/>
      <c r="U201" s="49"/>
      <c r="V201" s="3"/>
      <c r="W201" s="3"/>
      <c r="X201" s="3"/>
      <c r="Y201" s="2"/>
    </row>
    <row r="202" spans="1:25" ht="38.25" customHeight="1" x14ac:dyDescent="0.2">
      <c r="A202" s="9">
        <v>91</v>
      </c>
      <c r="B202" s="44">
        <f>'Early Morning Report'!A94</f>
        <v>0</v>
      </c>
      <c r="C202" s="45">
        <f>'Early Morning Report'!B94</f>
        <v>0</v>
      </c>
      <c r="D202" s="45">
        <f>'Early Morning Report'!C94</f>
        <v>0</v>
      </c>
      <c r="E202" s="9"/>
      <c r="F202" s="71">
        <f t="shared" si="17"/>
        <v>0</v>
      </c>
      <c r="G202" s="12">
        <f>'Early Morning Report'!H94</f>
        <v>0</v>
      </c>
      <c r="H202" s="12">
        <f>'Early Morning Report'!I94</f>
        <v>0</v>
      </c>
      <c r="I202" s="12">
        <f>'Early Morning Report'!J94</f>
        <v>0</v>
      </c>
      <c r="J202" s="71">
        <f t="shared" si="18"/>
        <v>0</v>
      </c>
      <c r="K202" s="12">
        <f>'Early Morning Report'!E94</f>
        <v>0</v>
      </c>
      <c r="L202" s="12">
        <f>'Early Morning Report'!F94</f>
        <v>0</v>
      </c>
      <c r="M202" s="12">
        <f>'Early Morning Report'!G94</f>
        <v>0</v>
      </c>
      <c r="N202" s="71">
        <f t="shared" si="19"/>
        <v>0</v>
      </c>
      <c r="O202" s="2"/>
      <c r="P202" s="2"/>
      <c r="Q202" s="1"/>
      <c r="R202" s="1"/>
      <c r="S202" s="46"/>
      <c r="T202" s="49"/>
      <c r="U202" s="49"/>
      <c r="V202" s="3"/>
      <c r="W202" s="3"/>
      <c r="X202" s="3"/>
      <c r="Y202" s="2"/>
    </row>
    <row r="203" spans="1:25" ht="38.25" customHeight="1" x14ac:dyDescent="0.2">
      <c r="A203" s="9">
        <v>92</v>
      </c>
      <c r="B203" s="44">
        <f>'Early Morning Report'!A95</f>
        <v>0</v>
      </c>
      <c r="C203" s="45">
        <f>'Early Morning Report'!B95</f>
        <v>0</v>
      </c>
      <c r="D203" s="45">
        <f>'Early Morning Report'!C95</f>
        <v>0</v>
      </c>
      <c r="E203" s="9"/>
      <c r="F203" s="71">
        <f t="shared" si="17"/>
        <v>0</v>
      </c>
      <c r="G203" s="12">
        <f>'Early Morning Report'!H95</f>
        <v>0</v>
      </c>
      <c r="H203" s="12">
        <f>'Early Morning Report'!I95</f>
        <v>0</v>
      </c>
      <c r="I203" s="12">
        <f>'Early Morning Report'!J95</f>
        <v>0</v>
      </c>
      <c r="J203" s="71">
        <f t="shared" si="18"/>
        <v>0</v>
      </c>
      <c r="K203" s="12">
        <f>'Early Morning Report'!E95</f>
        <v>0</v>
      </c>
      <c r="L203" s="12">
        <f>'Early Morning Report'!F95</f>
        <v>0</v>
      </c>
      <c r="M203" s="12">
        <f>'Early Morning Report'!G95</f>
        <v>0</v>
      </c>
      <c r="N203" s="71">
        <f t="shared" si="19"/>
        <v>0</v>
      </c>
      <c r="O203" s="2"/>
      <c r="P203" s="2"/>
      <c r="Q203" s="1"/>
      <c r="R203" s="1"/>
      <c r="S203" s="46"/>
      <c r="T203" s="49"/>
      <c r="U203" s="49"/>
      <c r="V203" s="3"/>
      <c r="W203" s="3"/>
      <c r="X203" s="3"/>
      <c r="Y203" s="2"/>
    </row>
    <row r="204" spans="1:25" ht="38.25" customHeight="1" x14ac:dyDescent="0.2">
      <c r="A204" s="9">
        <v>93</v>
      </c>
      <c r="B204" s="44">
        <f>'Early Morning Report'!A96</f>
        <v>0</v>
      </c>
      <c r="C204" s="45">
        <f>'Early Morning Report'!B96</f>
        <v>0</v>
      </c>
      <c r="D204" s="45">
        <f>'Early Morning Report'!C96</f>
        <v>0</v>
      </c>
      <c r="E204" s="9"/>
      <c r="F204" s="71">
        <f t="shared" si="17"/>
        <v>0</v>
      </c>
      <c r="G204" s="12">
        <f>'Early Morning Report'!H96</f>
        <v>0</v>
      </c>
      <c r="H204" s="12">
        <f>'Early Morning Report'!I96</f>
        <v>0</v>
      </c>
      <c r="I204" s="12">
        <f>'Early Morning Report'!J96</f>
        <v>0</v>
      </c>
      <c r="J204" s="71">
        <f t="shared" si="18"/>
        <v>0</v>
      </c>
      <c r="K204" s="12">
        <f>'Early Morning Report'!E96</f>
        <v>0</v>
      </c>
      <c r="L204" s="12">
        <f>'Early Morning Report'!F96</f>
        <v>0</v>
      </c>
      <c r="M204" s="12">
        <f>'Early Morning Report'!G96</f>
        <v>0</v>
      </c>
      <c r="N204" s="71">
        <f t="shared" si="19"/>
        <v>0</v>
      </c>
      <c r="O204" s="2"/>
      <c r="P204" s="2"/>
      <c r="Q204" s="1"/>
      <c r="R204" s="1"/>
      <c r="S204" s="46"/>
      <c r="T204" s="49"/>
      <c r="U204" s="49"/>
      <c r="V204" s="3"/>
      <c r="W204" s="3"/>
      <c r="X204" s="3"/>
      <c r="Y204" s="2"/>
    </row>
    <row r="205" spans="1:25" ht="38.25" customHeight="1" x14ac:dyDescent="0.2">
      <c r="A205" s="9">
        <v>94</v>
      </c>
      <c r="B205" s="44">
        <f>'Early Morning Report'!A97</f>
        <v>0</v>
      </c>
      <c r="C205" s="45">
        <f>'Early Morning Report'!B97</f>
        <v>0</v>
      </c>
      <c r="D205" s="45">
        <f>'Early Morning Report'!C97</f>
        <v>0</v>
      </c>
      <c r="E205" s="9"/>
      <c r="F205" s="71">
        <f t="shared" si="17"/>
        <v>0</v>
      </c>
      <c r="G205" s="12">
        <f>'Early Morning Report'!H97</f>
        <v>0</v>
      </c>
      <c r="H205" s="12">
        <f>'Early Morning Report'!I97</f>
        <v>0</v>
      </c>
      <c r="I205" s="12">
        <f>'Early Morning Report'!J97</f>
        <v>0</v>
      </c>
      <c r="J205" s="71">
        <f t="shared" si="18"/>
        <v>0</v>
      </c>
      <c r="K205" s="12">
        <f>'Early Morning Report'!E97</f>
        <v>0</v>
      </c>
      <c r="L205" s="12">
        <f>'Early Morning Report'!F97</f>
        <v>0</v>
      </c>
      <c r="M205" s="12">
        <f>'Early Morning Report'!G97</f>
        <v>0</v>
      </c>
      <c r="N205" s="71">
        <f t="shared" si="19"/>
        <v>0</v>
      </c>
      <c r="O205" s="2"/>
      <c r="P205" s="2"/>
      <c r="Q205" s="1"/>
      <c r="R205" s="1"/>
      <c r="S205" s="46"/>
      <c r="T205" s="49"/>
      <c r="U205" s="49"/>
      <c r="V205" s="3"/>
      <c r="W205" s="3"/>
      <c r="X205" s="3"/>
      <c r="Y205" s="2"/>
    </row>
    <row r="206" spans="1:25" ht="38.25" customHeight="1" x14ac:dyDescent="0.2">
      <c r="A206" s="9">
        <v>95</v>
      </c>
      <c r="B206" s="44">
        <f>'Early Morning Report'!A98</f>
        <v>0</v>
      </c>
      <c r="C206" s="45">
        <f>'Early Morning Report'!B98</f>
        <v>0</v>
      </c>
      <c r="D206" s="45">
        <f>'Early Morning Report'!C98</f>
        <v>0</v>
      </c>
      <c r="E206" s="9"/>
      <c r="F206" s="71">
        <f t="shared" si="17"/>
        <v>0</v>
      </c>
      <c r="G206" s="12">
        <f>'Early Morning Report'!H98</f>
        <v>0</v>
      </c>
      <c r="H206" s="12">
        <f>'Early Morning Report'!I98</f>
        <v>0</v>
      </c>
      <c r="I206" s="12">
        <f>'Early Morning Report'!J98</f>
        <v>0</v>
      </c>
      <c r="J206" s="71">
        <f t="shared" si="18"/>
        <v>0</v>
      </c>
      <c r="K206" s="12">
        <f>'Early Morning Report'!E98</f>
        <v>0</v>
      </c>
      <c r="L206" s="12">
        <f>'Early Morning Report'!F98</f>
        <v>0</v>
      </c>
      <c r="M206" s="12">
        <f>'Early Morning Report'!G98</f>
        <v>0</v>
      </c>
      <c r="N206" s="71">
        <f t="shared" si="19"/>
        <v>0</v>
      </c>
      <c r="O206" s="2"/>
      <c r="P206" s="2"/>
      <c r="Q206" s="1"/>
      <c r="R206" s="1"/>
      <c r="S206" s="46"/>
      <c r="T206" s="49"/>
      <c r="U206" s="49"/>
      <c r="V206" s="3"/>
      <c r="W206" s="3"/>
      <c r="X206" s="3"/>
      <c r="Y206" s="2"/>
    </row>
    <row r="207" spans="1:25" ht="38.25" customHeight="1" x14ac:dyDescent="0.2">
      <c r="A207" s="9">
        <v>96</v>
      </c>
      <c r="B207" s="44">
        <f>'Early Morning Report'!A99</f>
        <v>0</v>
      </c>
      <c r="C207" s="45">
        <f>'Early Morning Report'!B99</f>
        <v>0</v>
      </c>
      <c r="D207" s="45">
        <f>'Early Morning Report'!C99</f>
        <v>0</v>
      </c>
      <c r="E207" s="9"/>
      <c r="F207" s="71">
        <f t="shared" si="17"/>
        <v>0</v>
      </c>
      <c r="G207" s="12">
        <f>'Early Morning Report'!H99</f>
        <v>0</v>
      </c>
      <c r="H207" s="12">
        <f>'Early Morning Report'!I99</f>
        <v>0</v>
      </c>
      <c r="I207" s="12">
        <f>'Early Morning Report'!J99</f>
        <v>0</v>
      </c>
      <c r="J207" s="71">
        <f t="shared" si="18"/>
        <v>0</v>
      </c>
      <c r="K207" s="12">
        <f>'Early Morning Report'!E99</f>
        <v>0</v>
      </c>
      <c r="L207" s="12">
        <f>'Early Morning Report'!F99</f>
        <v>0</v>
      </c>
      <c r="M207" s="12">
        <f>'Early Morning Report'!G99</f>
        <v>0</v>
      </c>
      <c r="N207" s="71">
        <f t="shared" si="19"/>
        <v>0</v>
      </c>
      <c r="O207" s="2"/>
      <c r="P207" s="2"/>
      <c r="Q207" s="1"/>
      <c r="R207" s="1"/>
      <c r="S207" s="46"/>
      <c r="T207" s="49"/>
      <c r="U207" s="49"/>
      <c r="V207" s="3"/>
      <c r="W207" s="3"/>
      <c r="X207" s="3"/>
      <c r="Y207" s="2"/>
    </row>
    <row r="208" spans="1:25" ht="38.25" customHeight="1" x14ac:dyDescent="0.2">
      <c r="A208" s="9">
        <v>97</v>
      </c>
      <c r="B208" s="44">
        <f>'Early Morning Report'!A100</f>
        <v>0</v>
      </c>
      <c r="C208" s="45">
        <f>'Early Morning Report'!B100</f>
        <v>0</v>
      </c>
      <c r="D208" s="45">
        <f>'Early Morning Report'!C100</f>
        <v>0</v>
      </c>
      <c r="E208" s="9"/>
      <c r="F208" s="71">
        <f t="shared" si="17"/>
        <v>0</v>
      </c>
      <c r="G208" s="12">
        <f>'Early Morning Report'!H100</f>
        <v>0</v>
      </c>
      <c r="H208" s="12">
        <f>'Early Morning Report'!I100</f>
        <v>0</v>
      </c>
      <c r="I208" s="12">
        <f>'Early Morning Report'!J100</f>
        <v>0</v>
      </c>
      <c r="J208" s="71">
        <f t="shared" si="18"/>
        <v>0</v>
      </c>
      <c r="K208" s="12">
        <f>'Early Morning Report'!E100</f>
        <v>0</v>
      </c>
      <c r="L208" s="12">
        <f>'Early Morning Report'!F100</f>
        <v>0</v>
      </c>
      <c r="M208" s="12">
        <f>'Early Morning Report'!G100</f>
        <v>0</v>
      </c>
      <c r="N208" s="71">
        <f t="shared" si="19"/>
        <v>0</v>
      </c>
      <c r="O208" s="2"/>
      <c r="P208" s="2"/>
      <c r="Q208" s="1"/>
      <c r="R208" s="1"/>
      <c r="S208" s="46"/>
      <c r="T208" s="49"/>
      <c r="U208" s="49"/>
      <c r="V208" s="3"/>
      <c r="W208" s="3"/>
      <c r="X208" s="3"/>
      <c r="Y208" s="2"/>
    </row>
    <row r="209" spans="1:25" ht="38.25" customHeight="1" x14ac:dyDescent="0.2">
      <c r="A209" s="9">
        <v>98</v>
      </c>
      <c r="B209" s="44">
        <f>'Early Morning Report'!A101</f>
        <v>0</v>
      </c>
      <c r="C209" s="45">
        <f>'Early Morning Report'!B101</f>
        <v>0</v>
      </c>
      <c r="D209" s="45">
        <f>'Early Morning Report'!C101</f>
        <v>0</v>
      </c>
      <c r="E209" s="9"/>
      <c r="F209" s="71">
        <f t="shared" si="17"/>
        <v>0</v>
      </c>
      <c r="G209" s="12">
        <f>'Early Morning Report'!H101</f>
        <v>0</v>
      </c>
      <c r="H209" s="12">
        <f>'Early Morning Report'!I101</f>
        <v>0</v>
      </c>
      <c r="I209" s="12">
        <f>'Early Morning Report'!J101</f>
        <v>0</v>
      </c>
      <c r="J209" s="71">
        <f t="shared" si="18"/>
        <v>0</v>
      </c>
      <c r="K209" s="12">
        <f>'Early Morning Report'!E101</f>
        <v>0</v>
      </c>
      <c r="L209" s="12">
        <f>'Early Morning Report'!F101</f>
        <v>0</v>
      </c>
      <c r="M209" s="12">
        <f>'Early Morning Report'!G101</f>
        <v>0</v>
      </c>
      <c r="N209" s="71">
        <f t="shared" si="19"/>
        <v>0</v>
      </c>
      <c r="O209" s="2"/>
      <c r="P209" s="2"/>
      <c r="Q209" s="1"/>
      <c r="R209" s="1"/>
      <c r="S209" s="46"/>
      <c r="T209" s="49"/>
      <c r="U209" s="49"/>
      <c r="V209" s="3"/>
      <c r="W209" s="3"/>
      <c r="X209" s="3"/>
      <c r="Y209" s="2"/>
    </row>
    <row r="210" spans="1:25" ht="38.25" customHeight="1" x14ac:dyDescent="0.2">
      <c r="A210" s="9">
        <v>99</v>
      </c>
      <c r="B210" s="44">
        <f>'Early Morning Report'!A102</f>
        <v>0</v>
      </c>
      <c r="C210" s="45">
        <f>'Early Morning Report'!B102</f>
        <v>0</v>
      </c>
      <c r="D210" s="45">
        <f>'Early Morning Report'!C102</f>
        <v>0</v>
      </c>
      <c r="E210" s="9"/>
      <c r="F210" s="71">
        <f t="shared" si="17"/>
        <v>0</v>
      </c>
      <c r="G210" s="12">
        <f>'Early Morning Report'!H102</f>
        <v>0</v>
      </c>
      <c r="H210" s="12">
        <f>'Early Morning Report'!I102</f>
        <v>0</v>
      </c>
      <c r="I210" s="12">
        <f>'Early Morning Report'!J102</f>
        <v>0</v>
      </c>
      <c r="J210" s="71">
        <f t="shared" si="18"/>
        <v>0</v>
      </c>
      <c r="K210" s="12">
        <f>'Early Morning Report'!E102</f>
        <v>0</v>
      </c>
      <c r="L210" s="12">
        <f>'Early Morning Report'!F102</f>
        <v>0</v>
      </c>
      <c r="M210" s="12">
        <f>'Early Morning Report'!G102</f>
        <v>0</v>
      </c>
      <c r="N210" s="71">
        <f t="shared" si="19"/>
        <v>0</v>
      </c>
      <c r="O210" s="2"/>
      <c r="P210" s="2"/>
      <c r="Q210" s="1"/>
      <c r="R210" s="1"/>
      <c r="S210" s="46"/>
      <c r="T210" s="49"/>
      <c r="U210" s="49"/>
      <c r="V210" s="3"/>
      <c r="W210" s="3"/>
      <c r="X210" s="3"/>
      <c r="Y210" s="2"/>
    </row>
    <row r="211" spans="1:25" ht="38.25" customHeight="1" x14ac:dyDescent="0.2">
      <c r="A211" s="9">
        <v>100</v>
      </c>
      <c r="B211" s="44">
        <f>'Early Morning Report'!A103</f>
        <v>0</v>
      </c>
      <c r="C211" s="45">
        <f>'Early Morning Report'!B103</f>
        <v>0</v>
      </c>
      <c r="D211" s="45">
        <f>'Early Morning Report'!C103</f>
        <v>0</v>
      </c>
      <c r="E211" s="9"/>
      <c r="F211" s="71">
        <f t="shared" si="17"/>
        <v>0</v>
      </c>
      <c r="G211" s="12">
        <f>'Early Morning Report'!H103</f>
        <v>0</v>
      </c>
      <c r="H211" s="12">
        <f>'Early Morning Report'!I103</f>
        <v>0</v>
      </c>
      <c r="I211" s="12">
        <f>'Early Morning Report'!J103</f>
        <v>0</v>
      </c>
      <c r="J211" s="71">
        <f t="shared" si="18"/>
        <v>0</v>
      </c>
      <c r="K211" s="12">
        <f>'Early Morning Report'!E103</f>
        <v>0</v>
      </c>
      <c r="L211" s="12">
        <f>'Early Morning Report'!F103</f>
        <v>0</v>
      </c>
      <c r="M211" s="12">
        <f>'Early Morning Report'!G103</f>
        <v>0</v>
      </c>
      <c r="N211" s="71">
        <f t="shared" si="19"/>
        <v>0</v>
      </c>
      <c r="O211" s="2"/>
      <c r="P211" s="2"/>
      <c r="Q211" s="1"/>
      <c r="R211" s="1"/>
      <c r="S211" s="46"/>
      <c r="T211" s="49"/>
      <c r="U211" s="49"/>
      <c r="V211" s="3"/>
      <c r="W211" s="3"/>
      <c r="X211" s="3"/>
      <c r="Y211" s="2"/>
    </row>
    <row r="212" spans="1:25" ht="38.25" customHeight="1" x14ac:dyDescent="0.2">
      <c r="A212" s="9">
        <v>101</v>
      </c>
      <c r="B212" s="44">
        <f>'Early Morning Report'!A104</f>
        <v>0</v>
      </c>
      <c r="C212" s="45">
        <f>'Early Morning Report'!B104</f>
        <v>0</v>
      </c>
      <c r="D212" s="45">
        <f>'Early Morning Report'!C104</f>
        <v>0</v>
      </c>
      <c r="E212" s="9"/>
      <c r="F212" s="71">
        <f t="shared" si="17"/>
        <v>0</v>
      </c>
      <c r="G212" s="12">
        <f>'Early Morning Report'!H104</f>
        <v>0</v>
      </c>
      <c r="H212" s="12">
        <f>'Early Morning Report'!I104</f>
        <v>0</v>
      </c>
      <c r="I212" s="12">
        <f>'Early Morning Report'!J104</f>
        <v>0</v>
      </c>
      <c r="J212" s="71">
        <f t="shared" si="18"/>
        <v>0</v>
      </c>
      <c r="K212" s="12">
        <f>'Early Morning Report'!E104</f>
        <v>0</v>
      </c>
      <c r="L212" s="12">
        <f>'Early Morning Report'!F104</f>
        <v>0</v>
      </c>
      <c r="M212" s="12">
        <f>'Early Morning Report'!G104</f>
        <v>0</v>
      </c>
      <c r="N212" s="71">
        <f t="shared" si="19"/>
        <v>0</v>
      </c>
      <c r="O212" s="2"/>
      <c r="P212" s="2"/>
      <c r="Q212" s="1"/>
      <c r="R212" s="1"/>
      <c r="S212" s="46"/>
      <c r="T212" s="49"/>
      <c r="U212" s="49"/>
      <c r="V212" s="3"/>
      <c r="W212" s="3"/>
      <c r="X212" s="3"/>
      <c r="Y212" s="2"/>
    </row>
    <row r="213" spans="1:25" ht="38.25" customHeight="1" x14ac:dyDescent="0.2">
      <c r="A213" s="421" t="s">
        <v>142</v>
      </c>
      <c r="B213" s="421"/>
      <c r="C213" s="421"/>
      <c r="D213" s="421"/>
      <c r="E213" s="421"/>
      <c r="F213" s="421"/>
      <c r="G213" s="421"/>
      <c r="H213" s="421"/>
      <c r="I213" s="421"/>
      <c r="J213" s="421"/>
      <c r="K213" s="421"/>
      <c r="L213" s="421"/>
      <c r="M213" s="421"/>
      <c r="N213" s="421"/>
      <c r="O213" s="2"/>
      <c r="P213" s="2"/>
      <c r="Q213" s="1"/>
      <c r="R213" s="1"/>
      <c r="S213" s="46"/>
      <c r="T213" s="49"/>
      <c r="U213" s="49"/>
      <c r="V213" s="3"/>
      <c r="W213" s="3"/>
      <c r="X213" s="3"/>
      <c r="Y213" s="2"/>
    </row>
    <row r="214" spans="1:25" ht="38.25" customHeight="1" x14ac:dyDescent="0.2">
      <c r="A214" s="9">
        <v>1</v>
      </c>
      <c r="B214" s="44" t="str">
        <f>'Adv Report'!A4</f>
        <v>0572</v>
      </c>
      <c r="C214" s="9"/>
      <c r="D214" s="9"/>
      <c r="E214" s="9"/>
      <c r="F214" s="71">
        <f>J214+N214</f>
        <v>2</v>
      </c>
      <c r="G214" s="12">
        <f>'Adv Report'!F4</f>
        <v>2</v>
      </c>
      <c r="H214" s="12">
        <f>'Adv Report'!G4</f>
        <v>0</v>
      </c>
      <c r="I214" s="12">
        <f>'Adv Report'!H4</f>
        <v>0</v>
      </c>
      <c r="J214" s="71">
        <f t="shared" ref="J214:J254" si="20">G214+H214+I214</f>
        <v>2</v>
      </c>
      <c r="K214" s="12">
        <f>'Adv Report'!C4</f>
        <v>0</v>
      </c>
      <c r="L214" s="12">
        <f>'Adv Report'!D4</f>
        <v>0</v>
      </c>
      <c r="M214" s="12">
        <f>'Adv Report'!E4</f>
        <v>0</v>
      </c>
      <c r="N214" s="71">
        <f t="shared" ref="N214:N254" si="21">K214+L214+M214</f>
        <v>0</v>
      </c>
      <c r="O214" s="2"/>
      <c r="P214" s="2"/>
      <c r="Q214" s="1"/>
      <c r="R214" s="1"/>
      <c r="S214" s="46"/>
      <c r="T214" s="49"/>
      <c r="U214" s="49"/>
      <c r="V214" s="3"/>
      <c r="W214" s="3"/>
      <c r="X214" s="3"/>
      <c r="Y214" s="2"/>
    </row>
    <row r="215" spans="1:25" ht="38.25" customHeight="1" x14ac:dyDescent="0.2">
      <c r="A215" s="9">
        <v>2</v>
      </c>
      <c r="B215" s="44" t="str">
        <f>'Adv Report'!A5</f>
        <v>0502</v>
      </c>
      <c r="C215" s="9"/>
      <c r="D215" s="9"/>
      <c r="E215" s="9"/>
      <c r="F215" s="71">
        <f t="shared" ref="F215:F297" si="22">J215+N215</f>
        <v>3</v>
      </c>
      <c r="G215" s="12">
        <f>'Adv Report'!F5</f>
        <v>2</v>
      </c>
      <c r="H215" s="12">
        <f>'Adv Report'!G5</f>
        <v>1</v>
      </c>
      <c r="I215" s="12">
        <f>'Adv Report'!H5</f>
        <v>0</v>
      </c>
      <c r="J215" s="71">
        <f t="shared" si="20"/>
        <v>3</v>
      </c>
      <c r="K215" s="12">
        <f>'Adv Report'!C5</f>
        <v>0</v>
      </c>
      <c r="L215" s="12">
        <f>'Adv Report'!D5</f>
        <v>0</v>
      </c>
      <c r="M215" s="12">
        <f>'Adv Report'!E5</f>
        <v>0</v>
      </c>
      <c r="N215" s="71">
        <f t="shared" si="21"/>
        <v>0</v>
      </c>
      <c r="O215" s="2"/>
      <c r="P215" s="2"/>
      <c r="Q215" s="1"/>
      <c r="R215" s="1"/>
      <c r="S215" s="46"/>
      <c r="T215" s="49"/>
      <c r="U215" s="49"/>
      <c r="V215" s="3"/>
      <c r="W215" s="3"/>
      <c r="X215" s="3"/>
      <c r="Y215" s="2"/>
    </row>
    <row r="216" spans="1:25" ht="38.25" customHeight="1" x14ac:dyDescent="0.2">
      <c r="A216" s="9">
        <v>3</v>
      </c>
      <c r="B216" s="44" t="str">
        <f>'Adv Report'!A6</f>
        <v>0566</v>
      </c>
      <c r="C216" s="9"/>
      <c r="D216" s="9"/>
      <c r="E216" s="9"/>
      <c r="F216" s="71">
        <f t="shared" si="22"/>
        <v>7</v>
      </c>
      <c r="G216" s="12">
        <f>'Adv Report'!F6</f>
        <v>6</v>
      </c>
      <c r="H216" s="12">
        <f>'Adv Report'!G6</f>
        <v>1</v>
      </c>
      <c r="I216" s="12">
        <f>'Adv Report'!H6</f>
        <v>0</v>
      </c>
      <c r="J216" s="71">
        <f t="shared" si="20"/>
        <v>7</v>
      </c>
      <c r="K216" s="12">
        <f>'Adv Report'!C6</f>
        <v>0</v>
      </c>
      <c r="L216" s="12">
        <f>'Adv Report'!D6</f>
        <v>0</v>
      </c>
      <c r="M216" s="12">
        <f>'Adv Report'!E6</f>
        <v>0</v>
      </c>
      <c r="N216" s="71">
        <f t="shared" si="21"/>
        <v>0</v>
      </c>
      <c r="O216" s="2"/>
      <c r="P216" s="2"/>
      <c r="Q216" s="1"/>
      <c r="R216" s="1"/>
      <c r="S216" s="46"/>
      <c r="T216" s="49"/>
      <c r="U216" s="49"/>
      <c r="V216" s="3"/>
      <c r="W216" s="3"/>
      <c r="X216" s="3"/>
      <c r="Y216" s="2"/>
    </row>
    <row r="217" spans="1:25" ht="38.25" customHeight="1" x14ac:dyDescent="0.2">
      <c r="A217" s="9">
        <v>4</v>
      </c>
      <c r="B217" s="44" t="str">
        <f>'Adv Report'!A7</f>
        <v>0041</v>
      </c>
      <c r="C217" s="9"/>
      <c r="D217" s="9"/>
      <c r="E217" s="9"/>
      <c r="F217" s="71">
        <f t="shared" si="22"/>
        <v>8</v>
      </c>
      <c r="G217" s="12">
        <f>'Adv Report'!F7</f>
        <v>4</v>
      </c>
      <c r="H217" s="12">
        <f>'Adv Report'!G7</f>
        <v>1</v>
      </c>
      <c r="I217" s="12">
        <f>'Adv Report'!H7</f>
        <v>1</v>
      </c>
      <c r="J217" s="71">
        <f t="shared" si="20"/>
        <v>6</v>
      </c>
      <c r="K217" s="12">
        <f>'Adv Report'!C7</f>
        <v>2</v>
      </c>
      <c r="L217" s="12">
        <f>'Adv Report'!D7</f>
        <v>0</v>
      </c>
      <c r="M217" s="12">
        <f>'Adv Report'!E7</f>
        <v>0</v>
      </c>
      <c r="N217" s="71">
        <f t="shared" si="21"/>
        <v>2</v>
      </c>
      <c r="O217" s="2"/>
      <c r="P217" s="2"/>
      <c r="Q217" s="1"/>
      <c r="R217" s="1"/>
      <c r="S217" s="46"/>
      <c r="T217" s="49"/>
      <c r="U217" s="49"/>
      <c r="V217" s="3"/>
      <c r="W217" s="3"/>
      <c r="X217" s="3"/>
      <c r="Y217" s="2"/>
    </row>
    <row r="218" spans="1:25" ht="38.25" customHeight="1" x14ac:dyDescent="0.2">
      <c r="A218" s="9">
        <v>5</v>
      </c>
      <c r="B218" s="44" t="str">
        <f>'Adv Report'!A8</f>
        <v>0187</v>
      </c>
      <c r="C218" s="9"/>
      <c r="D218" s="9"/>
      <c r="E218" s="9"/>
      <c r="F218" s="71">
        <f t="shared" si="22"/>
        <v>15</v>
      </c>
      <c r="G218" s="12">
        <f>'Adv Report'!F8</f>
        <v>8</v>
      </c>
      <c r="H218" s="12">
        <f>'Adv Report'!G8</f>
        <v>0</v>
      </c>
      <c r="I218" s="12">
        <f>'Adv Report'!H8</f>
        <v>4</v>
      </c>
      <c r="J218" s="71">
        <f t="shared" si="20"/>
        <v>12</v>
      </c>
      <c r="K218" s="12">
        <f>'Adv Report'!C8</f>
        <v>3</v>
      </c>
      <c r="L218" s="12">
        <f>'Adv Report'!D8</f>
        <v>0</v>
      </c>
      <c r="M218" s="12">
        <f>'Adv Report'!E8</f>
        <v>0</v>
      </c>
      <c r="N218" s="71">
        <f t="shared" si="21"/>
        <v>3</v>
      </c>
      <c r="O218" s="2"/>
      <c r="P218" s="2"/>
      <c r="Q218" s="1"/>
      <c r="R218" s="1"/>
      <c r="S218" s="46"/>
      <c r="T218" s="49"/>
      <c r="U218" s="49"/>
      <c r="V218" s="3"/>
      <c r="W218" s="3"/>
      <c r="X218" s="3"/>
      <c r="Y218" s="2"/>
    </row>
    <row r="219" spans="1:25" ht="38.25" customHeight="1" x14ac:dyDescent="0.2">
      <c r="A219" s="9">
        <v>6</v>
      </c>
      <c r="B219" s="44" t="str">
        <f>'Adv Report'!A9</f>
        <v>0809</v>
      </c>
      <c r="C219" s="9"/>
      <c r="D219" s="9"/>
      <c r="E219" s="9"/>
      <c r="F219" s="71">
        <f t="shared" si="22"/>
        <v>5</v>
      </c>
      <c r="G219" s="12">
        <f>'Adv Report'!F9</f>
        <v>5</v>
      </c>
      <c r="H219" s="12">
        <f>'Adv Report'!G9</f>
        <v>0</v>
      </c>
      <c r="I219" s="12">
        <f>'Adv Report'!H9</f>
        <v>0</v>
      </c>
      <c r="J219" s="71">
        <f t="shared" si="20"/>
        <v>5</v>
      </c>
      <c r="K219" s="12">
        <f>'Adv Report'!C9</f>
        <v>0</v>
      </c>
      <c r="L219" s="12">
        <f>'Adv Report'!D9</f>
        <v>0</v>
      </c>
      <c r="M219" s="12">
        <f>'Adv Report'!E9</f>
        <v>0</v>
      </c>
      <c r="N219" s="71">
        <f t="shared" si="21"/>
        <v>0</v>
      </c>
      <c r="O219" s="2"/>
      <c r="P219" s="2"/>
      <c r="Q219" s="1"/>
      <c r="R219" s="1"/>
      <c r="S219" s="46"/>
      <c r="T219" s="49"/>
      <c r="U219" s="49"/>
      <c r="V219" s="3"/>
      <c r="W219" s="3"/>
      <c r="X219" s="3"/>
      <c r="Y219" s="2"/>
    </row>
    <row r="220" spans="1:25" ht="38.25" customHeight="1" x14ac:dyDescent="0.2">
      <c r="A220" s="9">
        <v>7</v>
      </c>
      <c r="B220" s="44" t="str">
        <f>'Adv Report'!A10</f>
        <v>0121</v>
      </c>
      <c r="C220" s="9"/>
      <c r="D220" s="9"/>
      <c r="E220" s="9"/>
      <c r="F220" s="71">
        <f t="shared" si="22"/>
        <v>1</v>
      </c>
      <c r="G220" s="12">
        <f>'Adv Report'!F10</f>
        <v>1</v>
      </c>
      <c r="H220" s="12">
        <f>'Adv Report'!G10</f>
        <v>0</v>
      </c>
      <c r="I220" s="12">
        <f>'Adv Report'!H10</f>
        <v>0</v>
      </c>
      <c r="J220" s="71">
        <f t="shared" si="20"/>
        <v>1</v>
      </c>
      <c r="K220" s="12">
        <f>'Adv Report'!C10</f>
        <v>0</v>
      </c>
      <c r="L220" s="12">
        <f>'Adv Report'!D10</f>
        <v>0</v>
      </c>
      <c r="M220" s="12">
        <f>'Adv Report'!E10</f>
        <v>0</v>
      </c>
      <c r="N220" s="71">
        <f t="shared" si="21"/>
        <v>0</v>
      </c>
      <c r="O220" s="2"/>
      <c r="P220" s="2"/>
      <c r="Q220" s="1"/>
      <c r="R220" s="1"/>
      <c r="S220" s="46"/>
      <c r="T220" s="49"/>
      <c r="U220" s="49"/>
      <c r="V220" s="3"/>
      <c r="W220" s="3"/>
      <c r="X220" s="3"/>
      <c r="Y220" s="2"/>
    </row>
    <row r="221" spans="1:25" ht="38.25" customHeight="1" x14ac:dyDescent="0.2">
      <c r="A221" s="9">
        <v>8</v>
      </c>
      <c r="B221" s="44" t="str">
        <f>'Adv Report'!A11</f>
        <v>0009</v>
      </c>
      <c r="C221" s="9"/>
      <c r="D221" s="9"/>
      <c r="E221" s="9"/>
      <c r="F221" s="71">
        <f t="shared" si="22"/>
        <v>5</v>
      </c>
      <c r="G221" s="12">
        <f>'Adv Report'!F11</f>
        <v>3</v>
      </c>
      <c r="H221" s="12">
        <f>'Adv Report'!G11</f>
        <v>1</v>
      </c>
      <c r="I221" s="12">
        <f>'Adv Report'!H11</f>
        <v>1</v>
      </c>
      <c r="J221" s="71">
        <f t="shared" si="20"/>
        <v>5</v>
      </c>
      <c r="K221" s="12">
        <f>'Adv Report'!C11</f>
        <v>0</v>
      </c>
      <c r="L221" s="12">
        <f>'Adv Report'!D11</f>
        <v>0</v>
      </c>
      <c r="M221" s="12">
        <f>'Adv Report'!E11</f>
        <v>0</v>
      </c>
      <c r="N221" s="71">
        <f t="shared" si="21"/>
        <v>0</v>
      </c>
      <c r="O221" s="2"/>
      <c r="P221" s="2"/>
      <c r="Q221" s="1"/>
      <c r="R221" s="1"/>
      <c r="S221" s="46"/>
      <c r="T221" s="49"/>
      <c r="U221" s="49"/>
      <c r="V221" s="3"/>
      <c r="W221" s="3"/>
      <c r="X221" s="3"/>
      <c r="Y221" s="2"/>
    </row>
    <row r="222" spans="1:25" ht="38.25" customHeight="1" x14ac:dyDescent="0.2">
      <c r="A222" s="9">
        <v>9</v>
      </c>
      <c r="B222" s="44" t="str">
        <f>'Adv Report'!A12</f>
        <v>0765</v>
      </c>
      <c r="C222" s="9"/>
      <c r="D222" s="9"/>
      <c r="E222" s="9"/>
      <c r="F222" s="71">
        <f t="shared" si="22"/>
        <v>8</v>
      </c>
      <c r="G222" s="12">
        <f>'Adv Report'!F12</f>
        <v>4</v>
      </c>
      <c r="H222" s="12">
        <f>'Adv Report'!G12</f>
        <v>2</v>
      </c>
      <c r="I222" s="12">
        <f>'Adv Report'!H12</f>
        <v>2</v>
      </c>
      <c r="J222" s="71">
        <f t="shared" si="20"/>
        <v>8</v>
      </c>
      <c r="K222" s="12">
        <f>'Adv Report'!C12</f>
        <v>0</v>
      </c>
      <c r="L222" s="12">
        <f>'Adv Report'!D12</f>
        <v>0</v>
      </c>
      <c r="M222" s="12">
        <f>'Adv Report'!E12</f>
        <v>0</v>
      </c>
      <c r="N222" s="71">
        <f t="shared" si="21"/>
        <v>0</v>
      </c>
      <c r="O222" s="2"/>
      <c r="P222" s="2"/>
      <c r="Q222" s="1"/>
      <c r="R222" s="1"/>
      <c r="S222" s="46"/>
      <c r="T222" s="49"/>
      <c r="U222" s="49"/>
      <c r="V222" s="3"/>
      <c r="W222" s="3"/>
      <c r="X222" s="3"/>
      <c r="Y222" s="2"/>
    </row>
    <row r="223" spans="1:25" ht="38.25" customHeight="1" x14ac:dyDescent="0.2">
      <c r="A223" s="9">
        <v>10</v>
      </c>
      <c r="B223" s="44" t="str">
        <f>'Adv Report'!A13</f>
        <v>0067</v>
      </c>
      <c r="C223" s="9"/>
      <c r="D223" s="9"/>
      <c r="E223" s="9"/>
      <c r="F223" s="71">
        <f t="shared" si="22"/>
        <v>3</v>
      </c>
      <c r="G223" s="12">
        <f>'Adv Report'!F13</f>
        <v>1</v>
      </c>
      <c r="H223" s="12">
        <f>'Adv Report'!G13</f>
        <v>0</v>
      </c>
      <c r="I223" s="12">
        <f>'Adv Report'!H13</f>
        <v>0</v>
      </c>
      <c r="J223" s="71">
        <f t="shared" si="20"/>
        <v>1</v>
      </c>
      <c r="K223" s="12">
        <f>'Adv Report'!C13</f>
        <v>2</v>
      </c>
      <c r="L223" s="12">
        <f>'Adv Report'!D13</f>
        <v>0</v>
      </c>
      <c r="M223" s="12">
        <f>'Adv Report'!E13</f>
        <v>0</v>
      </c>
      <c r="N223" s="71">
        <f t="shared" si="21"/>
        <v>2</v>
      </c>
      <c r="O223" s="2"/>
      <c r="P223" s="2"/>
      <c r="Q223" s="1"/>
      <c r="R223" s="1"/>
      <c r="S223" s="46"/>
      <c r="T223" s="49"/>
      <c r="U223" s="49"/>
      <c r="V223" s="3"/>
      <c r="W223" s="3"/>
      <c r="X223" s="3"/>
      <c r="Y223" s="2"/>
    </row>
    <row r="224" spans="1:25" ht="38.25" customHeight="1" x14ac:dyDescent="0.2">
      <c r="A224" s="9">
        <v>11</v>
      </c>
      <c r="B224" s="44" t="str">
        <f>'Adv Report'!A14</f>
        <v>0003</v>
      </c>
      <c r="C224" s="9"/>
      <c r="D224" s="9"/>
      <c r="E224" s="9"/>
      <c r="F224" s="71">
        <f t="shared" si="22"/>
        <v>4</v>
      </c>
      <c r="G224" s="12">
        <f>'Adv Report'!F14</f>
        <v>4</v>
      </c>
      <c r="H224" s="12">
        <f>'Adv Report'!G14</f>
        <v>0</v>
      </c>
      <c r="I224" s="12">
        <f>'Adv Report'!H14</f>
        <v>0</v>
      </c>
      <c r="J224" s="71">
        <f t="shared" si="20"/>
        <v>4</v>
      </c>
      <c r="K224" s="12">
        <f>'Adv Report'!C14</f>
        <v>0</v>
      </c>
      <c r="L224" s="12">
        <f>'Adv Report'!D14</f>
        <v>0</v>
      </c>
      <c r="M224" s="12">
        <f>'Adv Report'!E14</f>
        <v>0</v>
      </c>
      <c r="N224" s="71">
        <f t="shared" si="21"/>
        <v>0</v>
      </c>
      <c r="O224" s="2"/>
      <c r="P224" s="2"/>
      <c r="Q224" s="1"/>
      <c r="R224" s="1"/>
      <c r="S224" s="46"/>
      <c r="T224" s="49"/>
      <c r="U224" s="49"/>
      <c r="V224" s="3"/>
      <c r="W224" s="3"/>
      <c r="X224" s="3"/>
      <c r="Y224" s="2"/>
    </row>
    <row r="225" spans="1:25" ht="38.25" customHeight="1" x14ac:dyDescent="0.2">
      <c r="A225" s="9">
        <v>12</v>
      </c>
      <c r="B225" s="44" t="str">
        <f>'Adv Report'!A15</f>
        <v>0903</v>
      </c>
      <c r="C225" s="9"/>
      <c r="D225" s="9"/>
      <c r="E225" s="9"/>
      <c r="F225" s="71">
        <f t="shared" si="22"/>
        <v>6</v>
      </c>
      <c r="G225" s="12">
        <f>'Adv Report'!F15</f>
        <v>2</v>
      </c>
      <c r="H225" s="12">
        <f>'Adv Report'!G15</f>
        <v>1</v>
      </c>
      <c r="I225" s="12">
        <f>'Adv Report'!H15</f>
        <v>3</v>
      </c>
      <c r="J225" s="71">
        <f t="shared" si="20"/>
        <v>6</v>
      </c>
      <c r="K225" s="12">
        <f>'Adv Report'!C15</f>
        <v>0</v>
      </c>
      <c r="L225" s="12">
        <f>'Adv Report'!D15</f>
        <v>0</v>
      </c>
      <c r="M225" s="12">
        <f>'Adv Report'!E15</f>
        <v>0</v>
      </c>
      <c r="N225" s="71">
        <f t="shared" si="21"/>
        <v>0</v>
      </c>
      <c r="O225" s="2"/>
      <c r="P225" s="2"/>
      <c r="Q225" s="1"/>
      <c r="R225" s="1"/>
      <c r="S225" s="46"/>
      <c r="T225" s="49"/>
      <c r="U225" s="49"/>
      <c r="V225" s="3"/>
      <c r="W225" s="3"/>
      <c r="X225" s="3"/>
      <c r="Y225" s="2"/>
    </row>
    <row r="226" spans="1:25" ht="38.25" customHeight="1" x14ac:dyDescent="0.2">
      <c r="A226" s="9">
        <v>13</v>
      </c>
      <c r="B226" s="44" t="str">
        <f>'Adv Report'!A16</f>
        <v>0019</v>
      </c>
      <c r="C226" s="9"/>
      <c r="D226" s="9"/>
      <c r="E226" s="9"/>
      <c r="F226" s="71">
        <f t="shared" si="22"/>
        <v>2</v>
      </c>
      <c r="G226" s="12">
        <f>'Adv Report'!F16</f>
        <v>0</v>
      </c>
      <c r="H226" s="12">
        <f>'Adv Report'!G16</f>
        <v>0</v>
      </c>
      <c r="I226" s="12">
        <f>'Adv Report'!H16</f>
        <v>2</v>
      </c>
      <c r="J226" s="71">
        <f t="shared" si="20"/>
        <v>2</v>
      </c>
      <c r="K226" s="12">
        <f>'Adv Report'!C16</f>
        <v>0</v>
      </c>
      <c r="L226" s="12">
        <f>'Adv Report'!D16</f>
        <v>0</v>
      </c>
      <c r="M226" s="12">
        <f>'Adv Report'!E16</f>
        <v>0</v>
      </c>
      <c r="N226" s="71">
        <f t="shared" si="21"/>
        <v>0</v>
      </c>
      <c r="O226" s="2"/>
      <c r="P226" s="2"/>
      <c r="Q226" s="1"/>
      <c r="R226" s="1"/>
      <c r="S226" s="46"/>
      <c r="T226" s="49"/>
      <c r="U226" s="49"/>
      <c r="V226" s="3"/>
      <c r="W226" s="3"/>
      <c r="X226" s="3"/>
      <c r="Y226" s="2"/>
    </row>
    <row r="227" spans="1:25" ht="38.25" customHeight="1" x14ac:dyDescent="0.2">
      <c r="A227" s="9">
        <v>14</v>
      </c>
      <c r="B227" s="44" t="str">
        <f>'Adv Report'!A17</f>
        <v>0193</v>
      </c>
      <c r="C227" s="9"/>
      <c r="D227" s="9"/>
      <c r="E227" s="9"/>
      <c r="F227" s="71">
        <f t="shared" si="22"/>
        <v>6</v>
      </c>
      <c r="G227" s="12">
        <f>'Adv Report'!F17</f>
        <v>4</v>
      </c>
      <c r="H227" s="12">
        <f>'Adv Report'!G17</f>
        <v>0</v>
      </c>
      <c r="I227" s="12">
        <f>'Adv Report'!H17</f>
        <v>2</v>
      </c>
      <c r="J227" s="71">
        <f t="shared" si="20"/>
        <v>6</v>
      </c>
      <c r="K227" s="12">
        <f>'Adv Report'!C17</f>
        <v>0</v>
      </c>
      <c r="L227" s="12">
        <f>'Adv Report'!D17</f>
        <v>0</v>
      </c>
      <c r="M227" s="12">
        <f>'Adv Report'!E17</f>
        <v>0</v>
      </c>
      <c r="N227" s="71">
        <f t="shared" si="21"/>
        <v>0</v>
      </c>
      <c r="O227" s="2"/>
      <c r="P227" s="2"/>
      <c r="Q227" s="1"/>
      <c r="R227" s="1"/>
      <c r="S227" s="46"/>
      <c r="T227" s="49"/>
      <c r="U227" s="49"/>
      <c r="V227" s="3"/>
      <c r="W227" s="3"/>
      <c r="X227" s="3"/>
      <c r="Y227" s="2"/>
    </row>
    <row r="228" spans="1:25" ht="38.25" customHeight="1" x14ac:dyDescent="0.2">
      <c r="A228" s="9">
        <v>15</v>
      </c>
      <c r="B228" s="44" t="str">
        <f>'Adv Report'!A18</f>
        <v>0163</v>
      </c>
      <c r="C228" s="9"/>
      <c r="D228" s="9"/>
      <c r="E228" s="9"/>
      <c r="F228" s="71">
        <f t="shared" si="22"/>
        <v>6</v>
      </c>
      <c r="G228" s="12">
        <f>'Adv Report'!F18</f>
        <v>5</v>
      </c>
      <c r="H228" s="12">
        <f>'Adv Report'!G18</f>
        <v>0</v>
      </c>
      <c r="I228" s="12">
        <f>'Adv Report'!H18</f>
        <v>1</v>
      </c>
      <c r="J228" s="71">
        <f t="shared" si="20"/>
        <v>6</v>
      </c>
      <c r="K228" s="12">
        <f>'Adv Report'!C18</f>
        <v>0</v>
      </c>
      <c r="L228" s="12">
        <f>'Adv Report'!D18</f>
        <v>0</v>
      </c>
      <c r="M228" s="12">
        <f>'Adv Report'!E18</f>
        <v>0</v>
      </c>
      <c r="N228" s="71">
        <f t="shared" si="21"/>
        <v>0</v>
      </c>
      <c r="O228" s="2"/>
      <c r="P228" s="2"/>
      <c r="Q228" s="1"/>
      <c r="R228" s="1"/>
      <c r="S228" s="46"/>
      <c r="T228" s="49"/>
      <c r="U228" s="49"/>
      <c r="V228" s="3"/>
      <c r="W228" s="3"/>
      <c r="X228" s="3"/>
      <c r="Y228" s="2"/>
    </row>
    <row r="229" spans="1:25" ht="38.25" customHeight="1" x14ac:dyDescent="0.2">
      <c r="A229" s="9">
        <v>16</v>
      </c>
      <c r="B229" s="44" t="str">
        <f>'Adv Report'!A19</f>
        <v>0083</v>
      </c>
      <c r="C229" s="9"/>
      <c r="D229" s="9"/>
      <c r="E229" s="9"/>
      <c r="F229" s="71">
        <f t="shared" si="22"/>
        <v>12</v>
      </c>
      <c r="G229" s="12">
        <f>'Adv Report'!F19</f>
        <v>9</v>
      </c>
      <c r="H229" s="12">
        <f>'Adv Report'!G19</f>
        <v>0</v>
      </c>
      <c r="I229" s="12">
        <f>'Adv Report'!H19</f>
        <v>3</v>
      </c>
      <c r="J229" s="71">
        <f t="shared" si="20"/>
        <v>12</v>
      </c>
      <c r="K229" s="12">
        <f>'Adv Report'!C19</f>
        <v>0</v>
      </c>
      <c r="L229" s="12">
        <f>'Adv Report'!D19</f>
        <v>0</v>
      </c>
      <c r="M229" s="12">
        <f>'Adv Report'!E19</f>
        <v>0</v>
      </c>
      <c r="N229" s="71">
        <f t="shared" si="21"/>
        <v>0</v>
      </c>
      <c r="O229" s="2"/>
      <c r="P229" s="2"/>
      <c r="Q229" s="1"/>
      <c r="R229" s="1"/>
      <c r="S229" s="46"/>
      <c r="T229" s="49"/>
      <c r="U229" s="49"/>
      <c r="V229" s="3"/>
      <c r="W229" s="3"/>
      <c r="X229" s="3"/>
      <c r="Y229" s="2"/>
    </row>
    <row r="230" spans="1:25" ht="38.25" customHeight="1" x14ac:dyDescent="0.2">
      <c r="A230" s="9">
        <v>17</v>
      </c>
      <c r="B230" s="44" t="str">
        <f>'Adv Report'!A20</f>
        <v>0057</v>
      </c>
      <c r="C230" s="9"/>
      <c r="D230" s="9"/>
      <c r="E230" s="9"/>
      <c r="F230" s="71">
        <f t="shared" si="22"/>
        <v>3</v>
      </c>
      <c r="G230" s="12">
        <f>'Adv Report'!F20</f>
        <v>3</v>
      </c>
      <c r="H230" s="12">
        <f>'Adv Report'!G20</f>
        <v>0</v>
      </c>
      <c r="I230" s="12">
        <f>'Adv Report'!H20</f>
        <v>0</v>
      </c>
      <c r="J230" s="71">
        <f t="shared" si="20"/>
        <v>3</v>
      </c>
      <c r="K230" s="12">
        <f>'Adv Report'!C20</f>
        <v>0</v>
      </c>
      <c r="L230" s="12">
        <f>'Adv Report'!D20</f>
        <v>0</v>
      </c>
      <c r="M230" s="12">
        <f>'Adv Report'!E20</f>
        <v>0</v>
      </c>
      <c r="N230" s="71">
        <f t="shared" si="21"/>
        <v>0</v>
      </c>
      <c r="O230" s="2"/>
      <c r="P230" s="2"/>
      <c r="Q230" s="1"/>
      <c r="R230" s="1"/>
      <c r="S230" s="46"/>
      <c r="T230" s="49"/>
      <c r="U230" s="49"/>
      <c r="V230" s="3"/>
      <c r="W230" s="3"/>
      <c r="X230" s="3"/>
      <c r="Y230" s="2"/>
    </row>
    <row r="231" spans="1:25" ht="38.25" customHeight="1" x14ac:dyDescent="0.2">
      <c r="A231" s="9">
        <v>18</v>
      </c>
      <c r="B231" s="44" t="str">
        <f>'Adv Report'!A21</f>
        <v>0546</v>
      </c>
      <c r="C231" s="9"/>
      <c r="D231" s="9"/>
      <c r="E231" s="9"/>
      <c r="F231" s="71">
        <f t="shared" si="22"/>
        <v>11</v>
      </c>
      <c r="G231" s="12">
        <f>'Adv Report'!F21</f>
        <v>6</v>
      </c>
      <c r="H231" s="12">
        <f>'Adv Report'!G21</f>
        <v>1</v>
      </c>
      <c r="I231" s="12">
        <f>'Adv Report'!H21</f>
        <v>4</v>
      </c>
      <c r="J231" s="71">
        <f t="shared" si="20"/>
        <v>11</v>
      </c>
      <c r="K231" s="12">
        <f>'Adv Report'!C21</f>
        <v>0</v>
      </c>
      <c r="L231" s="12">
        <f>'Adv Report'!D21</f>
        <v>0</v>
      </c>
      <c r="M231" s="12">
        <f>'Adv Report'!E21</f>
        <v>0</v>
      </c>
      <c r="N231" s="71">
        <f t="shared" si="21"/>
        <v>0</v>
      </c>
      <c r="O231" s="2"/>
      <c r="P231" s="2"/>
      <c r="Q231" s="1"/>
      <c r="R231" s="1"/>
      <c r="S231" s="46"/>
      <c r="T231" s="49"/>
      <c r="U231" s="49"/>
      <c r="V231" s="3"/>
      <c r="W231" s="3"/>
      <c r="X231" s="3"/>
      <c r="Y231" s="2"/>
    </row>
    <row r="232" spans="1:25" ht="38.25" customHeight="1" x14ac:dyDescent="0.2">
      <c r="A232" s="9">
        <v>19</v>
      </c>
      <c r="B232" s="44" t="str">
        <f>'Adv Report'!A22</f>
        <v>0143</v>
      </c>
      <c r="C232" s="9"/>
      <c r="D232" s="9"/>
      <c r="E232" s="9"/>
      <c r="F232" s="71">
        <f t="shared" si="22"/>
        <v>5</v>
      </c>
      <c r="G232" s="12">
        <f>'Adv Report'!F22</f>
        <v>4</v>
      </c>
      <c r="H232" s="12">
        <f>'Adv Report'!G22</f>
        <v>0</v>
      </c>
      <c r="I232" s="12">
        <f>'Adv Report'!H22</f>
        <v>1</v>
      </c>
      <c r="J232" s="71">
        <f t="shared" si="20"/>
        <v>5</v>
      </c>
      <c r="K232" s="12">
        <f>'Adv Report'!C22</f>
        <v>0</v>
      </c>
      <c r="L232" s="12">
        <f>'Adv Report'!D22</f>
        <v>0</v>
      </c>
      <c r="M232" s="12">
        <f>'Adv Report'!E22</f>
        <v>0</v>
      </c>
      <c r="N232" s="71">
        <f t="shared" si="21"/>
        <v>0</v>
      </c>
      <c r="O232" s="2"/>
      <c r="P232" s="2"/>
      <c r="Q232" s="1"/>
      <c r="R232" s="1"/>
      <c r="S232" s="46"/>
      <c r="T232" s="49"/>
      <c r="U232" s="49"/>
      <c r="V232" s="3"/>
      <c r="W232" s="3"/>
      <c r="X232" s="3"/>
      <c r="Y232" s="2"/>
    </row>
    <row r="233" spans="1:25" ht="38.25" customHeight="1" x14ac:dyDescent="0.2">
      <c r="A233" s="9">
        <v>20</v>
      </c>
      <c r="B233" s="44" t="str">
        <f>'Adv Report'!A23</f>
        <v>0857</v>
      </c>
      <c r="C233" s="9"/>
      <c r="D233" s="9"/>
      <c r="E233" s="9"/>
      <c r="F233" s="71">
        <f t="shared" si="22"/>
        <v>1</v>
      </c>
      <c r="G233" s="12">
        <f>'Adv Report'!F23</f>
        <v>1</v>
      </c>
      <c r="H233" s="12">
        <f>'Adv Report'!G23</f>
        <v>0</v>
      </c>
      <c r="I233" s="12">
        <f>'Adv Report'!H23</f>
        <v>0</v>
      </c>
      <c r="J233" s="71">
        <f t="shared" si="20"/>
        <v>1</v>
      </c>
      <c r="K233" s="12">
        <f>'Adv Report'!C23</f>
        <v>0</v>
      </c>
      <c r="L233" s="12">
        <f>'Adv Report'!D23</f>
        <v>0</v>
      </c>
      <c r="M233" s="12">
        <f>'Adv Report'!E23</f>
        <v>0</v>
      </c>
      <c r="N233" s="71">
        <f t="shared" si="21"/>
        <v>0</v>
      </c>
      <c r="O233" s="2"/>
      <c r="P233" s="2"/>
      <c r="Q233" s="1"/>
      <c r="R233" s="1"/>
      <c r="S233" s="46"/>
      <c r="T233" s="49"/>
      <c r="U233" s="49"/>
      <c r="V233" s="3"/>
      <c r="W233" s="3"/>
      <c r="X233" s="3"/>
      <c r="Y233" s="2"/>
    </row>
    <row r="234" spans="1:25" ht="38.25" customHeight="1" x14ac:dyDescent="0.2">
      <c r="A234" s="9">
        <v>21</v>
      </c>
      <c r="B234" s="44" t="str">
        <f>'Adv Report'!A24</f>
        <v>0528</v>
      </c>
      <c r="C234" s="9"/>
      <c r="D234" s="9"/>
      <c r="E234" s="9"/>
      <c r="F234" s="71">
        <f t="shared" si="22"/>
        <v>2</v>
      </c>
      <c r="G234" s="12">
        <f>'Adv Report'!F24</f>
        <v>0</v>
      </c>
      <c r="H234" s="12">
        <f>'Adv Report'!G24</f>
        <v>0</v>
      </c>
      <c r="I234" s="12">
        <f>'Adv Report'!H24</f>
        <v>2</v>
      </c>
      <c r="J234" s="71">
        <f t="shared" si="20"/>
        <v>2</v>
      </c>
      <c r="K234" s="12">
        <f>'Adv Report'!C24</f>
        <v>0</v>
      </c>
      <c r="L234" s="12">
        <f>'Adv Report'!D24</f>
        <v>0</v>
      </c>
      <c r="M234" s="12">
        <f>'Adv Report'!E24</f>
        <v>0</v>
      </c>
      <c r="N234" s="71">
        <f t="shared" si="21"/>
        <v>0</v>
      </c>
      <c r="O234" s="2"/>
      <c r="P234" s="2"/>
      <c r="Q234" s="1"/>
      <c r="R234" s="1"/>
      <c r="S234" s="46"/>
      <c r="T234" s="49"/>
      <c r="U234" s="49"/>
      <c r="V234" s="3"/>
      <c r="W234" s="3"/>
      <c r="X234" s="3"/>
      <c r="Y234" s="2"/>
    </row>
    <row r="235" spans="1:25" ht="38.25" customHeight="1" x14ac:dyDescent="0.2">
      <c r="A235" s="9">
        <v>22</v>
      </c>
      <c r="B235" s="44" t="str">
        <f>'Adv Report'!A25</f>
        <v>0075</v>
      </c>
      <c r="C235" s="9"/>
      <c r="D235" s="9"/>
      <c r="E235" s="9"/>
      <c r="F235" s="71">
        <f t="shared" si="22"/>
        <v>5</v>
      </c>
      <c r="G235" s="12">
        <f>'Adv Report'!F25</f>
        <v>4</v>
      </c>
      <c r="H235" s="12">
        <f>'Adv Report'!G25</f>
        <v>1</v>
      </c>
      <c r="I235" s="12">
        <f>'Adv Report'!H25</f>
        <v>0</v>
      </c>
      <c r="J235" s="71">
        <f t="shared" si="20"/>
        <v>5</v>
      </c>
      <c r="K235" s="12">
        <f>'Adv Report'!C25</f>
        <v>0</v>
      </c>
      <c r="L235" s="12">
        <f>'Adv Report'!D25</f>
        <v>0</v>
      </c>
      <c r="M235" s="12">
        <f>'Adv Report'!E25</f>
        <v>0</v>
      </c>
      <c r="N235" s="71">
        <f t="shared" si="21"/>
        <v>0</v>
      </c>
      <c r="O235" s="2"/>
      <c r="P235" s="2"/>
      <c r="Q235" s="1"/>
      <c r="R235" s="1"/>
      <c r="S235" s="46"/>
      <c r="T235" s="49"/>
      <c r="U235" s="49"/>
      <c r="V235" s="3"/>
      <c r="W235" s="3"/>
      <c r="X235" s="3"/>
      <c r="Y235" s="2"/>
    </row>
    <row r="236" spans="1:25" ht="38.25" customHeight="1" x14ac:dyDescent="0.2">
      <c r="A236" s="9">
        <v>23</v>
      </c>
      <c r="B236" s="44" t="str">
        <f>'Adv Report'!A26</f>
        <v>0023</v>
      </c>
      <c r="C236" s="9"/>
      <c r="D236" s="9"/>
      <c r="E236" s="9"/>
      <c r="F236" s="71">
        <f t="shared" si="22"/>
        <v>0</v>
      </c>
      <c r="G236" s="12">
        <f>'Adv Report'!F26</f>
        <v>0</v>
      </c>
      <c r="H236" s="12">
        <f>'Adv Report'!G26</f>
        <v>0</v>
      </c>
      <c r="I236" s="12">
        <f>'Adv Report'!H26</f>
        <v>0</v>
      </c>
      <c r="J236" s="71">
        <f t="shared" si="20"/>
        <v>0</v>
      </c>
      <c r="K236" s="12">
        <f>'Adv Report'!C26</f>
        <v>0</v>
      </c>
      <c r="L236" s="12">
        <f>'Adv Report'!D26</f>
        <v>0</v>
      </c>
      <c r="M236" s="12">
        <f>'Adv Report'!E26</f>
        <v>0</v>
      </c>
      <c r="N236" s="71">
        <f t="shared" si="21"/>
        <v>0</v>
      </c>
      <c r="O236" s="2"/>
      <c r="P236" s="2"/>
      <c r="Q236" s="1"/>
      <c r="R236" s="1"/>
      <c r="S236" s="46"/>
      <c r="T236" s="49"/>
      <c r="U236" s="49"/>
      <c r="V236" s="3"/>
      <c r="W236" s="3"/>
      <c r="X236" s="3"/>
      <c r="Y236" s="2"/>
    </row>
    <row r="237" spans="1:25" ht="38.25" customHeight="1" x14ac:dyDescent="0.2">
      <c r="A237" s="9">
        <v>24</v>
      </c>
      <c r="B237" s="44" t="str">
        <f>'Adv Report'!A27</f>
        <v>0037</v>
      </c>
      <c r="C237" s="9"/>
      <c r="D237" s="9"/>
      <c r="E237" s="9"/>
      <c r="F237" s="71">
        <f t="shared" si="22"/>
        <v>4</v>
      </c>
      <c r="G237" s="12">
        <f>'Adv Report'!F27</f>
        <v>2</v>
      </c>
      <c r="H237" s="12">
        <f>'Adv Report'!G27</f>
        <v>0</v>
      </c>
      <c r="I237" s="12">
        <f>'Adv Report'!H27</f>
        <v>2</v>
      </c>
      <c r="J237" s="71">
        <f t="shared" si="20"/>
        <v>4</v>
      </c>
      <c r="K237" s="12">
        <f>'Adv Report'!C27</f>
        <v>0</v>
      </c>
      <c r="L237" s="12">
        <f>'Adv Report'!D27</f>
        <v>0</v>
      </c>
      <c r="M237" s="12">
        <f>'Adv Report'!E27</f>
        <v>0</v>
      </c>
      <c r="N237" s="71">
        <f t="shared" si="21"/>
        <v>0</v>
      </c>
      <c r="O237" s="2"/>
      <c r="P237" s="2"/>
      <c r="Q237" s="1"/>
      <c r="R237" s="1"/>
      <c r="S237" s="46"/>
      <c r="T237" s="49"/>
      <c r="U237" s="49"/>
      <c r="V237" s="3"/>
      <c r="W237" s="3"/>
      <c r="X237" s="3"/>
      <c r="Y237" s="2"/>
    </row>
    <row r="238" spans="1:25" ht="38.25" customHeight="1" x14ac:dyDescent="0.2">
      <c r="A238" s="9">
        <v>25</v>
      </c>
      <c r="B238" s="44" t="str">
        <f>'Adv Report'!A28</f>
        <v>0923</v>
      </c>
      <c r="C238" s="9"/>
      <c r="D238" s="9"/>
      <c r="E238" s="9"/>
      <c r="F238" s="71">
        <f t="shared" si="22"/>
        <v>5</v>
      </c>
      <c r="G238" s="12">
        <f>'Adv Report'!F28</f>
        <v>3</v>
      </c>
      <c r="H238" s="12">
        <f>'Adv Report'!G28</f>
        <v>1</v>
      </c>
      <c r="I238" s="12">
        <f>'Adv Report'!H28</f>
        <v>1</v>
      </c>
      <c r="J238" s="71">
        <f t="shared" si="20"/>
        <v>5</v>
      </c>
      <c r="K238" s="12">
        <f>'Adv Report'!C28</f>
        <v>0</v>
      </c>
      <c r="L238" s="12">
        <f>'Adv Report'!D28</f>
        <v>0</v>
      </c>
      <c r="M238" s="12">
        <f>'Adv Report'!E28</f>
        <v>0</v>
      </c>
      <c r="N238" s="71">
        <f t="shared" si="21"/>
        <v>0</v>
      </c>
      <c r="O238" s="2"/>
      <c r="P238" s="2"/>
      <c r="Q238" s="1"/>
      <c r="R238" s="1"/>
      <c r="S238" s="46"/>
      <c r="T238" s="49"/>
      <c r="U238" s="49"/>
      <c r="V238" s="3"/>
      <c r="W238" s="3"/>
      <c r="X238" s="3"/>
      <c r="Y238" s="2"/>
    </row>
    <row r="239" spans="1:25" ht="38.25" customHeight="1" x14ac:dyDescent="0.2">
      <c r="A239" s="9">
        <v>26</v>
      </c>
      <c r="B239" s="44" t="str">
        <f>'Adv Report'!A29</f>
        <v>0979</v>
      </c>
      <c r="C239" s="9"/>
      <c r="D239" s="9"/>
      <c r="E239" s="9"/>
      <c r="F239" s="71">
        <f t="shared" si="22"/>
        <v>1</v>
      </c>
      <c r="G239" s="12">
        <f>'Adv Report'!F29</f>
        <v>1</v>
      </c>
      <c r="H239" s="12">
        <f>'Adv Report'!G29</f>
        <v>0</v>
      </c>
      <c r="I239" s="12">
        <f>'Adv Report'!H29</f>
        <v>0</v>
      </c>
      <c r="J239" s="71">
        <f t="shared" si="20"/>
        <v>1</v>
      </c>
      <c r="K239" s="12">
        <f>'Adv Report'!C29</f>
        <v>0</v>
      </c>
      <c r="L239" s="12">
        <f>'Adv Report'!D29</f>
        <v>0</v>
      </c>
      <c r="M239" s="12">
        <f>'Adv Report'!E29</f>
        <v>0</v>
      </c>
      <c r="N239" s="71">
        <f t="shared" si="21"/>
        <v>0</v>
      </c>
      <c r="O239" s="2"/>
      <c r="P239" s="2"/>
      <c r="Q239" s="1"/>
      <c r="R239" s="1"/>
      <c r="S239" s="46"/>
      <c r="T239" s="49"/>
      <c r="U239" s="49"/>
      <c r="V239" s="3"/>
      <c r="W239" s="3"/>
      <c r="X239" s="3"/>
      <c r="Y239" s="2"/>
    </row>
    <row r="240" spans="1:25" ht="38.25" customHeight="1" x14ac:dyDescent="0.2">
      <c r="A240" s="9">
        <v>27</v>
      </c>
      <c r="B240" s="44" t="str">
        <f>'Adv Report'!A30</f>
        <v>0061</v>
      </c>
      <c r="C240" s="9"/>
      <c r="D240" s="9"/>
      <c r="E240" s="9"/>
      <c r="F240" s="71">
        <f t="shared" si="22"/>
        <v>16</v>
      </c>
      <c r="G240" s="12">
        <f>'Adv Report'!F30</f>
        <v>10</v>
      </c>
      <c r="H240" s="12">
        <f>'Adv Report'!G30</f>
        <v>0</v>
      </c>
      <c r="I240" s="12">
        <f>'Adv Report'!H30</f>
        <v>6</v>
      </c>
      <c r="J240" s="71">
        <f t="shared" si="20"/>
        <v>16</v>
      </c>
      <c r="K240" s="12">
        <f>'Adv Report'!C30</f>
        <v>0</v>
      </c>
      <c r="L240" s="12">
        <f>'Adv Report'!D30</f>
        <v>0</v>
      </c>
      <c r="M240" s="12">
        <f>'Adv Report'!E30</f>
        <v>0</v>
      </c>
      <c r="N240" s="71">
        <f t="shared" si="21"/>
        <v>0</v>
      </c>
      <c r="O240" s="2"/>
      <c r="P240" s="2"/>
      <c r="Q240" s="1"/>
      <c r="R240" s="1"/>
      <c r="S240" s="46"/>
      <c r="T240" s="49"/>
      <c r="U240" s="49"/>
      <c r="V240" s="3"/>
      <c r="W240" s="3"/>
      <c r="X240" s="3"/>
      <c r="Y240" s="2"/>
    </row>
    <row r="241" spans="1:25" ht="38.25" customHeight="1" x14ac:dyDescent="0.2">
      <c r="A241" s="9">
        <v>28</v>
      </c>
      <c r="B241" s="44" t="str">
        <f>'Adv Report'!A31</f>
        <v>0095</v>
      </c>
      <c r="C241" s="9"/>
      <c r="D241" s="9"/>
      <c r="E241" s="9"/>
      <c r="F241" s="71">
        <f t="shared" si="22"/>
        <v>10</v>
      </c>
      <c r="G241" s="12">
        <f>'Adv Report'!F31</f>
        <v>7</v>
      </c>
      <c r="H241" s="12">
        <f>'Adv Report'!G31</f>
        <v>0</v>
      </c>
      <c r="I241" s="12">
        <f>'Adv Report'!H31</f>
        <v>1</v>
      </c>
      <c r="J241" s="71">
        <f t="shared" si="20"/>
        <v>8</v>
      </c>
      <c r="K241" s="12">
        <f>'Adv Report'!C31</f>
        <v>2</v>
      </c>
      <c r="L241" s="12">
        <f>'Adv Report'!D31</f>
        <v>0</v>
      </c>
      <c r="M241" s="12">
        <f>'Adv Report'!E31</f>
        <v>0</v>
      </c>
      <c r="N241" s="71">
        <f t="shared" si="21"/>
        <v>2</v>
      </c>
      <c r="O241" s="2"/>
      <c r="P241" s="2"/>
      <c r="Q241" s="1"/>
      <c r="R241" s="1"/>
      <c r="S241" s="46"/>
      <c r="T241" s="49"/>
      <c r="U241" s="49"/>
      <c r="V241" s="3"/>
      <c r="W241" s="3"/>
      <c r="X241" s="3"/>
      <c r="Y241" s="2"/>
    </row>
    <row r="242" spans="1:25" ht="38.25" customHeight="1" x14ac:dyDescent="0.2">
      <c r="A242" s="9">
        <v>29</v>
      </c>
      <c r="B242" s="44" t="str">
        <f>'Adv Report'!A32</f>
        <v>0514</v>
      </c>
      <c r="C242" s="9"/>
      <c r="D242" s="9"/>
      <c r="E242" s="9"/>
      <c r="F242" s="71">
        <f t="shared" si="22"/>
        <v>5</v>
      </c>
      <c r="G242" s="12">
        <f>'Adv Report'!F32</f>
        <v>4</v>
      </c>
      <c r="H242" s="12">
        <f>'Adv Report'!G32</f>
        <v>0</v>
      </c>
      <c r="I242" s="12">
        <f>'Adv Report'!H32</f>
        <v>1</v>
      </c>
      <c r="J242" s="71">
        <f t="shared" si="20"/>
        <v>5</v>
      </c>
      <c r="K242" s="12">
        <f>'Adv Report'!C32</f>
        <v>0</v>
      </c>
      <c r="L242" s="12">
        <f>'Adv Report'!D32</f>
        <v>0</v>
      </c>
      <c r="M242" s="12">
        <f>'Adv Report'!E32</f>
        <v>0</v>
      </c>
      <c r="N242" s="71">
        <f t="shared" si="21"/>
        <v>0</v>
      </c>
      <c r="O242" s="2"/>
      <c r="P242" s="2"/>
      <c r="Q242" s="1"/>
      <c r="R242" s="1"/>
      <c r="S242" s="46"/>
      <c r="T242" s="49"/>
      <c r="U242" s="49"/>
      <c r="V242" s="3"/>
      <c r="W242" s="3"/>
      <c r="X242" s="3"/>
      <c r="Y242" s="2"/>
    </row>
    <row r="243" spans="1:25" ht="38.25" customHeight="1" x14ac:dyDescent="0.2">
      <c r="A243" s="9">
        <v>30</v>
      </c>
      <c r="B243" s="44" t="str">
        <f>'Adv Report'!A33</f>
        <v>0091</v>
      </c>
      <c r="C243" s="9"/>
      <c r="D243" s="9"/>
      <c r="E243" s="9"/>
      <c r="F243" s="71">
        <f t="shared" si="22"/>
        <v>10</v>
      </c>
      <c r="G243" s="12">
        <f>'Adv Report'!F33</f>
        <v>7</v>
      </c>
      <c r="H243" s="12">
        <f>'Adv Report'!G33</f>
        <v>1</v>
      </c>
      <c r="I243" s="12">
        <f>'Adv Report'!H33</f>
        <v>2</v>
      </c>
      <c r="J243" s="71">
        <f t="shared" si="20"/>
        <v>10</v>
      </c>
      <c r="K243" s="12">
        <f>'Adv Report'!C33</f>
        <v>0</v>
      </c>
      <c r="L243" s="12">
        <f>'Adv Report'!D33</f>
        <v>0</v>
      </c>
      <c r="M243" s="12">
        <f>'Adv Report'!E33</f>
        <v>0</v>
      </c>
      <c r="N243" s="71">
        <f t="shared" si="21"/>
        <v>0</v>
      </c>
      <c r="O243" s="2"/>
      <c r="P243" s="2"/>
      <c r="Q243" s="1"/>
      <c r="R243" s="1"/>
      <c r="S243" s="46"/>
      <c r="T243" s="49"/>
      <c r="U243" s="49"/>
      <c r="V243" s="3"/>
      <c r="W243" s="3"/>
      <c r="X243" s="3"/>
      <c r="Y243" s="2"/>
    </row>
    <row r="244" spans="1:25" ht="38.25" customHeight="1" x14ac:dyDescent="0.2">
      <c r="A244" s="9">
        <v>31</v>
      </c>
      <c r="B244" s="44" t="str">
        <f>'Adv Report'!A34</f>
        <v>0047</v>
      </c>
      <c r="C244" s="9"/>
      <c r="D244" s="9"/>
      <c r="E244" s="9"/>
      <c r="F244" s="71">
        <f t="shared" si="22"/>
        <v>8</v>
      </c>
      <c r="G244" s="12">
        <f>'Adv Report'!F34</f>
        <v>4</v>
      </c>
      <c r="H244" s="12">
        <f>'Adv Report'!G34</f>
        <v>0</v>
      </c>
      <c r="I244" s="12">
        <f>'Adv Report'!H34</f>
        <v>4</v>
      </c>
      <c r="J244" s="71">
        <f t="shared" si="20"/>
        <v>8</v>
      </c>
      <c r="K244" s="12">
        <f>'Adv Report'!C34</f>
        <v>0</v>
      </c>
      <c r="L244" s="12">
        <f>'Adv Report'!D34</f>
        <v>0</v>
      </c>
      <c r="M244" s="12">
        <f>'Adv Report'!E34</f>
        <v>0</v>
      </c>
      <c r="N244" s="71">
        <f t="shared" si="21"/>
        <v>0</v>
      </c>
      <c r="O244" s="2"/>
      <c r="P244" s="2"/>
      <c r="Q244" s="1"/>
      <c r="R244" s="1"/>
      <c r="S244" s="46"/>
      <c r="T244" s="49"/>
      <c r="U244" s="49"/>
      <c r="V244" s="3"/>
      <c r="W244" s="3"/>
      <c r="X244" s="3"/>
      <c r="Y244" s="2"/>
    </row>
    <row r="245" spans="1:25" ht="38.25" customHeight="1" x14ac:dyDescent="0.2">
      <c r="A245" s="9">
        <v>32</v>
      </c>
      <c r="B245" s="44" t="str">
        <f>'Adv Report'!A35</f>
        <v>0721</v>
      </c>
      <c r="C245" s="9"/>
      <c r="D245" s="9"/>
      <c r="E245" s="9"/>
      <c r="F245" s="71">
        <f t="shared" si="22"/>
        <v>7</v>
      </c>
      <c r="G245" s="12">
        <f>'Adv Report'!F35</f>
        <v>4</v>
      </c>
      <c r="H245" s="12">
        <f>'Adv Report'!G35</f>
        <v>0</v>
      </c>
      <c r="I245" s="12">
        <f>'Adv Report'!H35</f>
        <v>1</v>
      </c>
      <c r="J245" s="71">
        <f t="shared" si="20"/>
        <v>5</v>
      </c>
      <c r="K245" s="12">
        <f>'Adv Report'!C35</f>
        <v>2</v>
      </c>
      <c r="L245" s="12">
        <f>'Adv Report'!D35</f>
        <v>0</v>
      </c>
      <c r="M245" s="12">
        <f>'Adv Report'!E35</f>
        <v>0</v>
      </c>
      <c r="N245" s="71">
        <f t="shared" si="21"/>
        <v>2</v>
      </c>
      <c r="O245" s="2"/>
      <c r="P245" s="2"/>
      <c r="Q245" s="1"/>
      <c r="R245" s="1"/>
      <c r="S245" s="46"/>
      <c r="T245" s="49"/>
      <c r="U245" s="49"/>
      <c r="V245" s="3"/>
      <c r="W245" s="3"/>
      <c r="X245" s="3"/>
      <c r="Y245" s="2"/>
    </row>
    <row r="246" spans="1:25" ht="38.25" customHeight="1" x14ac:dyDescent="0.2">
      <c r="A246" s="9">
        <v>33</v>
      </c>
      <c r="B246" s="44" t="str">
        <f>'Adv Report'!A36</f>
        <v>0149</v>
      </c>
      <c r="C246" s="9"/>
      <c r="D246" s="9"/>
      <c r="E246" s="9"/>
      <c r="F246" s="71">
        <f t="shared" si="22"/>
        <v>6</v>
      </c>
      <c r="G246" s="12">
        <f>'Adv Report'!F36</f>
        <v>3</v>
      </c>
      <c r="H246" s="12">
        <f>'Adv Report'!G36</f>
        <v>0</v>
      </c>
      <c r="I246" s="12">
        <f>'Adv Report'!H36</f>
        <v>2</v>
      </c>
      <c r="J246" s="71">
        <f t="shared" si="20"/>
        <v>5</v>
      </c>
      <c r="K246" s="12">
        <f>'Adv Report'!C36</f>
        <v>1</v>
      </c>
      <c r="L246" s="12">
        <f>'Adv Report'!D36</f>
        <v>0</v>
      </c>
      <c r="M246" s="12">
        <f>'Adv Report'!E36</f>
        <v>0</v>
      </c>
      <c r="N246" s="71">
        <f t="shared" si="21"/>
        <v>1</v>
      </c>
      <c r="O246" s="2"/>
      <c r="P246" s="2"/>
      <c r="Q246" s="1"/>
      <c r="R246" s="1"/>
      <c r="S246" s="46"/>
      <c r="T246" s="49"/>
      <c r="U246" s="49"/>
      <c r="V246" s="3"/>
      <c r="W246" s="3"/>
      <c r="X246" s="3"/>
      <c r="Y246" s="2"/>
    </row>
    <row r="247" spans="1:25" ht="38.25" customHeight="1" x14ac:dyDescent="0.2">
      <c r="A247" s="9">
        <v>34</v>
      </c>
      <c r="B247" s="44" t="str">
        <f>'Adv Report'!A37</f>
        <v>0125</v>
      </c>
      <c r="C247" s="9"/>
      <c r="D247" s="9"/>
      <c r="E247" s="9"/>
      <c r="F247" s="71">
        <f t="shared" si="22"/>
        <v>10</v>
      </c>
      <c r="G247" s="12">
        <f>'Adv Report'!F37</f>
        <v>5</v>
      </c>
      <c r="H247" s="12">
        <f>'Adv Report'!G37</f>
        <v>1</v>
      </c>
      <c r="I247" s="12">
        <f>'Adv Report'!H37</f>
        <v>2</v>
      </c>
      <c r="J247" s="71">
        <f t="shared" si="20"/>
        <v>8</v>
      </c>
      <c r="K247" s="12">
        <f>'Adv Report'!C37</f>
        <v>2</v>
      </c>
      <c r="L247" s="12">
        <f>'Adv Report'!D37</f>
        <v>0</v>
      </c>
      <c r="M247" s="12">
        <f>'Adv Report'!E37</f>
        <v>0</v>
      </c>
      <c r="N247" s="71">
        <f t="shared" si="21"/>
        <v>2</v>
      </c>
      <c r="O247" s="2"/>
      <c r="P247" s="2"/>
      <c r="Q247" s="1"/>
      <c r="R247" s="1"/>
      <c r="S247" s="46"/>
      <c r="T247" s="49"/>
      <c r="U247" s="49"/>
      <c r="V247" s="3"/>
      <c r="W247" s="3"/>
      <c r="X247" s="3"/>
      <c r="Y247" s="2"/>
    </row>
    <row r="248" spans="1:25" ht="38.25" customHeight="1" x14ac:dyDescent="0.2">
      <c r="A248" s="9">
        <v>35</v>
      </c>
      <c r="B248" s="44" t="str">
        <f>'Adv Report'!A38</f>
        <v>0953</v>
      </c>
      <c r="C248" s="9"/>
      <c r="D248" s="9"/>
      <c r="E248" s="9"/>
      <c r="F248" s="71">
        <f t="shared" si="22"/>
        <v>6</v>
      </c>
      <c r="G248" s="12">
        <f>'Adv Report'!F38</f>
        <v>6</v>
      </c>
      <c r="H248" s="12">
        <f>'Adv Report'!G38</f>
        <v>0</v>
      </c>
      <c r="I248" s="12">
        <f>'Adv Report'!H38</f>
        <v>0</v>
      </c>
      <c r="J248" s="71">
        <f t="shared" si="20"/>
        <v>6</v>
      </c>
      <c r="K248" s="12">
        <f>'Adv Report'!C38</f>
        <v>0</v>
      </c>
      <c r="L248" s="12">
        <f>'Adv Report'!D38</f>
        <v>0</v>
      </c>
      <c r="M248" s="12">
        <f>'Adv Report'!E38</f>
        <v>0</v>
      </c>
      <c r="N248" s="71">
        <f t="shared" si="21"/>
        <v>0</v>
      </c>
      <c r="O248" s="2"/>
      <c r="P248" s="2"/>
      <c r="Q248" s="1"/>
      <c r="R248" s="1"/>
      <c r="S248" s="46"/>
      <c r="T248" s="49"/>
      <c r="U248" s="49"/>
      <c r="V248" s="3"/>
      <c r="W248" s="3"/>
      <c r="X248" s="3"/>
      <c r="Y248" s="2"/>
    </row>
    <row r="249" spans="1:25" ht="38.25" customHeight="1" x14ac:dyDescent="0.2">
      <c r="A249" s="9">
        <v>36</v>
      </c>
      <c r="B249" s="44" t="str">
        <f>'Adv Report'!A39</f>
        <v>0508</v>
      </c>
      <c r="C249" s="9"/>
      <c r="D249" s="9"/>
      <c r="E249" s="9"/>
      <c r="F249" s="71">
        <f t="shared" si="22"/>
        <v>6</v>
      </c>
      <c r="G249" s="12">
        <f>'Adv Report'!F39</f>
        <v>6</v>
      </c>
      <c r="H249" s="12">
        <f>'Adv Report'!G39</f>
        <v>0</v>
      </c>
      <c r="I249" s="12">
        <f>'Adv Report'!H39</f>
        <v>0</v>
      </c>
      <c r="J249" s="71">
        <f t="shared" si="20"/>
        <v>6</v>
      </c>
      <c r="K249" s="12">
        <f>'Adv Report'!C39</f>
        <v>0</v>
      </c>
      <c r="L249" s="12">
        <f>'Adv Report'!D39</f>
        <v>0</v>
      </c>
      <c r="M249" s="12">
        <f>'Adv Report'!E39</f>
        <v>0</v>
      </c>
      <c r="N249" s="71">
        <f t="shared" si="21"/>
        <v>0</v>
      </c>
      <c r="O249" s="2"/>
      <c r="P249" s="2"/>
      <c r="Q249" s="1"/>
      <c r="R249" s="1"/>
      <c r="S249" s="46"/>
      <c r="T249" s="49"/>
      <c r="U249" s="49"/>
      <c r="V249" s="3"/>
      <c r="W249" s="3"/>
      <c r="X249" s="3"/>
      <c r="Y249" s="2"/>
    </row>
    <row r="250" spans="1:25" ht="38.25" customHeight="1" x14ac:dyDescent="0.2">
      <c r="A250" s="9">
        <v>37</v>
      </c>
      <c r="B250" s="44" t="str">
        <f>'Adv Report'!A40</f>
        <v>0803</v>
      </c>
      <c r="C250" s="9"/>
      <c r="D250" s="9"/>
      <c r="E250" s="9"/>
      <c r="F250" s="71">
        <f t="shared" si="22"/>
        <v>10</v>
      </c>
      <c r="G250" s="12">
        <f>'Adv Report'!F40</f>
        <v>1</v>
      </c>
      <c r="H250" s="12">
        <f>'Adv Report'!G40</f>
        <v>0</v>
      </c>
      <c r="I250" s="12">
        <f>'Adv Report'!H40</f>
        <v>9</v>
      </c>
      <c r="J250" s="71">
        <f t="shared" si="20"/>
        <v>10</v>
      </c>
      <c r="K250" s="12">
        <f>'Adv Report'!C40</f>
        <v>0</v>
      </c>
      <c r="L250" s="12">
        <f>'Adv Report'!D40</f>
        <v>0</v>
      </c>
      <c r="M250" s="12">
        <f>'Adv Report'!E40</f>
        <v>0</v>
      </c>
      <c r="N250" s="71">
        <f t="shared" si="21"/>
        <v>0</v>
      </c>
      <c r="O250" s="2"/>
      <c r="P250" s="2"/>
      <c r="Q250" s="1"/>
      <c r="R250" s="1"/>
      <c r="S250" s="46"/>
      <c r="T250" s="49"/>
      <c r="U250" s="49"/>
      <c r="V250" s="3"/>
      <c r="W250" s="3"/>
      <c r="X250" s="3"/>
      <c r="Y250" s="2"/>
    </row>
    <row r="251" spans="1:25" ht="38.25" customHeight="1" x14ac:dyDescent="0.2">
      <c r="A251" s="9">
        <v>38</v>
      </c>
      <c r="B251" s="44" t="str">
        <f>'Adv Report'!A41</f>
        <v>0051</v>
      </c>
      <c r="C251" s="9"/>
      <c r="D251" s="9"/>
      <c r="E251" s="9"/>
      <c r="F251" s="71">
        <f t="shared" si="22"/>
        <v>7</v>
      </c>
      <c r="G251" s="12">
        <f>'Adv Report'!F41</f>
        <v>6</v>
      </c>
      <c r="H251" s="12">
        <f>'Adv Report'!G41</f>
        <v>0</v>
      </c>
      <c r="I251" s="12">
        <f>'Adv Report'!H41</f>
        <v>1</v>
      </c>
      <c r="J251" s="71">
        <f t="shared" si="20"/>
        <v>7</v>
      </c>
      <c r="K251" s="12">
        <f>'Adv Report'!C41</f>
        <v>0</v>
      </c>
      <c r="L251" s="12">
        <f>'Adv Report'!D41</f>
        <v>0</v>
      </c>
      <c r="M251" s="12">
        <f>'Adv Report'!E41</f>
        <v>0</v>
      </c>
      <c r="N251" s="71">
        <f t="shared" si="21"/>
        <v>0</v>
      </c>
      <c r="O251" s="2"/>
      <c r="P251" s="2"/>
      <c r="Q251" s="1"/>
      <c r="R251" s="1"/>
      <c r="S251" s="46"/>
      <c r="T251" s="49"/>
      <c r="U251" s="49"/>
      <c r="V251" s="3"/>
      <c r="W251" s="3"/>
      <c r="X251" s="3"/>
      <c r="Y251" s="2"/>
    </row>
    <row r="252" spans="1:25" ht="38.25" customHeight="1" x14ac:dyDescent="0.2">
      <c r="A252" s="9">
        <v>39</v>
      </c>
      <c r="B252" s="44" t="str">
        <f>'Adv Report'!A42</f>
        <v>0175</v>
      </c>
      <c r="C252" s="9"/>
      <c r="D252" s="9"/>
      <c r="E252" s="9"/>
      <c r="F252" s="71">
        <f t="shared" si="22"/>
        <v>4</v>
      </c>
      <c r="G252" s="12">
        <f>'Adv Report'!F42</f>
        <v>3</v>
      </c>
      <c r="H252" s="12">
        <f>'Adv Report'!G42</f>
        <v>0</v>
      </c>
      <c r="I252" s="12">
        <f>'Adv Report'!H42</f>
        <v>1</v>
      </c>
      <c r="J252" s="71">
        <f t="shared" si="20"/>
        <v>4</v>
      </c>
      <c r="K252" s="12">
        <f>'Adv Report'!C42</f>
        <v>0</v>
      </c>
      <c r="L252" s="12">
        <f>'Adv Report'!D42</f>
        <v>0</v>
      </c>
      <c r="M252" s="12">
        <f>'Adv Report'!E42</f>
        <v>0</v>
      </c>
      <c r="N252" s="71">
        <f t="shared" si="21"/>
        <v>0</v>
      </c>
      <c r="O252" s="2"/>
      <c r="P252" s="2"/>
      <c r="Q252" s="1"/>
      <c r="R252" s="1"/>
      <c r="S252" s="46"/>
      <c r="T252" s="49"/>
      <c r="U252" s="49"/>
      <c r="V252" s="3"/>
      <c r="W252" s="3"/>
      <c r="X252" s="3"/>
      <c r="Y252" s="2"/>
    </row>
    <row r="253" spans="1:25" ht="38.25" customHeight="1" x14ac:dyDescent="0.2">
      <c r="A253" s="9">
        <v>40</v>
      </c>
      <c r="B253" s="44" t="str">
        <f>'Adv Report'!A43</f>
        <v>0085</v>
      </c>
      <c r="C253" s="9"/>
      <c r="D253" s="9"/>
      <c r="E253" s="9"/>
      <c r="F253" s="71">
        <f t="shared" si="22"/>
        <v>4</v>
      </c>
      <c r="G253" s="12">
        <f>'Adv Report'!F43</f>
        <v>4</v>
      </c>
      <c r="H253" s="12">
        <f>'Adv Report'!G43</f>
        <v>0</v>
      </c>
      <c r="I253" s="12">
        <f>'Adv Report'!H43</f>
        <v>0</v>
      </c>
      <c r="J253" s="71">
        <f t="shared" si="20"/>
        <v>4</v>
      </c>
      <c r="K253" s="12">
        <f>'Adv Report'!C43</f>
        <v>0</v>
      </c>
      <c r="L253" s="12">
        <f>'Adv Report'!D43</f>
        <v>0</v>
      </c>
      <c r="M253" s="12">
        <f>'Adv Report'!E43</f>
        <v>0</v>
      </c>
      <c r="N253" s="71">
        <f t="shared" si="21"/>
        <v>0</v>
      </c>
      <c r="O253" s="2"/>
      <c r="P253" s="2"/>
      <c r="Q253" s="1"/>
      <c r="R253" s="1"/>
      <c r="S253" s="46"/>
      <c r="T253" s="49"/>
      <c r="U253" s="49"/>
      <c r="V253" s="3"/>
      <c r="W253" s="3"/>
      <c r="X253" s="3"/>
      <c r="Y253" s="2"/>
    </row>
    <row r="254" spans="1:25" ht="38.25" customHeight="1" x14ac:dyDescent="0.2">
      <c r="A254" s="9">
        <v>41</v>
      </c>
      <c r="B254" s="44" t="str">
        <f>'Adv Report'!A44</f>
        <v>0839</v>
      </c>
      <c r="C254" s="9"/>
      <c r="D254" s="9"/>
      <c r="E254" s="9"/>
      <c r="F254" s="71">
        <f t="shared" si="22"/>
        <v>1</v>
      </c>
      <c r="G254" s="12">
        <f>'Adv Report'!F44</f>
        <v>0</v>
      </c>
      <c r="H254" s="12">
        <f>'Adv Report'!G44</f>
        <v>0</v>
      </c>
      <c r="I254" s="12">
        <f>'Adv Report'!H44</f>
        <v>1</v>
      </c>
      <c r="J254" s="71">
        <f t="shared" si="20"/>
        <v>1</v>
      </c>
      <c r="K254" s="12">
        <f>'Adv Report'!C44</f>
        <v>0</v>
      </c>
      <c r="L254" s="12">
        <f>'Adv Report'!D44</f>
        <v>0</v>
      </c>
      <c r="M254" s="12">
        <f>'Adv Report'!E44</f>
        <v>0</v>
      </c>
      <c r="N254" s="71">
        <f t="shared" si="21"/>
        <v>0</v>
      </c>
      <c r="O254" s="2"/>
      <c r="P254" s="2"/>
      <c r="Q254" s="1"/>
      <c r="R254" s="1"/>
      <c r="S254" s="46"/>
      <c r="T254" s="49"/>
      <c r="U254" s="49"/>
      <c r="V254" s="3"/>
      <c r="W254" s="3"/>
      <c r="X254" s="3"/>
      <c r="Y254" s="2"/>
    </row>
    <row r="255" spans="1:25" ht="38.25" customHeight="1" x14ac:dyDescent="0.2">
      <c r="A255" s="9">
        <v>42</v>
      </c>
      <c r="B255" s="44">
        <f>'Adv Report'!A45</f>
        <v>0</v>
      </c>
      <c r="C255" s="9"/>
      <c r="D255" s="9"/>
      <c r="E255" s="9"/>
      <c r="F255" s="71">
        <f t="shared" si="22"/>
        <v>0</v>
      </c>
      <c r="G255" s="12">
        <f>'Adv Report'!F45</f>
        <v>0</v>
      </c>
      <c r="H255" s="12">
        <f>'Adv Report'!G45</f>
        <v>0</v>
      </c>
      <c r="I255" s="12">
        <f>'Adv Report'!H45</f>
        <v>0</v>
      </c>
      <c r="J255" s="71">
        <f t="shared" ref="J255:J333" si="23">G255+H255+I255</f>
        <v>0</v>
      </c>
      <c r="K255" s="12">
        <f>'Adv Report'!C45</f>
        <v>0</v>
      </c>
      <c r="L255" s="12">
        <f>'Adv Report'!D45</f>
        <v>0</v>
      </c>
      <c r="M255" s="12">
        <f>'Adv Report'!E45</f>
        <v>0</v>
      </c>
      <c r="N255" s="71">
        <f t="shared" ref="N255:N333" si="24">K255+L255+M255</f>
        <v>0</v>
      </c>
      <c r="O255" s="2"/>
      <c r="P255" s="2"/>
      <c r="Q255" s="1"/>
      <c r="R255" s="1"/>
      <c r="S255" s="46"/>
      <c r="T255" s="49"/>
      <c r="U255" s="49"/>
      <c r="V255" s="3"/>
      <c r="W255" s="3"/>
      <c r="X255" s="3"/>
      <c r="Y255" s="2"/>
    </row>
    <row r="256" spans="1:25" ht="38.25" customHeight="1" x14ac:dyDescent="0.2">
      <c r="A256" s="9">
        <v>43</v>
      </c>
      <c r="B256" s="44">
        <f>'Adv Report'!A46</f>
        <v>0</v>
      </c>
      <c r="C256" s="9"/>
      <c r="D256" s="9"/>
      <c r="E256" s="9"/>
      <c r="F256" s="71">
        <f t="shared" si="22"/>
        <v>0</v>
      </c>
      <c r="G256" s="12">
        <f>'Adv Report'!F46</f>
        <v>0</v>
      </c>
      <c r="H256" s="12">
        <f>'Adv Report'!G46</f>
        <v>0</v>
      </c>
      <c r="I256" s="12">
        <f>'Adv Report'!H46</f>
        <v>0</v>
      </c>
      <c r="J256" s="71">
        <f t="shared" si="23"/>
        <v>0</v>
      </c>
      <c r="K256" s="12">
        <f>'Adv Report'!C46</f>
        <v>0</v>
      </c>
      <c r="L256" s="12">
        <f>'Adv Report'!D46</f>
        <v>0</v>
      </c>
      <c r="M256" s="12">
        <f>'Adv Report'!E46</f>
        <v>0</v>
      </c>
      <c r="N256" s="71">
        <f t="shared" si="24"/>
        <v>0</v>
      </c>
      <c r="O256" s="2"/>
      <c r="P256" s="2"/>
      <c r="Q256" s="1"/>
      <c r="R256" s="1"/>
      <c r="S256" s="46"/>
      <c r="T256" s="49"/>
      <c r="U256" s="49"/>
      <c r="V256" s="3"/>
      <c r="W256" s="3"/>
      <c r="X256" s="3"/>
      <c r="Y256" s="2"/>
    </row>
    <row r="257" spans="1:25" ht="38.25" customHeight="1" x14ac:dyDescent="0.2">
      <c r="A257" s="9">
        <v>44</v>
      </c>
      <c r="B257" s="44">
        <f>'Adv Report'!A47</f>
        <v>0</v>
      </c>
      <c r="C257" s="9"/>
      <c r="D257" s="9"/>
      <c r="E257" s="9"/>
      <c r="F257" s="71">
        <f t="shared" si="22"/>
        <v>0</v>
      </c>
      <c r="G257" s="12">
        <f>'Adv Report'!F47</f>
        <v>0</v>
      </c>
      <c r="H257" s="12">
        <f>'Adv Report'!G47</f>
        <v>0</v>
      </c>
      <c r="I257" s="12">
        <f>'Adv Report'!H47</f>
        <v>0</v>
      </c>
      <c r="J257" s="71">
        <f t="shared" si="23"/>
        <v>0</v>
      </c>
      <c r="K257" s="12">
        <f>'Adv Report'!C47</f>
        <v>0</v>
      </c>
      <c r="L257" s="12">
        <f>'Adv Report'!D47</f>
        <v>0</v>
      </c>
      <c r="M257" s="12">
        <f>'Adv Report'!E47</f>
        <v>0</v>
      </c>
      <c r="N257" s="71">
        <f t="shared" si="24"/>
        <v>0</v>
      </c>
      <c r="O257" s="2"/>
      <c r="P257" s="2"/>
      <c r="Q257" s="1"/>
      <c r="R257" s="1"/>
      <c r="S257" s="46"/>
      <c r="T257" s="49"/>
      <c r="U257" s="49"/>
      <c r="V257" s="3"/>
      <c r="W257" s="3"/>
      <c r="X257" s="3"/>
      <c r="Y257" s="2"/>
    </row>
    <row r="258" spans="1:25" ht="38.25" customHeight="1" x14ac:dyDescent="0.2">
      <c r="A258" s="9">
        <v>45</v>
      </c>
      <c r="B258" s="44">
        <f>'Adv Report'!A48</f>
        <v>0</v>
      </c>
      <c r="C258" s="9"/>
      <c r="D258" s="9"/>
      <c r="E258" s="9"/>
      <c r="F258" s="71">
        <f t="shared" si="22"/>
        <v>0</v>
      </c>
      <c r="G258" s="12">
        <f>'Adv Report'!F48</f>
        <v>0</v>
      </c>
      <c r="H258" s="12">
        <f>'Adv Report'!G48</f>
        <v>0</v>
      </c>
      <c r="I258" s="12">
        <f>'Adv Report'!H48</f>
        <v>0</v>
      </c>
      <c r="J258" s="71">
        <f t="shared" si="23"/>
        <v>0</v>
      </c>
      <c r="K258" s="12">
        <f>'Adv Report'!C48</f>
        <v>0</v>
      </c>
      <c r="L258" s="12">
        <f>'Adv Report'!D48</f>
        <v>0</v>
      </c>
      <c r="M258" s="12">
        <f>'Adv Report'!E48</f>
        <v>0</v>
      </c>
      <c r="N258" s="71">
        <f t="shared" si="24"/>
        <v>0</v>
      </c>
      <c r="O258" s="2"/>
      <c r="P258" s="2"/>
      <c r="Q258" s="1"/>
      <c r="R258" s="1"/>
      <c r="S258" s="46"/>
      <c r="T258" s="49"/>
      <c r="U258" s="49"/>
      <c r="V258" s="3"/>
      <c r="W258" s="3"/>
      <c r="X258" s="3"/>
      <c r="Y258" s="2"/>
    </row>
    <row r="259" spans="1:25" ht="38.25" customHeight="1" x14ac:dyDescent="0.2">
      <c r="A259" s="9">
        <v>46</v>
      </c>
      <c r="B259" s="44">
        <f>'Adv Report'!A49</f>
        <v>0</v>
      </c>
      <c r="C259" s="9"/>
      <c r="D259" s="9"/>
      <c r="E259" s="9"/>
      <c r="F259" s="71">
        <f t="shared" si="22"/>
        <v>0</v>
      </c>
      <c r="G259" s="12">
        <f>'Adv Report'!F49</f>
        <v>0</v>
      </c>
      <c r="H259" s="12">
        <f>'Adv Report'!G49</f>
        <v>0</v>
      </c>
      <c r="I259" s="12">
        <f>'Adv Report'!H49</f>
        <v>0</v>
      </c>
      <c r="J259" s="71">
        <f t="shared" si="23"/>
        <v>0</v>
      </c>
      <c r="K259" s="12">
        <f>'Adv Report'!C49</f>
        <v>0</v>
      </c>
      <c r="L259" s="12">
        <f>'Adv Report'!D49</f>
        <v>0</v>
      </c>
      <c r="M259" s="12">
        <f>'Adv Report'!E49</f>
        <v>0</v>
      </c>
      <c r="N259" s="71">
        <f t="shared" si="24"/>
        <v>0</v>
      </c>
      <c r="O259" s="2"/>
      <c r="P259" s="2"/>
      <c r="Q259" s="1"/>
      <c r="R259" s="1"/>
      <c r="S259" s="46"/>
      <c r="T259" s="49"/>
      <c r="U259" s="49"/>
      <c r="V259" s="3"/>
      <c r="W259" s="3"/>
      <c r="X259" s="3"/>
      <c r="Y259" s="2"/>
    </row>
    <row r="260" spans="1:25" ht="38.25" customHeight="1" x14ac:dyDescent="0.2">
      <c r="A260" s="9">
        <v>47</v>
      </c>
      <c r="B260" s="44">
        <f>'Adv Report'!A50</f>
        <v>0</v>
      </c>
      <c r="C260" s="9"/>
      <c r="D260" s="9"/>
      <c r="E260" s="9"/>
      <c r="F260" s="71">
        <f t="shared" si="22"/>
        <v>0</v>
      </c>
      <c r="G260" s="12">
        <f>'Adv Report'!F50</f>
        <v>0</v>
      </c>
      <c r="H260" s="12">
        <f>'Adv Report'!G50</f>
        <v>0</v>
      </c>
      <c r="I260" s="12">
        <f>'Adv Report'!H50</f>
        <v>0</v>
      </c>
      <c r="J260" s="71">
        <f t="shared" si="23"/>
        <v>0</v>
      </c>
      <c r="K260" s="12">
        <f>'Adv Report'!C50</f>
        <v>0</v>
      </c>
      <c r="L260" s="12">
        <f>'Adv Report'!D50</f>
        <v>0</v>
      </c>
      <c r="M260" s="12">
        <f>'Adv Report'!E50</f>
        <v>0</v>
      </c>
      <c r="N260" s="71">
        <f t="shared" si="24"/>
        <v>0</v>
      </c>
      <c r="O260" s="2"/>
      <c r="P260" s="2"/>
      <c r="Q260" s="1"/>
      <c r="R260" s="1"/>
      <c r="S260" s="46"/>
      <c r="T260" s="49"/>
      <c r="U260" s="49"/>
      <c r="V260" s="3"/>
      <c r="W260" s="3"/>
      <c r="X260" s="3"/>
      <c r="Y260" s="2"/>
    </row>
    <row r="261" spans="1:25" ht="38.25" customHeight="1" x14ac:dyDescent="0.2">
      <c r="A261" s="9">
        <v>48</v>
      </c>
      <c r="B261" s="44">
        <f>'Adv Report'!A51</f>
        <v>0</v>
      </c>
      <c r="C261" s="9"/>
      <c r="D261" s="9"/>
      <c r="E261" s="9"/>
      <c r="F261" s="71">
        <f t="shared" si="22"/>
        <v>0</v>
      </c>
      <c r="G261" s="12">
        <f>'Adv Report'!F51</f>
        <v>0</v>
      </c>
      <c r="H261" s="12">
        <f>'Adv Report'!G51</f>
        <v>0</v>
      </c>
      <c r="I261" s="12">
        <f>'Adv Report'!H51</f>
        <v>0</v>
      </c>
      <c r="J261" s="71">
        <f t="shared" si="23"/>
        <v>0</v>
      </c>
      <c r="K261" s="12">
        <f>'Adv Report'!C51</f>
        <v>0</v>
      </c>
      <c r="L261" s="12">
        <f>'Adv Report'!D51</f>
        <v>0</v>
      </c>
      <c r="M261" s="12">
        <f>'Adv Report'!E51</f>
        <v>0</v>
      </c>
      <c r="N261" s="71">
        <f t="shared" si="24"/>
        <v>0</v>
      </c>
      <c r="O261" s="2"/>
      <c r="P261" s="2"/>
      <c r="Q261" s="1"/>
      <c r="R261" s="1"/>
      <c r="S261" s="46"/>
      <c r="T261" s="49"/>
      <c r="U261" s="49"/>
      <c r="V261" s="3"/>
      <c r="W261" s="3"/>
      <c r="X261" s="3"/>
      <c r="Y261" s="2"/>
    </row>
    <row r="262" spans="1:25" ht="38.25" customHeight="1" x14ac:dyDescent="0.2">
      <c r="A262" s="9">
        <v>49</v>
      </c>
      <c r="B262" s="44">
        <f>'Adv Report'!A52</f>
        <v>0</v>
      </c>
      <c r="C262" s="9"/>
      <c r="D262" s="9"/>
      <c r="E262" s="9"/>
      <c r="F262" s="71">
        <f t="shared" si="22"/>
        <v>0</v>
      </c>
      <c r="G262" s="12">
        <f>'Adv Report'!F52</f>
        <v>0</v>
      </c>
      <c r="H262" s="12">
        <f>'Adv Report'!G52</f>
        <v>0</v>
      </c>
      <c r="I262" s="12">
        <f>'Adv Report'!H52</f>
        <v>0</v>
      </c>
      <c r="J262" s="71">
        <f t="shared" si="23"/>
        <v>0</v>
      </c>
      <c r="K262" s="12">
        <f>'Adv Report'!C52</f>
        <v>0</v>
      </c>
      <c r="L262" s="12">
        <f>'Adv Report'!D52</f>
        <v>0</v>
      </c>
      <c r="M262" s="12">
        <f>'Adv Report'!E52</f>
        <v>0</v>
      </c>
      <c r="N262" s="71">
        <f t="shared" si="24"/>
        <v>0</v>
      </c>
      <c r="O262" s="2"/>
      <c r="P262" s="2"/>
      <c r="Q262" s="1"/>
      <c r="R262" s="1"/>
      <c r="S262" s="46"/>
      <c r="T262" s="49"/>
      <c r="U262" s="49"/>
      <c r="V262" s="3"/>
      <c r="W262" s="3"/>
      <c r="X262" s="3"/>
      <c r="Y262" s="2"/>
    </row>
    <row r="263" spans="1:25" ht="38.25" customHeight="1" x14ac:dyDescent="0.2">
      <c r="A263" s="9">
        <v>50</v>
      </c>
      <c r="B263" s="44">
        <f>'Adv Report'!A53</f>
        <v>0</v>
      </c>
      <c r="C263" s="9"/>
      <c r="D263" s="9"/>
      <c r="E263" s="9"/>
      <c r="F263" s="71">
        <f t="shared" si="22"/>
        <v>0</v>
      </c>
      <c r="G263" s="12">
        <f>'Adv Report'!F53</f>
        <v>0</v>
      </c>
      <c r="H263" s="12">
        <f>'Adv Report'!G53</f>
        <v>0</v>
      </c>
      <c r="I263" s="12">
        <f>'Adv Report'!H53</f>
        <v>0</v>
      </c>
      <c r="J263" s="71">
        <f t="shared" si="23"/>
        <v>0</v>
      </c>
      <c r="K263" s="12">
        <f>'Adv Report'!C53</f>
        <v>0</v>
      </c>
      <c r="L263" s="12">
        <f>'Adv Report'!D53</f>
        <v>0</v>
      </c>
      <c r="M263" s="12">
        <f>'Adv Report'!E53</f>
        <v>0</v>
      </c>
      <c r="N263" s="71">
        <f t="shared" si="24"/>
        <v>0</v>
      </c>
      <c r="O263" s="2"/>
      <c r="P263" s="2"/>
      <c r="Q263" s="1"/>
      <c r="R263" s="1"/>
      <c r="S263" s="46"/>
      <c r="T263" s="49"/>
      <c r="U263" s="49"/>
      <c r="V263" s="3"/>
      <c r="W263" s="3"/>
      <c r="X263" s="3"/>
      <c r="Y263" s="2"/>
    </row>
    <row r="264" spans="1:25" ht="38.25" customHeight="1" x14ac:dyDescent="0.2">
      <c r="A264" s="9">
        <v>51</v>
      </c>
      <c r="B264" s="44">
        <f>'Adv Report'!A54</f>
        <v>0</v>
      </c>
      <c r="C264" s="9"/>
      <c r="D264" s="9"/>
      <c r="E264" s="9"/>
      <c r="F264" s="71">
        <f t="shared" si="22"/>
        <v>0</v>
      </c>
      <c r="G264" s="12">
        <f>'Adv Report'!F54</f>
        <v>0</v>
      </c>
      <c r="H264" s="12">
        <f>'Adv Report'!G54</f>
        <v>0</v>
      </c>
      <c r="I264" s="12">
        <f>'Adv Report'!H54</f>
        <v>0</v>
      </c>
      <c r="J264" s="71">
        <f t="shared" si="23"/>
        <v>0</v>
      </c>
      <c r="K264" s="12">
        <f>'Adv Report'!C54</f>
        <v>0</v>
      </c>
      <c r="L264" s="12">
        <f>'Adv Report'!D54</f>
        <v>0</v>
      </c>
      <c r="M264" s="12">
        <f>'Adv Report'!E54</f>
        <v>0</v>
      </c>
      <c r="N264" s="71">
        <f t="shared" si="24"/>
        <v>0</v>
      </c>
      <c r="O264" s="2"/>
      <c r="P264" s="2"/>
      <c r="Q264" s="1"/>
      <c r="R264" s="1"/>
      <c r="S264" s="46"/>
      <c r="T264" s="49"/>
      <c r="U264" s="49"/>
      <c r="V264" s="3"/>
      <c r="W264" s="3"/>
      <c r="X264" s="3"/>
      <c r="Y264" s="2"/>
    </row>
    <row r="265" spans="1:25" ht="38.25" customHeight="1" x14ac:dyDescent="0.2">
      <c r="A265" s="9">
        <v>52</v>
      </c>
      <c r="B265" s="44">
        <f>'Adv Report'!A55</f>
        <v>0</v>
      </c>
      <c r="C265" s="9"/>
      <c r="D265" s="9"/>
      <c r="E265" s="9"/>
      <c r="F265" s="71">
        <f t="shared" si="22"/>
        <v>0</v>
      </c>
      <c r="G265" s="12">
        <f>'Adv Report'!F55</f>
        <v>0</v>
      </c>
      <c r="H265" s="12">
        <f>'Adv Report'!G55</f>
        <v>0</v>
      </c>
      <c r="I265" s="12">
        <f>'Adv Report'!H55</f>
        <v>0</v>
      </c>
      <c r="J265" s="71">
        <f t="shared" si="23"/>
        <v>0</v>
      </c>
      <c r="K265" s="12">
        <f>'Adv Report'!C55</f>
        <v>0</v>
      </c>
      <c r="L265" s="12">
        <f>'Adv Report'!D55</f>
        <v>0</v>
      </c>
      <c r="M265" s="12">
        <f>'Adv Report'!E55</f>
        <v>0</v>
      </c>
      <c r="N265" s="71">
        <f t="shared" si="24"/>
        <v>0</v>
      </c>
      <c r="O265" s="2"/>
      <c r="P265" s="2"/>
      <c r="Q265" s="1"/>
      <c r="R265" s="1"/>
      <c r="S265" s="46"/>
      <c r="T265" s="49"/>
      <c r="U265" s="49"/>
      <c r="V265" s="3"/>
      <c r="W265" s="3"/>
      <c r="X265" s="3"/>
      <c r="Y265" s="2"/>
    </row>
    <row r="266" spans="1:25" ht="38.25" customHeight="1" x14ac:dyDescent="0.2">
      <c r="A266" s="9">
        <v>53</v>
      </c>
      <c r="B266" s="44">
        <f>'Adv Report'!A56</f>
        <v>0</v>
      </c>
      <c r="C266" s="9"/>
      <c r="D266" s="9"/>
      <c r="E266" s="9"/>
      <c r="F266" s="71">
        <f t="shared" si="22"/>
        <v>0</v>
      </c>
      <c r="G266" s="12">
        <f>'Adv Report'!F56</f>
        <v>0</v>
      </c>
      <c r="H266" s="12">
        <f>'Adv Report'!G56</f>
        <v>0</v>
      </c>
      <c r="I266" s="12">
        <f>'Adv Report'!H56</f>
        <v>0</v>
      </c>
      <c r="J266" s="71">
        <f t="shared" si="23"/>
        <v>0</v>
      </c>
      <c r="K266" s="12">
        <f>'Adv Report'!C56</f>
        <v>0</v>
      </c>
      <c r="L266" s="12">
        <f>'Adv Report'!D56</f>
        <v>0</v>
      </c>
      <c r="M266" s="12">
        <f>'Adv Report'!E56</f>
        <v>0</v>
      </c>
      <c r="N266" s="71">
        <f t="shared" si="24"/>
        <v>0</v>
      </c>
      <c r="O266" s="2"/>
      <c r="P266" s="2"/>
      <c r="Q266" s="1"/>
      <c r="R266" s="1"/>
      <c r="S266" s="46"/>
      <c r="T266" s="49"/>
      <c r="U266" s="49"/>
      <c r="V266" s="3"/>
      <c r="W266" s="3"/>
      <c r="X266" s="3"/>
      <c r="Y266" s="2"/>
    </row>
    <row r="267" spans="1:25" ht="38.25" customHeight="1" x14ac:dyDescent="0.2">
      <c r="A267" s="9">
        <v>54</v>
      </c>
      <c r="B267" s="44">
        <f>'Adv Report'!A57</f>
        <v>0</v>
      </c>
      <c r="C267" s="9"/>
      <c r="D267" s="9"/>
      <c r="E267" s="9"/>
      <c r="F267" s="71">
        <f t="shared" si="22"/>
        <v>0</v>
      </c>
      <c r="G267" s="12">
        <f>'Adv Report'!F57</f>
        <v>0</v>
      </c>
      <c r="H267" s="12">
        <f>'Adv Report'!G57</f>
        <v>0</v>
      </c>
      <c r="I267" s="12">
        <f>'Adv Report'!H57</f>
        <v>0</v>
      </c>
      <c r="J267" s="71">
        <f t="shared" si="23"/>
        <v>0</v>
      </c>
      <c r="K267" s="12">
        <f>'Adv Report'!C57</f>
        <v>0</v>
      </c>
      <c r="L267" s="12">
        <f>'Adv Report'!D57</f>
        <v>0</v>
      </c>
      <c r="M267" s="12">
        <f>'Adv Report'!E57</f>
        <v>0</v>
      </c>
      <c r="N267" s="71">
        <f t="shared" si="24"/>
        <v>0</v>
      </c>
      <c r="O267" s="2"/>
      <c r="P267" s="2"/>
      <c r="Q267" s="1"/>
      <c r="R267" s="1"/>
      <c r="S267" s="46"/>
      <c r="T267" s="49"/>
      <c r="U267" s="49"/>
      <c r="V267" s="3"/>
      <c r="W267" s="3"/>
      <c r="X267" s="3"/>
      <c r="Y267" s="2"/>
    </row>
    <row r="268" spans="1:25" ht="38.25" customHeight="1" x14ac:dyDescent="0.2">
      <c r="A268" s="9">
        <v>55</v>
      </c>
      <c r="B268" s="44">
        <f>'Adv Report'!A58</f>
        <v>0</v>
      </c>
      <c r="C268" s="9"/>
      <c r="D268" s="9"/>
      <c r="E268" s="9"/>
      <c r="F268" s="71">
        <f t="shared" si="22"/>
        <v>0</v>
      </c>
      <c r="G268" s="12">
        <f>'Adv Report'!F58</f>
        <v>0</v>
      </c>
      <c r="H268" s="12">
        <f>'Adv Report'!G58</f>
        <v>0</v>
      </c>
      <c r="I268" s="12">
        <f>'Adv Report'!H58</f>
        <v>0</v>
      </c>
      <c r="J268" s="71">
        <f t="shared" si="23"/>
        <v>0</v>
      </c>
      <c r="K268" s="12">
        <f>'Adv Report'!C58</f>
        <v>0</v>
      </c>
      <c r="L268" s="12">
        <f>'Adv Report'!D58</f>
        <v>0</v>
      </c>
      <c r="M268" s="12">
        <f>'Adv Report'!E58</f>
        <v>0</v>
      </c>
      <c r="N268" s="71">
        <f t="shared" si="24"/>
        <v>0</v>
      </c>
      <c r="O268" s="2"/>
      <c r="P268" s="2"/>
      <c r="Q268" s="1"/>
      <c r="R268" s="1"/>
      <c r="S268" s="46"/>
      <c r="T268" s="49"/>
      <c r="U268" s="49"/>
      <c r="V268" s="3"/>
      <c r="W268" s="3"/>
      <c r="X268" s="3"/>
      <c r="Y268" s="2"/>
    </row>
    <row r="269" spans="1:25" ht="38.25" customHeight="1" x14ac:dyDescent="0.2">
      <c r="A269" s="9">
        <v>56</v>
      </c>
      <c r="B269" s="44">
        <f>'Adv Report'!A59</f>
        <v>0</v>
      </c>
      <c r="C269" s="9"/>
      <c r="D269" s="9"/>
      <c r="E269" s="9"/>
      <c r="F269" s="71">
        <f t="shared" si="22"/>
        <v>0</v>
      </c>
      <c r="G269" s="12">
        <f>'Adv Report'!F59</f>
        <v>0</v>
      </c>
      <c r="H269" s="12">
        <f>'Adv Report'!G59</f>
        <v>0</v>
      </c>
      <c r="I269" s="12">
        <f>'Adv Report'!H59</f>
        <v>0</v>
      </c>
      <c r="J269" s="71">
        <f t="shared" si="23"/>
        <v>0</v>
      </c>
      <c r="K269" s="12">
        <f>'Adv Report'!C59</f>
        <v>0</v>
      </c>
      <c r="L269" s="12">
        <f>'Adv Report'!D59</f>
        <v>0</v>
      </c>
      <c r="M269" s="12">
        <f>'Adv Report'!E59</f>
        <v>0</v>
      </c>
      <c r="N269" s="71">
        <f t="shared" si="24"/>
        <v>0</v>
      </c>
      <c r="O269" s="2"/>
      <c r="P269" s="2"/>
      <c r="Q269" s="1"/>
      <c r="R269" s="1"/>
      <c r="S269" s="46"/>
      <c r="T269" s="49"/>
      <c r="U269" s="49"/>
      <c r="V269" s="3"/>
      <c r="W269" s="3"/>
      <c r="X269" s="3"/>
      <c r="Y269" s="2"/>
    </row>
    <row r="270" spans="1:25" ht="38.25" customHeight="1" x14ac:dyDescent="0.2">
      <c r="A270" s="9">
        <v>57</v>
      </c>
      <c r="B270" s="44">
        <f>'Adv Report'!A60</f>
        <v>0</v>
      </c>
      <c r="C270" s="9"/>
      <c r="D270" s="9"/>
      <c r="E270" s="9"/>
      <c r="F270" s="71">
        <f t="shared" si="22"/>
        <v>0</v>
      </c>
      <c r="G270" s="12">
        <f>'Adv Report'!F60</f>
        <v>0</v>
      </c>
      <c r="H270" s="12">
        <f>'Adv Report'!G60</f>
        <v>0</v>
      </c>
      <c r="I270" s="12">
        <f>'Adv Report'!H60</f>
        <v>0</v>
      </c>
      <c r="J270" s="71">
        <f t="shared" si="23"/>
        <v>0</v>
      </c>
      <c r="K270" s="12">
        <f>'Adv Report'!C60</f>
        <v>0</v>
      </c>
      <c r="L270" s="12">
        <f>'Adv Report'!D60</f>
        <v>0</v>
      </c>
      <c r="M270" s="12">
        <f>'Adv Report'!E60</f>
        <v>0</v>
      </c>
      <c r="N270" s="71">
        <f t="shared" si="24"/>
        <v>0</v>
      </c>
      <c r="O270" s="2"/>
      <c r="P270" s="2"/>
      <c r="Q270" s="1"/>
      <c r="R270" s="1"/>
      <c r="S270" s="46"/>
      <c r="T270" s="49"/>
      <c r="U270" s="49"/>
      <c r="V270" s="3"/>
      <c r="W270" s="3"/>
      <c r="X270" s="3"/>
      <c r="Y270" s="2"/>
    </row>
    <row r="271" spans="1:25" ht="38.25" customHeight="1" x14ac:dyDescent="0.2">
      <c r="A271" s="9">
        <v>58</v>
      </c>
      <c r="B271" s="44">
        <f>'Adv Report'!A61</f>
        <v>0</v>
      </c>
      <c r="C271" s="9"/>
      <c r="D271" s="9"/>
      <c r="E271" s="9"/>
      <c r="F271" s="71">
        <f t="shared" si="22"/>
        <v>0</v>
      </c>
      <c r="G271" s="12">
        <f>'Adv Report'!F61</f>
        <v>0</v>
      </c>
      <c r="H271" s="12">
        <f>'Adv Report'!G61</f>
        <v>0</v>
      </c>
      <c r="I271" s="12">
        <f>'Adv Report'!H61</f>
        <v>0</v>
      </c>
      <c r="J271" s="71">
        <f t="shared" si="23"/>
        <v>0</v>
      </c>
      <c r="K271" s="12">
        <f>'Adv Report'!C61</f>
        <v>0</v>
      </c>
      <c r="L271" s="12">
        <f>'Adv Report'!D61</f>
        <v>0</v>
      </c>
      <c r="M271" s="12">
        <f>'Adv Report'!E61</f>
        <v>0</v>
      </c>
      <c r="N271" s="71">
        <f t="shared" si="24"/>
        <v>0</v>
      </c>
      <c r="O271" s="2"/>
      <c r="P271" s="2"/>
      <c r="Q271" s="1"/>
      <c r="R271" s="1"/>
      <c r="S271" s="46"/>
      <c r="T271" s="49"/>
      <c r="U271" s="49"/>
      <c r="V271" s="3"/>
      <c r="W271" s="3"/>
      <c r="X271" s="3"/>
      <c r="Y271" s="2"/>
    </row>
    <row r="272" spans="1:25" ht="38.25" customHeight="1" x14ac:dyDescent="0.2">
      <c r="A272" s="9">
        <v>59</v>
      </c>
      <c r="B272" s="44">
        <f>'Adv Report'!A62</f>
        <v>0</v>
      </c>
      <c r="C272" s="9"/>
      <c r="D272" s="9"/>
      <c r="E272" s="9"/>
      <c r="F272" s="71">
        <f t="shared" si="22"/>
        <v>0</v>
      </c>
      <c r="G272" s="12">
        <f>'Adv Report'!F62</f>
        <v>0</v>
      </c>
      <c r="H272" s="12">
        <f>'Adv Report'!G62</f>
        <v>0</v>
      </c>
      <c r="I272" s="12">
        <f>'Adv Report'!H62</f>
        <v>0</v>
      </c>
      <c r="J272" s="71">
        <f t="shared" si="23"/>
        <v>0</v>
      </c>
      <c r="K272" s="12">
        <f>'Adv Report'!C62</f>
        <v>0</v>
      </c>
      <c r="L272" s="12">
        <f>'Adv Report'!D62</f>
        <v>0</v>
      </c>
      <c r="M272" s="12">
        <f>'Adv Report'!E62</f>
        <v>0</v>
      </c>
      <c r="N272" s="71">
        <f t="shared" si="24"/>
        <v>0</v>
      </c>
      <c r="O272" s="2"/>
      <c r="P272" s="2"/>
      <c r="Q272" s="1"/>
      <c r="R272" s="1"/>
      <c r="S272" s="46"/>
      <c r="T272" s="49"/>
      <c r="U272" s="49"/>
      <c r="V272" s="3"/>
      <c r="W272" s="3"/>
      <c r="X272" s="3"/>
      <c r="Y272" s="2"/>
    </row>
    <row r="273" spans="1:25" ht="38.25" customHeight="1" x14ac:dyDescent="0.2">
      <c r="A273" s="9">
        <v>60</v>
      </c>
      <c r="B273" s="44">
        <f>'Adv Report'!A63</f>
        <v>0</v>
      </c>
      <c r="C273" s="9"/>
      <c r="D273" s="9"/>
      <c r="E273" s="9"/>
      <c r="F273" s="71">
        <f t="shared" si="22"/>
        <v>0</v>
      </c>
      <c r="G273" s="12">
        <f>'Adv Report'!F63</f>
        <v>0</v>
      </c>
      <c r="H273" s="12">
        <f>'Adv Report'!G63</f>
        <v>0</v>
      </c>
      <c r="I273" s="12">
        <f>'Adv Report'!H63</f>
        <v>0</v>
      </c>
      <c r="J273" s="71">
        <f t="shared" si="23"/>
        <v>0</v>
      </c>
      <c r="K273" s="12">
        <f>'Adv Report'!C63</f>
        <v>0</v>
      </c>
      <c r="L273" s="12">
        <f>'Adv Report'!D63</f>
        <v>0</v>
      </c>
      <c r="M273" s="12">
        <f>'Adv Report'!E63</f>
        <v>0</v>
      </c>
      <c r="N273" s="71">
        <f t="shared" si="24"/>
        <v>0</v>
      </c>
      <c r="O273" s="2"/>
      <c r="P273" s="2"/>
      <c r="Q273" s="1"/>
      <c r="R273" s="1"/>
      <c r="S273" s="46"/>
      <c r="T273" s="49"/>
      <c r="U273" s="49"/>
      <c r="V273" s="3"/>
      <c r="W273" s="3"/>
      <c r="X273" s="3"/>
      <c r="Y273" s="2"/>
    </row>
    <row r="274" spans="1:25" ht="38.25" customHeight="1" x14ac:dyDescent="0.2">
      <c r="A274" s="9">
        <v>61</v>
      </c>
      <c r="B274" s="44">
        <f>'Adv Report'!A64</f>
        <v>0</v>
      </c>
      <c r="C274" s="9"/>
      <c r="D274" s="9"/>
      <c r="E274" s="9"/>
      <c r="F274" s="71">
        <f t="shared" si="22"/>
        <v>0</v>
      </c>
      <c r="G274" s="12">
        <f>'Adv Report'!F64</f>
        <v>0</v>
      </c>
      <c r="H274" s="12">
        <f>'Adv Report'!G64</f>
        <v>0</v>
      </c>
      <c r="I274" s="12">
        <f>'Adv Report'!H64</f>
        <v>0</v>
      </c>
      <c r="J274" s="71">
        <f t="shared" si="23"/>
        <v>0</v>
      </c>
      <c r="K274" s="12">
        <f>'Adv Report'!C64</f>
        <v>0</v>
      </c>
      <c r="L274" s="12">
        <f>'Adv Report'!D64</f>
        <v>0</v>
      </c>
      <c r="M274" s="12">
        <f>'Adv Report'!E64</f>
        <v>0</v>
      </c>
      <c r="N274" s="71">
        <f t="shared" si="24"/>
        <v>0</v>
      </c>
      <c r="O274" s="2"/>
      <c r="P274" s="2"/>
      <c r="Q274" s="1"/>
      <c r="R274" s="1"/>
      <c r="S274" s="46"/>
      <c r="T274" s="49"/>
      <c r="U274" s="49"/>
      <c r="V274" s="3"/>
      <c r="W274" s="3"/>
      <c r="X274" s="3"/>
      <c r="Y274" s="2"/>
    </row>
    <row r="275" spans="1:25" ht="38.25" customHeight="1" x14ac:dyDescent="0.2">
      <c r="A275" s="9">
        <v>62</v>
      </c>
      <c r="B275" s="44">
        <f>'Adv Report'!A65</f>
        <v>0</v>
      </c>
      <c r="C275" s="9"/>
      <c r="D275" s="9"/>
      <c r="E275" s="9"/>
      <c r="F275" s="71">
        <f t="shared" si="22"/>
        <v>0</v>
      </c>
      <c r="G275" s="12">
        <f>'Adv Report'!F65</f>
        <v>0</v>
      </c>
      <c r="H275" s="12">
        <f>'Adv Report'!G65</f>
        <v>0</v>
      </c>
      <c r="I275" s="12">
        <f>'Adv Report'!H65</f>
        <v>0</v>
      </c>
      <c r="J275" s="71">
        <f t="shared" si="23"/>
        <v>0</v>
      </c>
      <c r="K275" s="12">
        <f>'Adv Report'!C65</f>
        <v>0</v>
      </c>
      <c r="L275" s="12">
        <f>'Adv Report'!D65</f>
        <v>0</v>
      </c>
      <c r="M275" s="12">
        <f>'Adv Report'!E65</f>
        <v>0</v>
      </c>
      <c r="N275" s="71">
        <f t="shared" si="24"/>
        <v>0</v>
      </c>
      <c r="O275" s="2"/>
      <c r="P275" s="2"/>
      <c r="Q275" s="1"/>
      <c r="R275" s="1"/>
      <c r="S275" s="46"/>
      <c r="T275" s="49"/>
      <c r="U275" s="49"/>
      <c r="V275" s="3"/>
      <c r="W275" s="3"/>
      <c r="X275" s="3"/>
      <c r="Y275" s="2"/>
    </row>
    <row r="276" spans="1:25" ht="38.25" customHeight="1" x14ac:dyDescent="0.2">
      <c r="A276" s="9">
        <v>63</v>
      </c>
      <c r="B276" s="44">
        <f>'Adv Report'!A66</f>
        <v>0</v>
      </c>
      <c r="C276" s="9"/>
      <c r="D276" s="9"/>
      <c r="E276" s="9"/>
      <c r="F276" s="71">
        <f t="shared" si="22"/>
        <v>0</v>
      </c>
      <c r="G276" s="12">
        <f>'Adv Report'!F66</f>
        <v>0</v>
      </c>
      <c r="H276" s="12">
        <f>'Adv Report'!G66</f>
        <v>0</v>
      </c>
      <c r="I276" s="12">
        <f>'Adv Report'!H66</f>
        <v>0</v>
      </c>
      <c r="J276" s="71">
        <f t="shared" si="23"/>
        <v>0</v>
      </c>
      <c r="K276" s="12">
        <f>'Adv Report'!C66</f>
        <v>0</v>
      </c>
      <c r="L276" s="12">
        <f>'Adv Report'!D66</f>
        <v>0</v>
      </c>
      <c r="M276" s="12">
        <f>'Adv Report'!E66</f>
        <v>0</v>
      </c>
      <c r="N276" s="71">
        <f t="shared" si="24"/>
        <v>0</v>
      </c>
      <c r="O276" s="2"/>
      <c r="P276" s="2"/>
      <c r="Q276" s="1"/>
      <c r="R276" s="1"/>
      <c r="S276" s="46"/>
      <c r="T276" s="49"/>
      <c r="U276" s="49"/>
      <c r="V276" s="3"/>
      <c r="W276" s="3"/>
      <c r="X276" s="3"/>
      <c r="Y276" s="2"/>
    </row>
    <row r="277" spans="1:25" ht="38.25" customHeight="1" x14ac:dyDescent="0.2">
      <c r="A277" s="9">
        <v>64</v>
      </c>
      <c r="B277" s="44">
        <f>'Adv Report'!A67</f>
        <v>0</v>
      </c>
      <c r="C277" s="9"/>
      <c r="D277" s="9"/>
      <c r="E277" s="9"/>
      <c r="F277" s="71">
        <f t="shared" si="22"/>
        <v>0</v>
      </c>
      <c r="G277" s="12">
        <f>'Adv Report'!F67</f>
        <v>0</v>
      </c>
      <c r="H277" s="12">
        <f>'Adv Report'!G67</f>
        <v>0</v>
      </c>
      <c r="I277" s="12">
        <f>'Adv Report'!H67</f>
        <v>0</v>
      </c>
      <c r="J277" s="71">
        <f t="shared" si="23"/>
        <v>0</v>
      </c>
      <c r="K277" s="12">
        <f>'Adv Report'!C67</f>
        <v>0</v>
      </c>
      <c r="L277" s="12">
        <f>'Adv Report'!D67</f>
        <v>0</v>
      </c>
      <c r="M277" s="12">
        <f>'Adv Report'!E67</f>
        <v>0</v>
      </c>
      <c r="N277" s="71">
        <f t="shared" si="24"/>
        <v>0</v>
      </c>
      <c r="O277" s="2"/>
      <c r="P277" s="2"/>
      <c r="Q277" s="1"/>
      <c r="R277" s="1"/>
      <c r="S277" s="46"/>
      <c r="T277" s="49"/>
      <c r="U277" s="49"/>
      <c r="V277" s="3"/>
      <c r="W277" s="3"/>
      <c r="X277" s="3"/>
      <c r="Y277" s="2"/>
    </row>
    <row r="278" spans="1:25" ht="38.25" customHeight="1" x14ac:dyDescent="0.2">
      <c r="A278" s="9">
        <v>65</v>
      </c>
      <c r="B278" s="44">
        <f>'Adv Report'!A68</f>
        <v>0</v>
      </c>
      <c r="C278" s="9"/>
      <c r="D278" s="9"/>
      <c r="E278" s="9"/>
      <c r="F278" s="71">
        <f t="shared" si="22"/>
        <v>0</v>
      </c>
      <c r="G278" s="12">
        <f>'Adv Report'!F68</f>
        <v>0</v>
      </c>
      <c r="H278" s="12">
        <f>'Adv Report'!G68</f>
        <v>0</v>
      </c>
      <c r="I278" s="12">
        <f>'Adv Report'!H68</f>
        <v>0</v>
      </c>
      <c r="J278" s="71">
        <f t="shared" si="23"/>
        <v>0</v>
      </c>
      <c r="K278" s="12">
        <f>'Adv Report'!C68</f>
        <v>0</v>
      </c>
      <c r="L278" s="12">
        <f>'Adv Report'!D68</f>
        <v>0</v>
      </c>
      <c r="M278" s="12">
        <f>'Adv Report'!E68</f>
        <v>0</v>
      </c>
      <c r="N278" s="71">
        <f t="shared" si="24"/>
        <v>0</v>
      </c>
      <c r="O278" s="2"/>
      <c r="P278" s="2"/>
      <c r="Q278" s="1"/>
      <c r="R278" s="1"/>
      <c r="S278" s="46"/>
      <c r="T278" s="49"/>
      <c r="U278" s="49"/>
      <c r="V278" s="3"/>
      <c r="W278" s="3"/>
      <c r="X278" s="3"/>
      <c r="Y278" s="2"/>
    </row>
    <row r="279" spans="1:25" ht="38.25" customHeight="1" x14ac:dyDescent="0.2">
      <c r="A279" s="9">
        <v>66</v>
      </c>
      <c r="B279" s="44">
        <f>'Adv Report'!A69</f>
        <v>0</v>
      </c>
      <c r="C279" s="9"/>
      <c r="D279" s="9"/>
      <c r="E279" s="9"/>
      <c r="F279" s="71">
        <f t="shared" si="22"/>
        <v>0</v>
      </c>
      <c r="G279" s="12">
        <f>'Adv Report'!F69</f>
        <v>0</v>
      </c>
      <c r="H279" s="12">
        <f>'Adv Report'!G69</f>
        <v>0</v>
      </c>
      <c r="I279" s="12">
        <f>'Adv Report'!H69</f>
        <v>0</v>
      </c>
      <c r="J279" s="71">
        <f t="shared" si="23"/>
        <v>0</v>
      </c>
      <c r="K279" s="12">
        <f>'Adv Report'!C69</f>
        <v>0</v>
      </c>
      <c r="L279" s="12">
        <f>'Adv Report'!D69</f>
        <v>0</v>
      </c>
      <c r="M279" s="12">
        <f>'Adv Report'!E69</f>
        <v>0</v>
      </c>
      <c r="N279" s="71">
        <f t="shared" si="24"/>
        <v>0</v>
      </c>
      <c r="O279" s="2"/>
      <c r="P279" s="2"/>
      <c r="Q279" s="1"/>
      <c r="R279" s="1"/>
      <c r="S279" s="46"/>
      <c r="T279" s="49"/>
      <c r="U279" s="49"/>
      <c r="V279" s="3"/>
      <c r="W279" s="3"/>
      <c r="X279" s="3"/>
      <c r="Y279" s="2"/>
    </row>
    <row r="280" spans="1:25" ht="38.25" customHeight="1" x14ac:dyDescent="0.2">
      <c r="A280" s="9">
        <v>67</v>
      </c>
      <c r="B280" s="44">
        <f>'Adv Report'!A70</f>
        <v>0</v>
      </c>
      <c r="C280" s="9"/>
      <c r="D280" s="9"/>
      <c r="E280" s="9"/>
      <c r="F280" s="71">
        <f t="shared" si="22"/>
        <v>0</v>
      </c>
      <c r="G280" s="12">
        <f>'Adv Report'!F70</f>
        <v>0</v>
      </c>
      <c r="H280" s="12">
        <f>'Adv Report'!G70</f>
        <v>0</v>
      </c>
      <c r="I280" s="12">
        <f>'Adv Report'!H70</f>
        <v>0</v>
      </c>
      <c r="J280" s="71">
        <f t="shared" si="23"/>
        <v>0</v>
      </c>
      <c r="K280" s="12">
        <f>'Adv Report'!C70</f>
        <v>0</v>
      </c>
      <c r="L280" s="12">
        <f>'Adv Report'!D70</f>
        <v>0</v>
      </c>
      <c r="M280" s="12">
        <f>'Adv Report'!E70</f>
        <v>0</v>
      </c>
      <c r="N280" s="71">
        <f t="shared" si="24"/>
        <v>0</v>
      </c>
      <c r="O280" s="2"/>
      <c r="P280" s="2"/>
      <c r="Q280" s="1"/>
      <c r="R280" s="1"/>
      <c r="S280" s="46"/>
      <c r="T280" s="49"/>
      <c r="U280" s="49"/>
      <c r="V280" s="3"/>
      <c r="W280" s="3"/>
      <c r="X280" s="3"/>
      <c r="Y280" s="2"/>
    </row>
    <row r="281" spans="1:25" ht="38.25" customHeight="1" x14ac:dyDescent="0.2">
      <c r="A281" s="9">
        <v>68</v>
      </c>
      <c r="B281" s="44">
        <f>'Adv Report'!A71</f>
        <v>0</v>
      </c>
      <c r="C281" s="9"/>
      <c r="D281" s="9"/>
      <c r="E281" s="9"/>
      <c r="F281" s="71">
        <f t="shared" si="22"/>
        <v>0</v>
      </c>
      <c r="G281" s="12">
        <f>'Adv Report'!F71</f>
        <v>0</v>
      </c>
      <c r="H281" s="12">
        <f>'Adv Report'!G71</f>
        <v>0</v>
      </c>
      <c r="I281" s="12">
        <f>'Adv Report'!H71</f>
        <v>0</v>
      </c>
      <c r="J281" s="71">
        <f t="shared" si="23"/>
        <v>0</v>
      </c>
      <c r="K281" s="12">
        <f>'Adv Report'!C71</f>
        <v>0</v>
      </c>
      <c r="L281" s="12">
        <f>'Adv Report'!D71</f>
        <v>0</v>
      </c>
      <c r="M281" s="12">
        <f>'Adv Report'!E71</f>
        <v>0</v>
      </c>
      <c r="N281" s="71">
        <f t="shared" si="24"/>
        <v>0</v>
      </c>
      <c r="O281" s="2"/>
      <c r="P281" s="2"/>
      <c r="Q281" s="1"/>
      <c r="R281" s="1"/>
      <c r="S281" s="46"/>
      <c r="T281" s="49"/>
      <c r="U281" s="49"/>
      <c r="V281" s="3"/>
      <c r="W281" s="3"/>
      <c r="X281" s="3"/>
      <c r="Y281" s="2"/>
    </row>
    <row r="282" spans="1:25" ht="38.25" customHeight="1" x14ac:dyDescent="0.2">
      <c r="A282" s="9">
        <v>69</v>
      </c>
      <c r="B282" s="44">
        <f>'Adv Report'!A72</f>
        <v>0</v>
      </c>
      <c r="C282" s="9"/>
      <c r="D282" s="9"/>
      <c r="E282" s="9"/>
      <c r="F282" s="71">
        <f t="shared" si="22"/>
        <v>0</v>
      </c>
      <c r="G282" s="12">
        <f>'Adv Report'!F72</f>
        <v>0</v>
      </c>
      <c r="H282" s="12">
        <f>'Adv Report'!G72</f>
        <v>0</v>
      </c>
      <c r="I282" s="12">
        <f>'Adv Report'!H72</f>
        <v>0</v>
      </c>
      <c r="J282" s="71">
        <f t="shared" si="23"/>
        <v>0</v>
      </c>
      <c r="K282" s="12">
        <f>'Adv Report'!C72</f>
        <v>0</v>
      </c>
      <c r="L282" s="12">
        <f>'Adv Report'!D72</f>
        <v>0</v>
      </c>
      <c r="M282" s="12">
        <f>'Adv Report'!E72</f>
        <v>0</v>
      </c>
      <c r="N282" s="71">
        <f t="shared" si="24"/>
        <v>0</v>
      </c>
      <c r="O282" s="2"/>
      <c r="P282" s="2"/>
      <c r="Q282" s="1"/>
      <c r="R282" s="1"/>
      <c r="S282" s="46"/>
      <c r="T282" s="49"/>
      <c r="U282" s="49"/>
      <c r="V282" s="3"/>
      <c r="W282" s="3"/>
      <c r="X282" s="3"/>
      <c r="Y282" s="2"/>
    </row>
    <row r="283" spans="1:25" ht="38.25" customHeight="1" x14ac:dyDescent="0.2">
      <c r="A283" s="421" t="s">
        <v>143</v>
      </c>
      <c r="B283" s="421"/>
      <c r="C283" s="421"/>
      <c r="D283" s="421"/>
      <c r="E283" s="421"/>
      <c r="F283" s="421"/>
      <c r="G283" s="421"/>
      <c r="H283" s="421"/>
      <c r="I283" s="421"/>
      <c r="J283" s="421"/>
      <c r="K283" s="421"/>
      <c r="L283" s="421"/>
      <c r="M283" s="421"/>
      <c r="N283" s="421"/>
      <c r="O283" s="2"/>
      <c r="P283" s="2"/>
      <c r="Q283" s="1"/>
      <c r="R283" s="1"/>
      <c r="S283" s="46"/>
      <c r="T283" s="49"/>
      <c r="U283" s="49"/>
      <c r="V283" s="3"/>
      <c r="W283" s="3"/>
      <c r="X283" s="3"/>
      <c r="Y283" s="2"/>
    </row>
    <row r="284" spans="1:25" ht="38.25" customHeight="1" x14ac:dyDescent="0.2">
      <c r="A284" s="9">
        <v>70</v>
      </c>
      <c r="B284" s="44" t="str">
        <f>'Adv Report'!O4</f>
        <v>0005</v>
      </c>
      <c r="C284" s="9"/>
      <c r="D284" s="9"/>
      <c r="E284" s="9"/>
      <c r="F284" s="71">
        <f t="shared" si="22"/>
        <v>7</v>
      </c>
      <c r="G284" s="12">
        <f>'Adv Report'!T4</f>
        <v>4</v>
      </c>
      <c r="H284" s="12">
        <f>'Adv Report'!U4</f>
        <v>0</v>
      </c>
      <c r="I284" s="12">
        <f>'Adv Report'!V4</f>
        <v>3</v>
      </c>
      <c r="J284" s="71">
        <f t="shared" si="23"/>
        <v>7</v>
      </c>
      <c r="K284" s="12">
        <f>'Adv Report'!Q4</f>
        <v>0</v>
      </c>
      <c r="L284" s="12">
        <f>'Adv Report'!R4</f>
        <v>0</v>
      </c>
      <c r="M284" s="12">
        <f>'Adv Report'!S4</f>
        <v>0</v>
      </c>
      <c r="N284" s="71">
        <f t="shared" si="24"/>
        <v>0</v>
      </c>
      <c r="O284" s="2"/>
      <c r="P284" s="2"/>
      <c r="Q284" s="1"/>
      <c r="R284" s="1"/>
      <c r="S284" s="46"/>
      <c r="T284" s="49"/>
      <c r="U284" s="49"/>
      <c r="V284" s="3"/>
      <c r="W284" s="3"/>
      <c r="X284" s="3"/>
      <c r="Y284" s="2"/>
    </row>
    <row r="285" spans="1:25" ht="38.25" customHeight="1" x14ac:dyDescent="0.2">
      <c r="A285" s="9">
        <v>71</v>
      </c>
      <c r="B285" s="44" t="str">
        <f>'Adv Report'!O5</f>
        <v>0648</v>
      </c>
      <c r="C285" s="9"/>
      <c r="D285" s="9"/>
      <c r="E285" s="9"/>
      <c r="F285" s="71">
        <f t="shared" si="22"/>
        <v>1</v>
      </c>
      <c r="G285" s="12">
        <f>'Adv Report'!T5</f>
        <v>0</v>
      </c>
      <c r="H285" s="12">
        <f>'Adv Report'!U5</f>
        <v>0</v>
      </c>
      <c r="I285" s="12">
        <f>'Adv Report'!V5</f>
        <v>1</v>
      </c>
      <c r="J285" s="71">
        <f t="shared" si="23"/>
        <v>1</v>
      </c>
      <c r="K285" s="12">
        <f>'Adv Report'!Q5</f>
        <v>0</v>
      </c>
      <c r="L285" s="12">
        <f>'Adv Report'!R5</f>
        <v>0</v>
      </c>
      <c r="M285" s="12">
        <f>'Adv Report'!S5</f>
        <v>0</v>
      </c>
      <c r="N285" s="71">
        <f t="shared" si="24"/>
        <v>0</v>
      </c>
      <c r="O285" s="2"/>
      <c r="P285" s="2"/>
      <c r="Q285" s="1"/>
      <c r="R285" s="1"/>
      <c r="S285" s="46"/>
      <c r="T285" s="49"/>
      <c r="U285" s="49"/>
      <c r="V285" s="3"/>
      <c r="W285" s="3"/>
      <c r="X285" s="3"/>
      <c r="Y285" s="2"/>
    </row>
    <row r="286" spans="1:25" ht="38.25" customHeight="1" x14ac:dyDescent="0.2">
      <c r="A286" s="9">
        <v>72</v>
      </c>
      <c r="B286" s="44" t="str">
        <f>'Adv Report'!O6</f>
        <v>0131</v>
      </c>
      <c r="C286" s="9"/>
      <c r="D286" s="9"/>
      <c r="E286" s="9"/>
      <c r="F286" s="71">
        <f t="shared" si="22"/>
        <v>1</v>
      </c>
      <c r="G286" s="12">
        <f>'Adv Report'!T6</f>
        <v>1</v>
      </c>
      <c r="H286" s="12">
        <f>'Adv Report'!U6</f>
        <v>0</v>
      </c>
      <c r="I286" s="12">
        <f>'Adv Report'!V6</f>
        <v>0</v>
      </c>
      <c r="J286" s="71">
        <f t="shared" si="23"/>
        <v>1</v>
      </c>
      <c r="K286" s="12">
        <f>'Adv Report'!Q6</f>
        <v>0</v>
      </c>
      <c r="L286" s="12">
        <f>'Adv Report'!R6</f>
        <v>0</v>
      </c>
      <c r="M286" s="12">
        <f>'Adv Report'!S6</f>
        <v>0</v>
      </c>
      <c r="N286" s="71">
        <f t="shared" si="24"/>
        <v>0</v>
      </c>
      <c r="O286" s="2"/>
      <c r="P286" s="2"/>
      <c r="Q286" s="1"/>
      <c r="R286" s="1"/>
      <c r="S286" s="46"/>
      <c r="T286" s="49"/>
      <c r="U286" s="49"/>
      <c r="V286" s="3"/>
      <c r="W286" s="3"/>
      <c r="X286" s="3"/>
      <c r="Y286" s="2"/>
    </row>
    <row r="287" spans="1:25" ht="38.25" customHeight="1" x14ac:dyDescent="0.2">
      <c r="A287" s="9">
        <v>73</v>
      </c>
      <c r="B287" s="44" t="str">
        <f>'Adv Report'!O7</f>
        <v>0584</v>
      </c>
      <c r="C287" s="9"/>
      <c r="D287" s="9"/>
      <c r="E287" s="9"/>
      <c r="F287" s="71">
        <f t="shared" si="22"/>
        <v>8</v>
      </c>
      <c r="G287" s="12">
        <f>'Adv Report'!T7</f>
        <v>2</v>
      </c>
      <c r="H287" s="12">
        <f>'Adv Report'!U7</f>
        <v>0</v>
      </c>
      <c r="I287" s="12">
        <f>'Adv Report'!V7</f>
        <v>4</v>
      </c>
      <c r="J287" s="71">
        <f t="shared" si="23"/>
        <v>6</v>
      </c>
      <c r="K287" s="12">
        <f>'Adv Report'!Q7</f>
        <v>2</v>
      </c>
      <c r="L287" s="12">
        <f>'Adv Report'!R7</f>
        <v>0</v>
      </c>
      <c r="M287" s="12">
        <f>'Adv Report'!S7</f>
        <v>0</v>
      </c>
      <c r="N287" s="71">
        <f t="shared" si="24"/>
        <v>2</v>
      </c>
      <c r="O287" s="2"/>
      <c r="P287" s="2"/>
      <c r="Q287" s="1"/>
      <c r="R287" s="1"/>
      <c r="S287" s="46"/>
      <c r="T287" s="49"/>
      <c r="U287" s="49"/>
      <c r="V287" s="3"/>
      <c r="W287" s="3"/>
      <c r="X287" s="3"/>
      <c r="Y287" s="2"/>
    </row>
    <row r="288" spans="1:25" ht="38.25" customHeight="1" x14ac:dyDescent="0.2">
      <c r="A288" s="9">
        <v>74</v>
      </c>
      <c r="B288" s="44" t="str">
        <f>'Adv Report'!O8</f>
        <v>0817</v>
      </c>
      <c r="C288" s="9"/>
      <c r="D288" s="9"/>
      <c r="E288" s="9"/>
      <c r="F288" s="71">
        <f t="shared" si="22"/>
        <v>3</v>
      </c>
      <c r="G288" s="12">
        <f>'Adv Report'!T8</f>
        <v>3</v>
      </c>
      <c r="H288" s="12">
        <f>'Adv Report'!U8</f>
        <v>0</v>
      </c>
      <c r="I288" s="12">
        <f>'Adv Report'!V8</f>
        <v>0</v>
      </c>
      <c r="J288" s="71">
        <f t="shared" si="23"/>
        <v>3</v>
      </c>
      <c r="K288" s="12">
        <f>'Adv Report'!Q8</f>
        <v>0</v>
      </c>
      <c r="L288" s="12">
        <f>'Adv Report'!R8</f>
        <v>0</v>
      </c>
      <c r="M288" s="12">
        <f>'Adv Report'!S8</f>
        <v>0</v>
      </c>
      <c r="N288" s="71">
        <f t="shared" si="24"/>
        <v>0</v>
      </c>
      <c r="O288" s="2"/>
      <c r="P288" s="2"/>
      <c r="Q288" s="1"/>
      <c r="R288" s="1"/>
      <c r="S288" s="46"/>
      <c r="T288" s="49"/>
      <c r="U288" s="49"/>
      <c r="V288" s="3"/>
      <c r="W288" s="3"/>
      <c r="X288" s="3"/>
      <c r="Y288" s="2"/>
    </row>
    <row r="289" spans="1:25" ht="38.25" customHeight="1" x14ac:dyDescent="0.2">
      <c r="A289" s="9">
        <v>75</v>
      </c>
      <c r="B289" s="44" t="str">
        <f>'Adv Report'!O9</f>
        <v>0117</v>
      </c>
      <c r="C289" s="9"/>
      <c r="D289" s="9"/>
      <c r="E289" s="9"/>
      <c r="F289" s="71">
        <f t="shared" si="22"/>
        <v>1</v>
      </c>
      <c r="G289" s="12">
        <f>'Adv Report'!T9</f>
        <v>1</v>
      </c>
      <c r="H289" s="12">
        <f>'Adv Report'!U9</f>
        <v>0</v>
      </c>
      <c r="I289" s="12">
        <f>'Adv Report'!V9</f>
        <v>0</v>
      </c>
      <c r="J289" s="71">
        <f t="shared" si="23"/>
        <v>1</v>
      </c>
      <c r="K289" s="12">
        <f>'Adv Report'!Q9</f>
        <v>0</v>
      </c>
      <c r="L289" s="12">
        <f>'Adv Report'!R9</f>
        <v>0</v>
      </c>
      <c r="M289" s="12">
        <f>'Adv Report'!S9</f>
        <v>0</v>
      </c>
      <c r="N289" s="71">
        <f t="shared" si="24"/>
        <v>0</v>
      </c>
      <c r="O289" s="2"/>
      <c r="P289" s="2"/>
      <c r="Q289" s="1"/>
      <c r="R289" s="1"/>
      <c r="S289" s="46"/>
      <c r="T289" s="49"/>
      <c r="U289" s="49"/>
      <c r="V289" s="3"/>
      <c r="W289" s="3"/>
      <c r="X289" s="3"/>
      <c r="Y289" s="2"/>
    </row>
    <row r="290" spans="1:25" ht="38.25" customHeight="1" x14ac:dyDescent="0.2">
      <c r="A290" s="9">
        <v>76</v>
      </c>
      <c r="B290" s="44" t="str">
        <f>'Adv Report'!O10</f>
        <v>0336</v>
      </c>
      <c r="C290" s="9"/>
      <c r="D290" s="9"/>
      <c r="E290" s="9"/>
      <c r="F290" s="71">
        <f t="shared" si="22"/>
        <v>2</v>
      </c>
      <c r="G290" s="12">
        <f>'Adv Report'!T10</f>
        <v>2</v>
      </c>
      <c r="H290" s="12">
        <f>'Adv Report'!U10</f>
        <v>0</v>
      </c>
      <c r="I290" s="12">
        <f>'Adv Report'!V10</f>
        <v>0</v>
      </c>
      <c r="J290" s="71">
        <f t="shared" si="23"/>
        <v>2</v>
      </c>
      <c r="K290" s="12">
        <f>'Adv Report'!Q10</f>
        <v>0</v>
      </c>
      <c r="L290" s="12">
        <f>'Adv Report'!R10</f>
        <v>0</v>
      </c>
      <c r="M290" s="12">
        <f>'Adv Report'!S10</f>
        <v>0</v>
      </c>
      <c r="N290" s="71">
        <f t="shared" si="24"/>
        <v>0</v>
      </c>
      <c r="O290" s="2"/>
      <c r="P290" s="2"/>
      <c r="Q290" s="1"/>
      <c r="R290" s="1"/>
      <c r="S290" s="46"/>
      <c r="T290" s="49"/>
      <c r="U290" s="49"/>
      <c r="V290" s="3"/>
      <c r="W290" s="3"/>
      <c r="X290" s="3"/>
      <c r="Y290" s="2"/>
    </row>
    <row r="291" spans="1:25" ht="38.25" customHeight="1" x14ac:dyDescent="0.2">
      <c r="A291" s="9">
        <v>77</v>
      </c>
      <c r="B291" s="44" t="str">
        <f>'Adv Report'!O11</f>
        <v>0602</v>
      </c>
      <c r="C291" s="9"/>
      <c r="D291" s="9"/>
      <c r="E291" s="9"/>
      <c r="F291" s="71">
        <f t="shared" si="22"/>
        <v>4</v>
      </c>
      <c r="G291" s="12">
        <f>'Adv Report'!T11</f>
        <v>4</v>
      </c>
      <c r="H291" s="12">
        <f>'Adv Report'!U11</f>
        <v>0</v>
      </c>
      <c r="I291" s="12">
        <f>'Adv Report'!V11</f>
        <v>0</v>
      </c>
      <c r="J291" s="71">
        <f t="shared" si="23"/>
        <v>4</v>
      </c>
      <c r="K291" s="12">
        <f>'Adv Report'!Q11</f>
        <v>0</v>
      </c>
      <c r="L291" s="12">
        <f>'Adv Report'!R11</f>
        <v>0</v>
      </c>
      <c r="M291" s="12">
        <f>'Adv Report'!S11</f>
        <v>0</v>
      </c>
      <c r="N291" s="71">
        <f t="shared" si="24"/>
        <v>0</v>
      </c>
      <c r="O291" s="2"/>
      <c r="P291" s="2"/>
      <c r="Q291" s="1"/>
      <c r="R291" s="1"/>
      <c r="S291" s="46"/>
      <c r="T291" s="49"/>
      <c r="U291" s="49"/>
      <c r="V291" s="3"/>
      <c r="W291" s="3"/>
      <c r="X291" s="3"/>
      <c r="Y291" s="2"/>
    </row>
    <row r="292" spans="1:25" ht="38.25" customHeight="1" x14ac:dyDescent="0.2">
      <c r="A292" s="9">
        <v>78</v>
      </c>
      <c r="B292" s="44" t="str">
        <f>'Adv Report'!O12</f>
        <v>0859</v>
      </c>
      <c r="C292" s="9"/>
      <c r="D292" s="9"/>
      <c r="E292" s="9"/>
      <c r="F292" s="71">
        <f t="shared" si="22"/>
        <v>2</v>
      </c>
      <c r="G292" s="12">
        <f>'Adv Report'!T12</f>
        <v>1</v>
      </c>
      <c r="H292" s="12">
        <f>'Adv Report'!U12</f>
        <v>0</v>
      </c>
      <c r="I292" s="12">
        <f>'Adv Report'!V12</f>
        <v>1</v>
      </c>
      <c r="J292" s="71">
        <f t="shared" si="23"/>
        <v>2</v>
      </c>
      <c r="K292" s="12">
        <f>'Adv Report'!Q12</f>
        <v>0</v>
      </c>
      <c r="L292" s="12">
        <f>'Adv Report'!R12</f>
        <v>0</v>
      </c>
      <c r="M292" s="12">
        <f>'Adv Report'!S12</f>
        <v>0</v>
      </c>
      <c r="N292" s="71">
        <f t="shared" si="24"/>
        <v>0</v>
      </c>
      <c r="O292" s="2"/>
      <c r="P292" s="2"/>
      <c r="Q292" s="1"/>
      <c r="R292" s="1"/>
      <c r="S292" s="46"/>
      <c r="T292" s="49"/>
      <c r="U292" s="49"/>
      <c r="V292" s="3"/>
      <c r="W292" s="3"/>
      <c r="X292" s="3"/>
      <c r="Y292" s="2"/>
    </row>
    <row r="293" spans="1:25" ht="38.25" customHeight="1" x14ac:dyDescent="0.2">
      <c r="A293" s="9">
        <v>79</v>
      </c>
      <c r="B293" s="44" t="str">
        <f>'Adv Report'!O13</f>
        <v>0925</v>
      </c>
      <c r="C293" s="9"/>
      <c r="D293" s="9"/>
      <c r="E293" s="9"/>
      <c r="F293" s="71">
        <f t="shared" si="22"/>
        <v>3</v>
      </c>
      <c r="G293" s="12">
        <f>'Adv Report'!T13</f>
        <v>2</v>
      </c>
      <c r="H293" s="12">
        <f>'Adv Report'!U13</f>
        <v>1</v>
      </c>
      <c r="I293" s="12">
        <f>'Adv Report'!V13</f>
        <v>0</v>
      </c>
      <c r="J293" s="71">
        <f t="shared" si="23"/>
        <v>3</v>
      </c>
      <c r="K293" s="12">
        <f>'Adv Report'!Q13</f>
        <v>0</v>
      </c>
      <c r="L293" s="12">
        <f>'Adv Report'!R13</f>
        <v>0</v>
      </c>
      <c r="M293" s="12">
        <f>'Adv Report'!S13</f>
        <v>0</v>
      </c>
      <c r="N293" s="71">
        <f t="shared" si="24"/>
        <v>0</v>
      </c>
      <c r="O293" s="2"/>
      <c r="P293" s="2"/>
      <c r="Q293" s="1"/>
      <c r="R293" s="1"/>
      <c r="S293" s="46"/>
      <c r="T293" s="49"/>
      <c r="U293" s="49"/>
      <c r="V293" s="3"/>
      <c r="W293" s="3"/>
      <c r="X293" s="3"/>
      <c r="Y293" s="2"/>
    </row>
    <row r="294" spans="1:25" ht="38.25" customHeight="1" x14ac:dyDescent="0.2">
      <c r="A294" s="9">
        <v>80</v>
      </c>
      <c r="B294" s="44" t="str">
        <f>'Adv Report'!O14</f>
        <v>0314</v>
      </c>
      <c r="C294" s="9"/>
      <c r="D294" s="9"/>
      <c r="E294" s="9"/>
      <c r="F294" s="71">
        <f t="shared" si="22"/>
        <v>0</v>
      </c>
      <c r="G294" s="12">
        <f>'Adv Report'!T14</f>
        <v>0</v>
      </c>
      <c r="H294" s="12">
        <f>'Adv Report'!U14</f>
        <v>0</v>
      </c>
      <c r="I294" s="12">
        <f>'Adv Report'!V14</f>
        <v>0</v>
      </c>
      <c r="J294" s="71">
        <f t="shared" si="23"/>
        <v>0</v>
      </c>
      <c r="K294" s="12">
        <f>'Adv Report'!Q14</f>
        <v>0</v>
      </c>
      <c r="L294" s="12">
        <f>'Adv Report'!R14</f>
        <v>0</v>
      </c>
      <c r="M294" s="12">
        <f>'Adv Report'!S14</f>
        <v>0</v>
      </c>
      <c r="N294" s="71">
        <f t="shared" si="24"/>
        <v>0</v>
      </c>
    </row>
    <row r="295" spans="1:25" ht="38.25" customHeight="1" x14ac:dyDescent="0.2">
      <c r="A295" s="9">
        <v>81</v>
      </c>
      <c r="B295" s="44" t="str">
        <f>'Adv Report'!O15</f>
        <v>0821</v>
      </c>
      <c r="C295" s="9"/>
      <c r="D295" s="9"/>
      <c r="E295" s="9"/>
      <c r="F295" s="71">
        <f t="shared" si="22"/>
        <v>7</v>
      </c>
      <c r="G295" s="12">
        <f>'Adv Report'!T15</f>
        <v>5</v>
      </c>
      <c r="H295" s="12">
        <f>'Adv Report'!U15</f>
        <v>1</v>
      </c>
      <c r="I295" s="12">
        <f>'Adv Report'!V15</f>
        <v>1</v>
      </c>
      <c r="J295" s="71">
        <f t="shared" si="23"/>
        <v>7</v>
      </c>
      <c r="K295" s="12">
        <f>'Adv Report'!Q15</f>
        <v>0</v>
      </c>
      <c r="L295" s="12">
        <f>'Adv Report'!R15</f>
        <v>0</v>
      </c>
      <c r="M295" s="12">
        <f>'Adv Report'!S15</f>
        <v>0</v>
      </c>
      <c r="N295" s="71">
        <f t="shared" si="24"/>
        <v>0</v>
      </c>
    </row>
    <row r="296" spans="1:25" ht="38.25" customHeight="1" x14ac:dyDescent="0.2">
      <c r="A296" s="9">
        <v>82</v>
      </c>
      <c r="B296" s="44" t="str">
        <f>'Adv Report'!O16</f>
        <v>0542</v>
      </c>
      <c r="C296" s="9"/>
      <c r="D296" s="9"/>
      <c r="E296" s="9"/>
      <c r="F296" s="71">
        <f t="shared" si="22"/>
        <v>2</v>
      </c>
      <c r="G296" s="12">
        <f>'Adv Report'!T16</f>
        <v>1</v>
      </c>
      <c r="H296" s="12">
        <f>'Adv Report'!U16</f>
        <v>0</v>
      </c>
      <c r="I296" s="12">
        <f>'Adv Report'!V16</f>
        <v>1</v>
      </c>
      <c r="J296" s="71">
        <f t="shared" si="23"/>
        <v>2</v>
      </c>
      <c r="K296" s="12">
        <f>'Adv Report'!Q16</f>
        <v>0</v>
      </c>
      <c r="L296" s="12">
        <f>'Adv Report'!R16</f>
        <v>0</v>
      </c>
      <c r="M296" s="12">
        <f>'Adv Report'!S16</f>
        <v>0</v>
      </c>
      <c r="N296" s="71">
        <f t="shared" si="24"/>
        <v>0</v>
      </c>
    </row>
    <row r="297" spans="1:25" ht="38.25" customHeight="1" x14ac:dyDescent="0.2">
      <c r="A297" s="9">
        <v>83</v>
      </c>
      <c r="B297" s="44" t="str">
        <f>'Adv Report'!O17</f>
        <v>0614</v>
      </c>
      <c r="C297" s="9"/>
      <c r="D297" s="9"/>
      <c r="E297" s="9"/>
      <c r="F297" s="71">
        <f t="shared" si="22"/>
        <v>2</v>
      </c>
      <c r="G297" s="12">
        <f>'Adv Report'!T17</f>
        <v>1</v>
      </c>
      <c r="H297" s="12">
        <f>'Adv Report'!U17</f>
        <v>0</v>
      </c>
      <c r="I297" s="12">
        <f>'Adv Report'!V17</f>
        <v>1</v>
      </c>
      <c r="J297" s="71">
        <f t="shared" si="23"/>
        <v>2</v>
      </c>
      <c r="K297" s="12">
        <f>'Adv Report'!Q17</f>
        <v>0</v>
      </c>
      <c r="L297" s="12">
        <f>'Adv Report'!R17</f>
        <v>0</v>
      </c>
      <c r="M297" s="12">
        <f>'Adv Report'!S17</f>
        <v>0</v>
      </c>
      <c r="N297" s="71">
        <f t="shared" si="24"/>
        <v>0</v>
      </c>
    </row>
    <row r="298" spans="1:25" ht="38.25" customHeight="1" x14ac:dyDescent="0.2">
      <c r="A298" s="9">
        <v>84</v>
      </c>
      <c r="B298" s="44" t="str">
        <f>'Adv Report'!O18</f>
        <v>0522</v>
      </c>
      <c r="C298" s="9"/>
      <c r="D298" s="9"/>
      <c r="E298" s="9"/>
      <c r="F298" s="71">
        <f t="shared" ref="F298:F352" si="25">J298+N298</f>
        <v>0</v>
      </c>
      <c r="G298" s="12">
        <f>'Adv Report'!T18</f>
        <v>0</v>
      </c>
      <c r="H298" s="12">
        <f>'Adv Report'!U18</f>
        <v>0</v>
      </c>
      <c r="I298" s="12">
        <f>'Adv Report'!V18</f>
        <v>0</v>
      </c>
      <c r="J298" s="71">
        <f t="shared" si="23"/>
        <v>0</v>
      </c>
      <c r="K298" s="12">
        <f>'Adv Report'!Q18</f>
        <v>0</v>
      </c>
      <c r="L298" s="12">
        <f>'Adv Report'!R18</f>
        <v>0</v>
      </c>
      <c r="M298" s="12">
        <f>'Adv Report'!S18</f>
        <v>0</v>
      </c>
      <c r="N298" s="71">
        <f t="shared" si="24"/>
        <v>0</v>
      </c>
    </row>
    <row r="299" spans="1:25" ht="38.25" customHeight="1" x14ac:dyDescent="0.2">
      <c r="A299" s="9">
        <v>85</v>
      </c>
      <c r="B299" s="44" t="str">
        <f>'Adv Report'!O19</f>
        <v>0524</v>
      </c>
      <c r="C299" s="9"/>
      <c r="D299" s="9"/>
      <c r="E299" s="9"/>
      <c r="F299" s="71">
        <f t="shared" si="25"/>
        <v>0</v>
      </c>
      <c r="G299" s="12">
        <f>'Adv Report'!T19</f>
        <v>0</v>
      </c>
      <c r="H299" s="12">
        <f>'Adv Report'!U19</f>
        <v>0</v>
      </c>
      <c r="I299" s="12">
        <f>'Adv Report'!V19</f>
        <v>0</v>
      </c>
      <c r="J299" s="71">
        <f t="shared" si="23"/>
        <v>0</v>
      </c>
      <c r="K299" s="12">
        <f>'Adv Report'!Q19</f>
        <v>0</v>
      </c>
      <c r="L299" s="12">
        <f>'Adv Report'!R19</f>
        <v>0</v>
      </c>
      <c r="M299" s="12">
        <f>'Adv Report'!S19</f>
        <v>0</v>
      </c>
      <c r="N299" s="71">
        <f t="shared" si="24"/>
        <v>0</v>
      </c>
    </row>
    <row r="300" spans="1:25" ht="38.25" customHeight="1" x14ac:dyDescent="0.2">
      <c r="A300" s="9">
        <v>86</v>
      </c>
      <c r="B300" s="44" t="str">
        <f>'Adv Report'!O20</f>
        <v>0512</v>
      </c>
      <c r="C300" s="9"/>
      <c r="D300" s="9"/>
      <c r="E300" s="9"/>
      <c r="F300" s="71">
        <f t="shared" si="25"/>
        <v>0</v>
      </c>
      <c r="G300" s="12">
        <f>'Adv Report'!T20</f>
        <v>0</v>
      </c>
      <c r="H300" s="12">
        <f>'Adv Report'!U20</f>
        <v>0</v>
      </c>
      <c r="I300" s="12">
        <f>'Adv Report'!V20</f>
        <v>0</v>
      </c>
      <c r="J300" s="71">
        <f t="shared" si="23"/>
        <v>0</v>
      </c>
      <c r="K300" s="12">
        <f>'Adv Report'!Q20</f>
        <v>0</v>
      </c>
      <c r="L300" s="12">
        <f>'Adv Report'!R20</f>
        <v>0</v>
      </c>
      <c r="M300" s="12">
        <f>'Adv Report'!S20</f>
        <v>0</v>
      </c>
      <c r="N300" s="71">
        <f t="shared" si="24"/>
        <v>0</v>
      </c>
    </row>
    <row r="301" spans="1:25" ht="38.25" customHeight="1" x14ac:dyDescent="0.2">
      <c r="A301" s="9">
        <v>87</v>
      </c>
      <c r="B301" s="44" t="str">
        <f>'Adv Report'!O21</f>
        <v>0568</v>
      </c>
      <c r="C301" s="9"/>
      <c r="D301" s="9"/>
      <c r="E301" s="9"/>
      <c r="F301" s="71">
        <f t="shared" si="25"/>
        <v>1</v>
      </c>
      <c r="G301" s="12">
        <f>'Adv Report'!T21</f>
        <v>0</v>
      </c>
      <c r="H301" s="12">
        <f>'Adv Report'!U21</f>
        <v>1</v>
      </c>
      <c r="I301" s="12">
        <f>'Adv Report'!V21</f>
        <v>0</v>
      </c>
      <c r="J301" s="71">
        <f t="shared" si="23"/>
        <v>1</v>
      </c>
      <c r="K301" s="12">
        <f>'Adv Report'!Q21</f>
        <v>0</v>
      </c>
      <c r="L301" s="12">
        <f>'Adv Report'!R21</f>
        <v>0</v>
      </c>
      <c r="M301" s="12">
        <f>'Adv Report'!S21</f>
        <v>0</v>
      </c>
      <c r="N301" s="71">
        <f t="shared" si="24"/>
        <v>0</v>
      </c>
    </row>
    <row r="302" spans="1:25" ht="38.25" customHeight="1" x14ac:dyDescent="0.2">
      <c r="A302" s="9">
        <v>88</v>
      </c>
      <c r="B302" s="44" t="str">
        <f>'Adv Report'!O22</f>
        <v>0344</v>
      </c>
      <c r="C302" s="9"/>
      <c r="D302" s="9"/>
      <c r="E302" s="9"/>
      <c r="F302" s="71">
        <f t="shared" si="25"/>
        <v>0</v>
      </c>
      <c r="G302" s="12">
        <f>'Adv Report'!T22</f>
        <v>0</v>
      </c>
      <c r="H302" s="12">
        <f>'Adv Report'!U22</f>
        <v>0</v>
      </c>
      <c r="I302" s="12">
        <f>'Adv Report'!V22</f>
        <v>0</v>
      </c>
      <c r="J302" s="71">
        <f t="shared" si="23"/>
        <v>0</v>
      </c>
      <c r="K302" s="12">
        <f>'Adv Report'!Q22</f>
        <v>0</v>
      </c>
      <c r="L302" s="12">
        <f>'Adv Report'!R22</f>
        <v>0</v>
      </c>
      <c r="M302" s="12">
        <f>'Adv Report'!S22</f>
        <v>0</v>
      </c>
      <c r="N302" s="71">
        <f t="shared" si="24"/>
        <v>0</v>
      </c>
    </row>
    <row r="303" spans="1:25" ht="38.25" customHeight="1" x14ac:dyDescent="0.2">
      <c r="A303" s="9">
        <v>89</v>
      </c>
      <c r="B303" s="44" t="str">
        <f>'Adv Report'!O23</f>
        <v>0500</v>
      </c>
      <c r="C303" s="9"/>
      <c r="D303" s="9"/>
      <c r="E303" s="9"/>
      <c r="F303" s="71">
        <f t="shared" si="25"/>
        <v>0</v>
      </c>
      <c r="G303" s="12">
        <f>'Adv Report'!T23</f>
        <v>0</v>
      </c>
      <c r="H303" s="12">
        <f>'Adv Report'!U23</f>
        <v>0</v>
      </c>
      <c r="I303" s="12">
        <f>'Adv Report'!V23</f>
        <v>0</v>
      </c>
      <c r="J303" s="71">
        <f t="shared" si="23"/>
        <v>0</v>
      </c>
      <c r="K303" s="12">
        <f>'Adv Report'!Q23</f>
        <v>0</v>
      </c>
      <c r="L303" s="12">
        <f>'Adv Report'!R23</f>
        <v>0</v>
      </c>
      <c r="M303" s="12">
        <f>'Adv Report'!S23</f>
        <v>0</v>
      </c>
      <c r="N303" s="71">
        <f t="shared" si="24"/>
        <v>0</v>
      </c>
    </row>
    <row r="304" spans="1:25" ht="38.25" customHeight="1" x14ac:dyDescent="0.2">
      <c r="A304" s="9">
        <v>90</v>
      </c>
      <c r="B304" s="44" t="str">
        <f>'Adv Report'!O24</f>
        <v>0532</v>
      </c>
      <c r="C304" s="9"/>
      <c r="D304" s="9"/>
      <c r="E304" s="9"/>
      <c r="F304" s="71">
        <f t="shared" si="25"/>
        <v>1</v>
      </c>
      <c r="G304" s="12">
        <f>'Adv Report'!T24</f>
        <v>1</v>
      </c>
      <c r="H304" s="12">
        <f>'Adv Report'!U24</f>
        <v>0</v>
      </c>
      <c r="I304" s="12">
        <f>'Adv Report'!V24</f>
        <v>0</v>
      </c>
      <c r="J304" s="71">
        <f t="shared" si="23"/>
        <v>1</v>
      </c>
      <c r="K304" s="12">
        <f>'Adv Report'!Q24</f>
        <v>0</v>
      </c>
      <c r="L304" s="12">
        <f>'Adv Report'!R24</f>
        <v>0</v>
      </c>
      <c r="M304" s="12">
        <f>'Adv Report'!S24</f>
        <v>0</v>
      </c>
      <c r="N304" s="71">
        <f t="shared" si="24"/>
        <v>0</v>
      </c>
    </row>
    <row r="305" spans="1:14" ht="38.25" customHeight="1" x14ac:dyDescent="0.2">
      <c r="A305" s="9">
        <v>91</v>
      </c>
      <c r="B305" s="44" t="str">
        <f>'Adv Report'!O25</f>
        <v>0416</v>
      </c>
      <c r="C305" s="9"/>
      <c r="D305" s="9"/>
      <c r="E305" s="9"/>
      <c r="F305" s="71">
        <f t="shared" si="25"/>
        <v>0</v>
      </c>
      <c r="G305" s="12">
        <f>'Adv Report'!T25</f>
        <v>0</v>
      </c>
      <c r="H305" s="12">
        <f>'Adv Report'!U25</f>
        <v>0</v>
      </c>
      <c r="I305" s="12">
        <f>'Adv Report'!V25</f>
        <v>0</v>
      </c>
      <c r="J305" s="71">
        <f t="shared" si="23"/>
        <v>0</v>
      </c>
      <c r="K305" s="12">
        <f>'Adv Report'!Q25</f>
        <v>0</v>
      </c>
      <c r="L305" s="12">
        <f>'Adv Report'!R25</f>
        <v>0</v>
      </c>
      <c r="M305" s="12">
        <f>'Adv Report'!S25</f>
        <v>0</v>
      </c>
      <c r="N305" s="71">
        <f t="shared" si="24"/>
        <v>0</v>
      </c>
    </row>
    <row r="306" spans="1:14" ht="38.25" customHeight="1" x14ac:dyDescent="0.2">
      <c r="A306" s="9">
        <v>92</v>
      </c>
      <c r="B306" s="44" t="str">
        <f>'Adv Report'!O26</f>
        <v>0404</v>
      </c>
      <c r="C306" s="9"/>
      <c r="D306" s="9"/>
      <c r="E306" s="9"/>
      <c r="F306" s="71">
        <f t="shared" si="25"/>
        <v>0</v>
      </c>
      <c r="G306" s="12">
        <f>'Adv Report'!T26</f>
        <v>0</v>
      </c>
      <c r="H306" s="12">
        <f>'Adv Report'!U26</f>
        <v>0</v>
      </c>
      <c r="I306" s="12">
        <f>'Adv Report'!V26</f>
        <v>0</v>
      </c>
      <c r="J306" s="71">
        <f t="shared" si="23"/>
        <v>0</v>
      </c>
      <c r="K306" s="12">
        <f>'Adv Report'!Q26</f>
        <v>0</v>
      </c>
      <c r="L306" s="12">
        <f>'Adv Report'!R26</f>
        <v>0</v>
      </c>
      <c r="M306" s="12">
        <f>'Adv Report'!S26</f>
        <v>0</v>
      </c>
      <c r="N306" s="71">
        <f t="shared" si="24"/>
        <v>0</v>
      </c>
    </row>
    <row r="307" spans="1:14" ht="38.25" customHeight="1" x14ac:dyDescent="0.2">
      <c r="A307" s="9">
        <v>93</v>
      </c>
      <c r="B307" s="44" t="str">
        <f>'Adv Report'!O27</f>
        <v>0622</v>
      </c>
      <c r="C307" s="9"/>
      <c r="D307" s="9"/>
      <c r="E307" s="9"/>
      <c r="F307" s="71">
        <f t="shared" si="25"/>
        <v>0</v>
      </c>
      <c r="G307" s="12">
        <f>'Adv Report'!T27</f>
        <v>0</v>
      </c>
      <c r="H307" s="12">
        <f>'Adv Report'!U27</f>
        <v>0</v>
      </c>
      <c r="I307" s="12">
        <f>'Adv Report'!V27</f>
        <v>0</v>
      </c>
      <c r="J307" s="71">
        <f t="shared" si="23"/>
        <v>0</v>
      </c>
      <c r="K307" s="12">
        <f>'Adv Report'!Q27</f>
        <v>0</v>
      </c>
      <c r="L307" s="12">
        <f>'Adv Report'!R27</f>
        <v>0</v>
      </c>
      <c r="M307" s="12">
        <f>'Adv Report'!S27</f>
        <v>0</v>
      </c>
      <c r="N307" s="71">
        <f t="shared" si="24"/>
        <v>0</v>
      </c>
    </row>
    <row r="308" spans="1:14" ht="38.25" customHeight="1" x14ac:dyDescent="0.2">
      <c r="A308" s="9">
        <v>94</v>
      </c>
      <c r="B308" s="44" t="str">
        <f>'Adv Report'!O28</f>
        <v>0606</v>
      </c>
      <c r="C308" s="9"/>
      <c r="D308" s="9"/>
      <c r="E308" s="9"/>
      <c r="F308" s="71">
        <f t="shared" si="25"/>
        <v>0</v>
      </c>
      <c r="G308" s="12">
        <f>'Adv Report'!T28</f>
        <v>0</v>
      </c>
      <c r="H308" s="12">
        <f>'Adv Report'!U28</f>
        <v>0</v>
      </c>
      <c r="I308" s="12">
        <f>'Adv Report'!V28</f>
        <v>0</v>
      </c>
      <c r="J308" s="71">
        <f t="shared" si="23"/>
        <v>0</v>
      </c>
      <c r="K308" s="12">
        <f>'Adv Report'!Q28</f>
        <v>0</v>
      </c>
      <c r="L308" s="12">
        <f>'Adv Report'!R28</f>
        <v>0</v>
      </c>
      <c r="M308" s="12">
        <f>'Adv Report'!S28</f>
        <v>0</v>
      </c>
      <c r="N308" s="71">
        <f t="shared" si="24"/>
        <v>0</v>
      </c>
    </row>
    <row r="309" spans="1:14" ht="38.25" customHeight="1" x14ac:dyDescent="0.2">
      <c r="A309" s="9">
        <v>95</v>
      </c>
      <c r="B309" s="44" t="str">
        <f>'Adv Report'!O29</f>
        <v>0905</v>
      </c>
      <c r="C309" s="9"/>
      <c r="D309" s="9"/>
      <c r="E309" s="9"/>
      <c r="F309" s="71">
        <f t="shared" si="25"/>
        <v>9</v>
      </c>
      <c r="G309" s="12">
        <f>'Adv Report'!T29</f>
        <v>2</v>
      </c>
      <c r="H309" s="12">
        <f>'Adv Report'!U29</f>
        <v>0</v>
      </c>
      <c r="I309" s="12">
        <f>'Adv Report'!V29</f>
        <v>7</v>
      </c>
      <c r="J309" s="71">
        <f t="shared" si="23"/>
        <v>9</v>
      </c>
      <c r="K309" s="12">
        <f>'Adv Report'!Q29</f>
        <v>0</v>
      </c>
      <c r="L309" s="12">
        <f>'Adv Report'!R29</f>
        <v>0</v>
      </c>
      <c r="M309" s="12">
        <f>'Adv Report'!S29</f>
        <v>0</v>
      </c>
      <c r="N309" s="71">
        <f t="shared" si="24"/>
        <v>0</v>
      </c>
    </row>
    <row r="310" spans="1:14" ht="38.25" customHeight="1" x14ac:dyDescent="0.2">
      <c r="A310" s="9">
        <v>96</v>
      </c>
      <c r="B310" s="44" t="str">
        <f>'Adv Report'!O30</f>
        <v>0374</v>
      </c>
      <c r="C310" s="9"/>
      <c r="D310" s="9"/>
      <c r="E310" s="9"/>
      <c r="F310" s="71">
        <f t="shared" si="25"/>
        <v>2</v>
      </c>
      <c r="G310" s="12">
        <f>'Adv Report'!T30</f>
        <v>0</v>
      </c>
      <c r="H310" s="12">
        <f>'Adv Report'!U30</f>
        <v>0</v>
      </c>
      <c r="I310" s="12">
        <f>'Adv Report'!V30</f>
        <v>2</v>
      </c>
      <c r="J310" s="71">
        <f t="shared" si="23"/>
        <v>2</v>
      </c>
      <c r="K310" s="12">
        <f>'Adv Report'!Q30</f>
        <v>0</v>
      </c>
      <c r="L310" s="12">
        <f>'Adv Report'!R30</f>
        <v>0</v>
      </c>
      <c r="M310" s="12">
        <f>'Adv Report'!S30</f>
        <v>0</v>
      </c>
      <c r="N310" s="71">
        <f t="shared" si="24"/>
        <v>0</v>
      </c>
    </row>
    <row r="311" spans="1:14" ht="38.25" customHeight="1" x14ac:dyDescent="0.2">
      <c r="A311" s="9">
        <v>97</v>
      </c>
      <c r="B311" s="44" t="str">
        <f>'Adv Report'!O31</f>
        <v>0538</v>
      </c>
      <c r="C311" s="9"/>
      <c r="D311" s="9"/>
      <c r="E311" s="9"/>
      <c r="F311" s="71">
        <f t="shared" si="25"/>
        <v>0</v>
      </c>
      <c r="G311" s="12">
        <f>'Adv Report'!T31</f>
        <v>0</v>
      </c>
      <c r="H311" s="12">
        <f>'Adv Report'!U31</f>
        <v>0</v>
      </c>
      <c r="I311" s="12">
        <f>'Adv Report'!V31</f>
        <v>0</v>
      </c>
      <c r="J311" s="71">
        <f t="shared" si="23"/>
        <v>0</v>
      </c>
      <c r="K311" s="12">
        <f>'Adv Report'!Q31</f>
        <v>0</v>
      </c>
      <c r="L311" s="12">
        <f>'Adv Report'!R31</f>
        <v>0</v>
      </c>
      <c r="M311" s="12">
        <f>'Adv Report'!S31</f>
        <v>0</v>
      </c>
      <c r="N311" s="71">
        <f t="shared" si="24"/>
        <v>0</v>
      </c>
    </row>
    <row r="312" spans="1:14" ht="38.25" customHeight="1" x14ac:dyDescent="0.2">
      <c r="A312" s="9">
        <v>98</v>
      </c>
      <c r="B312" s="44" t="str">
        <f>'Adv Report'!O32</f>
        <v>0767</v>
      </c>
      <c r="C312" s="9"/>
      <c r="D312" s="9"/>
      <c r="E312" s="9"/>
      <c r="F312" s="71">
        <f t="shared" si="25"/>
        <v>7</v>
      </c>
      <c r="G312" s="12">
        <f>'Adv Report'!T32</f>
        <v>4</v>
      </c>
      <c r="H312" s="12">
        <f>'Adv Report'!U32</f>
        <v>0</v>
      </c>
      <c r="I312" s="12">
        <f>'Adv Report'!V32</f>
        <v>3</v>
      </c>
      <c r="J312" s="71">
        <f t="shared" si="23"/>
        <v>7</v>
      </c>
      <c r="K312" s="12">
        <f>'Adv Report'!Q32</f>
        <v>0</v>
      </c>
      <c r="L312" s="12">
        <f>'Adv Report'!R32</f>
        <v>0</v>
      </c>
      <c r="M312" s="12">
        <f>'Adv Report'!S32</f>
        <v>0</v>
      </c>
      <c r="N312" s="71">
        <f t="shared" si="24"/>
        <v>0</v>
      </c>
    </row>
    <row r="313" spans="1:14" ht="38.25" customHeight="1" x14ac:dyDescent="0.2">
      <c r="A313" s="9">
        <v>99</v>
      </c>
      <c r="B313" s="44">
        <f>'Adv Report'!O33</f>
        <v>0</v>
      </c>
      <c r="C313" s="9"/>
      <c r="D313" s="9"/>
      <c r="E313" s="9"/>
      <c r="F313" s="71">
        <f t="shared" si="25"/>
        <v>0</v>
      </c>
      <c r="G313" s="12">
        <f>'Adv Report'!T33</f>
        <v>0</v>
      </c>
      <c r="H313" s="12">
        <f>'Adv Report'!U33</f>
        <v>0</v>
      </c>
      <c r="I313" s="12">
        <f>'Adv Report'!V33</f>
        <v>0</v>
      </c>
      <c r="J313" s="71">
        <f t="shared" si="23"/>
        <v>0</v>
      </c>
      <c r="K313" s="12">
        <f>'Adv Report'!Q33</f>
        <v>0</v>
      </c>
      <c r="L313" s="12">
        <f>'Adv Report'!R33</f>
        <v>0</v>
      </c>
      <c r="M313" s="12">
        <f>'Adv Report'!S33</f>
        <v>0</v>
      </c>
      <c r="N313" s="71">
        <f t="shared" si="24"/>
        <v>0</v>
      </c>
    </row>
    <row r="314" spans="1:14" ht="38.25" customHeight="1" x14ac:dyDescent="0.2">
      <c r="A314" s="9">
        <v>100</v>
      </c>
      <c r="B314" s="44">
        <f>'Adv Report'!O34</f>
        <v>0</v>
      </c>
      <c r="C314" s="9"/>
      <c r="D314" s="9"/>
      <c r="E314" s="9"/>
      <c r="F314" s="71">
        <f t="shared" si="25"/>
        <v>0</v>
      </c>
      <c r="G314" s="12">
        <f>'Adv Report'!T34</f>
        <v>0</v>
      </c>
      <c r="H314" s="12">
        <f>'Adv Report'!U34</f>
        <v>0</v>
      </c>
      <c r="I314" s="12">
        <f>'Adv Report'!V34</f>
        <v>0</v>
      </c>
      <c r="J314" s="71">
        <f t="shared" si="23"/>
        <v>0</v>
      </c>
      <c r="K314" s="12">
        <f>'Adv Report'!Q34</f>
        <v>0</v>
      </c>
      <c r="L314" s="12">
        <f>'Adv Report'!R34</f>
        <v>0</v>
      </c>
      <c r="M314" s="12">
        <f>'Adv Report'!S34</f>
        <v>0</v>
      </c>
      <c r="N314" s="71">
        <f t="shared" si="24"/>
        <v>0</v>
      </c>
    </row>
    <row r="315" spans="1:14" ht="38.25" customHeight="1" x14ac:dyDescent="0.2">
      <c r="A315" s="9">
        <v>101</v>
      </c>
      <c r="B315" s="44">
        <f>'Adv Report'!O35</f>
        <v>0</v>
      </c>
      <c r="C315" s="9"/>
      <c r="D315" s="9"/>
      <c r="E315" s="9"/>
      <c r="F315" s="71">
        <f t="shared" si="25"/>
        <v>0</v>
      </c>
      <c r="G315" s="12">
        <f>'Adv Report'!T35</f>
        <v>0</v>
      </c>
      <c r="H315" s="12">
        <f>'Adv Report'!U35</f>
        <v>0</v>
      </c>
      <c r="I315" s="12">
        <f>'Adv Report'!V35</f>
        <v>0</v>
      </c>
      <c r="J315" s="71">
        <f t="shared" si="23"/>
        <v>0</v>
      </c>
      <c r="K315" s="12">
        <f>'Adv Report'!Q35</f>
        <v>0</v>
      </c>
      <c r="L315" s="12">
        <f>'Adv Report'!R35</f>
        <v>0</v>
      </c>
      <c r="M315" s="12">
        <f>'Adv Report'!S35</f>
        <v>0</v>
      </c>
      <c r="N315" s="71">
        <f t="shared" si="24"/>
        <v>0</v>
      </c>
    </row>
    <row r="316" spans="1:14" ht="38.25" customHeight="1" x14ac:dyDescent="0.2">
      <c r="A316" s="9">
        <v>102</v>
      </c>
      <c r="B316" s="44">
        <f>'Adv Report'!O36</f>
        <v>0</v>
      </c>
      <c r="C316" s="9"/>
      <c r="D316" s="9"/>
      <c r="E316" s="9"/>
      <c r="F316" s="71">
        <f t="shared" si="25"/>
        <v>0</v>
      </c>
      <c r="G316" s="12">
        <f>'Adv Report'!T36</f>
        <v>0</v>
      </c>
      <c r="H316" s="12">
        <f>'Adv Report'!U36</f>
        <v>0</v>
      </c>
      <c r="I316" s="12">
        <f>'Adv Report'!V36</f>
        <v>0</v>
      </c>
      <c r="J316" s="71">
        <f t="shared" si="23"/>
        <v>0</v>
      </c>
      <c r="K316" s="12">
        <f>'Adv Report'!Q36</f>
        <v>0</v>
      </c>
      <c r="L316" s="12">
        <f>'Adv Report'!R36</f>
        <v>0</v>
      </c>
      <c r="M316" s="12">
        <f>'Adv Report'!S36</f>
        <v>0</v>
      </c>
      <c r="N316" s="71">
        <f t="shared" si="24"/>
        <v>0</v>
      </c>
    </row>
    <row r="317" spans="1:14" ht="38.25" customHeight="1" x14ac:dyDescent="0.2">
      <c r="A317" s="9">
        <v>103</v>
      </c>
      <c r="B317" s="44">
        <f>'Adv Report'!O37</f>
        <v>0</v>
      </c>
      <c r="C317" s="9"/>
      <c r="D317" s="9"/>
      <c r="E317" s="9"/>
      <c r="F317" s="71">
        <f t="shared" si="25"/>
        <v>0</v>
      </c>
      <c r="G317" s="12">
        <f>'Adv Report'!T37</f>
        <v>0</v>
      </c>
      <c r="H317" s="12">
        <f>'Adv Report'!U37</f>
        <v>0</v>
      </c>
      <c r="I317" s="12">
        <f>'Adv Report'!V37</f>
        <v>0</v>
      </c>
      <c r="J317" s="71">
        <f t="shared" si="23"/>
        <v>0</v>
      </c>
      <c r="K317" s="12">
        <f>'Adv Report'!Q37</f>
        <v>0</v>
      </c>
      <c r="L317" s="12">
        <f>'Adv Report'!R37</f>
        <v>0</v>
      </c>
      <c r="M317" s="12">
        <f>'Adv Report'!S37</f>
        <v>0</v>
      </c>
      <c r="N317" s="71">
        <f t="shared" si="24"/>
        <v>0</v>
      </c>
    </row>
    <row r="318" spans="1:14" ht="38.25" customHeight="1" x14ac:dyDescent="0.2">
      <c r="A318" s="9">
        <v>104</v>
      </c>
      <c r="B318" s="44">
        <f>'Adv Report'!O38</f>
        <v>0</v>
      </c>
      <c r="C318" s="9"/>
      <c r="D318" s="9"/>
      <c r="E318" s="9"/>
      <c r="F318" s="71">
        <f t="shared" si="25"/>
        <v>0</v>
      </c>
      <c r="G318" s="12">
        <f>'Adv Report'!T38</f>
        <v>0</v>
      </c>
      <c r="H318" s="12">
        <f>'Adv Report'!U38</f>
        <v>0</v>
      </c>
      <c r="I318" s="12">
        <f>'Adv Report'!V38</f>
        <v>0</v>
      </c>
      <c r="J318" s="71">
        <f t="shared" si="23"/>
        <v>0</v>
      </c>
      <c r="K318" s="12">
        <f>'Adv Report'!Q38</f>
        <v>0</v>
      </c>
      <c r="L318" s="12">
        <f>'Adv Report'!R38</f>
        <v>0</v>
      </c>
      <c r="M318" s="12">
        <f>'Adv Report'!S38</f>
        <v>0</v>
      </c>
      <c r="N318" s="71">
        <f t="shared" si="24"/>
        <v>0</v>
      </c>
    </row>
    <row r="319" spans="1:14" ht="38.25" customHeight="1" x14ac:dyDescent="0.2">
      <c r="A319" s="9">
        <v>105</v>
      </c>
      <c r="B319" s="44">
        <f>'Adv Report'!O39</f>
        <v>0</v>
      </c>
      <c r="C319" s="9"/>
      <c r="D319" s="9"/>
      <c r="E319" s="9"/>
      <c r="F319" s="71">
        <f t="shared" si="25"/>
        <v>0</v>
      </c>
      <c r="G319" s="12">
        <f>'Adv Report'!T39</f>
        <v>0</v>
      </c>
      <c r="H319" s="12">
        <f>'Adv Report'!U39</f>
        <v>0</v>
      </c>
      <c r="I319" s="12">
        <f>'Adv Report'!V39</f>
        <v>0</v>
      </c>
      <c r="J319" s="71">
        <f t="shared" si="23"/>
        <v>0</v>
      </c>
      <c r="K319" s="12">
        <f>'Adv Report'!Q39</f>
        <v>0</v>
      </c>
      <c r="L319" s="12">
        <f>'Adv Report'!R39</f>
        <v>0</v>
      </c>
      <c r="M319" s="12">
        <f>'Adv Report'!S39</f>
        <v>0</v>
      </c>
      <c r="N319" s="71">
        <f t="shared" si="24"/>
        <v>0</v>
      </c>
    </row>
    <row r="320" spans="1:14" ht="38.25" customHeight="1" x14ac:dyDescent="0.2">
      <c r="A320" s="9">
        <v>106</v>
      </c>
      <c r="B320" s="44">
        <f>'Adv Report'!O40</f>
        <v>0</v>
      </c>
      <c r="C320" s="9"/>
      <c r="D320" s="9"/>
      <c r="E320" s="9"/>
      <c r="F320" s="71">
        <f t="shared" si="25"/>
        <v>0</v>
      </c>
      <c r="G320" s="12">
        <f>'Adv Report'!T40</f>
        <v>0</v>
      </c>
      <c r="H320" s="12">
        <f>'Adv Report'!U40</f>
        <v>0</v>
      </c>
      <c r="I320" s="12">
        <f>'Adv Report'!V40</f>
        <v>0</v>
      </c>
      <c r="J320" s="71">
        <f t="shared" si="23"/>
        <v>0</v>
      </c>
      <c r="K320" s="12">
        <f>'Adv Report'!Q40</f>
        <v>0</v>
      </c>
      <c r="L320" s="12">
        <f>'Adv Report'!R40</f>
        <v>0</v>
      </c>
      <c r="M320" s="12">
        <f>'Adv Report'!S40</f>
        <v>0</v>
      </c>
      <c r="N320" s="71">
        <f t="shared" si="24"/>
        <v>0</v>
      </c>
    </row>
    <row r="321" spans="1:14" ht="38.25" customHeight="1" x14ac:dyDescent="0.2">
      <c r="A321" s="9">
        <v>107</v>
      </c>
      <c r="B321" s="44">
        <f>'Adv Report'!O41</f>
        <v>0</v>
      </c>
      <c r="C321" s="9"/>
      <c r="D321" s="9"/>
      <c r="E321" s="9"/>
      <c r="F321" s="71">
        <f t="shared" si="25"/>
        <v>0</v>
      </c>
      <c r="G321" s="12">
        <f>'Adv Report'!T41</f>
        <v>0</v>
      </c>
      <c r="H321" s="12">
        <f>'Adv Report'!U41</f>
        <v>0</v>
      </c>
      <c r="I321" s="12">
        <f>'Adv Report'!V41</f>
        <v>0</v>
      </c>
      <c r="J321" s="71">
        <f t="shared" si="23"/>
        <v>0</v>
      </c>
      <c r="K321" s="12">
        <f>'Adv Report'!Q41</f>
        <v>0</v>
      </c>
      <c r="L321" s="12">
        <f>'Adv Report'!R41</f>
        <v>0</v>
      </c>
      <c r="M321" s="12">
        <f>'Adv Report'!S41</f>
        <v>0</v>
      </c>
      <c r="N321" s="71">
        <f t="shared" si="24"/>
        <v>0</v>
      </c>
    </row>
    <row r="322" spans="1:14" ht="38.25" customHeight="1" x14ac:dyDescent="0.2">
      <c r="A322" s="9">
        <v>108</v>
      </c>
      <c r="B322" s="44">
        <f>'Adv Report'!O42</f>
        <v>0</v>
      </c>
      <c r="C322" s="9"/>
      <c r="D322" s="9"/>
      <c r="E322" s="9"/>
      <c r="F322" s="71">
        <f t="shared" si="25"/>
        <v>0</v>
      </c>
      <c r="G322" s="12">
        <f>'Adv Report'!T42</f>
        <v>0</v>
      </c>
      <c r="H322" s="12">
        <f>'Adv Report'!U42</f>
        <v>0</v>
      </c>
      <c r="I322" s="12">
        <f>'Adv Report'!V42</f>
        <v>0</v>
      </c>
      <c r="J322" s="71">
        <f t="shared" si="23"/>
        <v>0</v>
      </c>
      <c r="K322" s="12">
        <f>'Adv Report'!Q42</f>
        <v>0</v>
      </c>
      <c r="L322" s="12">
        <f>'Adv Report'!R42</f>
        <v>0</v>
      </c>
      <c r="M322" s="12">
        <f>'Adv Report'!S42</f>
        <v>0</v>
      </c>
      <c r="N322" s="71">
        <f t="shared" si="24"/>
        <v>0</v>
      </c>
    </row>
    <row r="323" spans="1:14" ht="38.25" customHeight="1" x14ac:dyDescent="0.2">
      <c r="A323" s="9">
        <v>109</v>
      </c>
      <c r="B323" s="44">
        <f>'Adv Report'!O43</f>
        <v>0</v>
      </c>
      <c r="C323" s="9"/>
      <c r="D323" s="9"/>
      <c r="E323" s="9"/>
      <c r="F323" s="71">
        <f t="shared" si="25"/>
        <v>0</v>
      </c>
      <c r="G323" s="12">
        <f>'Adv Report'!T43</f>
        <v>0</v>
      </c>
      <c r="H323" s="12">
        <f>'Adv Report'!U43</f>
        <v>0</v>
      </c>
      <c r="I323" s="12">
        <f>'Adv Report'!V43</f>
        <v>0</v>
      </c>
      <c r="J323" s="71">
        <f t="shared" si="23"/>
        <v>0</v>
      </c>
      <c r="K323" s="12">
        <f>'Adv Report'!Q43</f>
        <v>0</v>
      </c>
      <c r="L323" s="12">
        <f>'Adv Report'!R43</f>
        <v>0</v>
      </c>
      <c r="M323" s="12">
        <f>'Adv Report'!S43</f>
        <v>0</v>
      </c>
      <c r="N323" s="71">
        <f t="shared" si="24"/>
        <v>0</v>
      </c>
    </row>
    <row r="324" spans="1:14" ht="38.25" customHeight="1" x14ac:dyDescent="0.2">
      <c r="A324" s="9">
        <v>110</v>
      </c>
      <c r="B324" s="44">
        <f>'Adv Report'!O44</f>
        <v>0</v>
      </c>
      <c r="C324" s="9"/>
      <c r="D324" s="9"/>
      <c r="E324" s="9"/>
      <c r="F324" s="71">
        <f t="shared" si="25"/>
        <v>0</v>
      </c>
      <c r="G324" s="12">
        <f>'Adv Report'!T44</f>
        <v>0</v>
      </c>
      <c r="H324" s="12">
        <f>'Adv Report'!U44</f>
        <v>0</v>
      </c>
      <c r="I324" s="12">
        <f>'Adv Report'!V44</f>
        <v>0</v>
      </c>
      <c r="J324" s="71">
        <f t="shared" si="23"/>
        <v>0</v>
      </c>
      <c r="K324" s="12">
        <f>'Adv Report'!Q44</f>
        <v>0</v>
      </c>
      <c r="L324" s="12">
        <f>'Adv Report'!R44</f>
        <v>0</v>
      </c>
      <c r="M324" s="12">
        <f>'Adv Report'!S44</f>
        <v>0</v>
      </c>
      <c r="N324" s="71">
        <f t="shared" si="24"/>
        <v>0</v>
      </c>
    </row>
    <row r="325" spans="1:14" ht="38.25" customHeight="1" x14ac:dyDescent="0.2">
      <c r="A325" s="9">
        <v>111</v>
      </c>
      <c r="B325" s="44">
        <f>'Adv Report'!O45</f>
        <v>0</v>
      </c>
      <c r="C325" s="9"/>
      <c r="D325" s="9"/>
      <c r="E325" s="9"/>
      <c r="F325" s="71">
        <f t="shared" si="25"/>
        <v>0</v>
      </c>
      <c r="G325" s="12">
        <f>'Adv Report'!T45</f>
        <v>0</v>
      </c>
      <c r="H325" s="12">
        <f>'Adv Report'!U45</f>
        <v>0</v>
      </c>
      <c r="I325" s="12">
        <f>'Adv Report'!V45</f>
        <v>0</v>
      </c>
      <c r="J325" s="71">
        <f t="shared" si="23"/>
        <v>0</v>
      </c>
      <c r="K325" s="12">
        <f>'Adv Report'!Q45</f>
        <v>0</v>
      </c>
      <c r="L325" s="12">
        <f>'Adv Report'!R45</f>
        <v>0</v>
      </c>
      <c r="M325" s="12">
        <f>'Adv Report'!S45</f>
        <v>0</v>
      </c>
      <c r="N325" s="71">
        <f t="shared" si="24"/>
        <v>0</v>
      </c>
    </row>
    <row r="326" spans="1:14" ht="38.25" customHeight="1" x14ac:dyDescent="0.2">
      <c r="A326" s="9">
        <v>112</v>
      </c>
      <c r="B326" s="44">
        <f>'Adv Report'!O46</f>
        <v>0</v>
      </c>
      <c r="C326" s="9"/>
      <c r="D326" s="9"/>
      <c r="E326" s="9"/>
      <c r="F326" s="71">
        <f t="shared" si="25"/>
        <v>0</v>
      </c>
      <c r="G326" s="12">
        <f>'Adv Report'!T46</f>
        <v>0</v>
      </c>
      <c r="H326" s="12">
        <f>'Adv Report'!U46</f>
        <v>0</v>
      </c>
      <c r="I326" s="12">
        <f>'Adv Report'!V46</f>
        <v>0</v>
      </c>
      <c r="J326" s="71">
        <f t="shared" si="23"/>
        <v>0</v>
      </c>
      <c r="K326" s="12">
        <f>'Adv Report'!Q46</f>
        <v>0</v>
      </c>
      <c r="L326" s="12">
        <f>'Adv Report'!R46</f>
        <v>0</v>
      </c>
      <c r="M326" s="12">
        <f>'Adv Report'!S46</f>
        <v>0</v>
      </c>
      <c r="N326" s="71">
        <f t="shared" si="24"/>
        <v>0</v>
      </c>
    </row>
    <row r="327" spans="1:14" ht="38.25" customHeight="1" x14ac:dyDescent="0.2">
      <c r="A327" s="9">
        <v>113</v>
      </c>
      <c r="B327" s="44">
        <f>'Adv Report'!O47</f>
        <v>0</v>
      </c>
      <c r="C327" s="9"/>
      <c r="D327" s="9"/>
      <c r="E327" s="9"/>
      <c r="F327" s="71">
        <f t="shared" si="25"/>
        <v>0</v>
      </c>
      <c r="G327" s="12">
        <f>'Adv Report'!T47</f>
        <v>0</v>
      </c>
      <c r="H327" s="12">
        <f>'Adv Report'!U47</f>
        <v>0</v>
      </c>
      <c r="I327" s="12">
        <f>'Adv Report'!V47</f>
        <v>0</v>
      </c>
      <c r="J327" s="71">
        <f t="shared" si="23"/>
        <v>0</v>
      </c>
      <c r="K327" s="12">
        <f>'Adv Report'!Q47</f>
        <v>0</v>
      </c>
      <c r="L327" s="12">
        <f>'Adv Report'!R47</f>
        <v>0</v>
      </c>
      <c r="M327" s="12">
        <f>'Adv Report'!S47</f>
        <v>0</v>
      </c>
      <c r="N327" s="71">
        <f t="shared" si="24"/>
        <v>0</v>
      </c>
    </row>
    <row r="328" spans="1:14" ht="38.25" customHeight="1" x14ac:dyDescent="0.2">
      <c r="A328" s="9">
        <v>114</v>
      </c>
      <c r="B328" s="44">
        <f>'Adv Report'!O48</f>
        <v>0</v>
      </c>
      <c r="C328" s="9"/>
      <c r="D328" s="9"/>
      <c r="E328" s="9"/>
      <c r="F328" s="71">
        <f t="shared" si="25"/>
        <v>0</v>
      </c>
      <c r="G328" s="12">
        <f>'Adv Report'!T48</f>
        <v>0</v>
      </c>
      <c r="H328" s="12">
        <f>'Adv Report'!U48</f>
        <v>0</v>
      </c>
      <c r="I328" s="12">
        <f>'Adv Report'!V48</f>
        <v>0</v>
      </c>
      <c r="J328" s="71">
        <f t="shared" si="23"/>
        <v>0</v>
      </c>
      <c r="K328" s="12">
        <f>'Adv Report'!Q48</f>
        <v>0</v>
      </c>
      <c r="L328" s="12">
        <f>'Adv Report'!R48</f>
        <v>0</v>
      </c>
      <c r="M328" s="12">
        <f>'Adv Report'!S48</f>
        <v>0</v>
      </c>
      <c r="N328" s="71">
        <f t="shared" si="24"/>
        <v>0</v>
      </c>
    </row>
    <row r="329" spans="1:14" ht="38.25" customHeight="1" x14ac:dyDescent="0.2">
      <c r="A329" s="9">
        <v>115</v>
      </c>
      <c r="B329" s="44">
        <f>'Adv Report'!O49</f>
        <v>0</v>
      </c>
      <c r="C329" s="9"/>
      <c r="D329" s="9"/>
      <c r="E329" s="9"/>
      <c r="F329" s="71">
        <f t="shared" si="25"/>
        <v>0</v>
      </c>
      <c r="G329" s="12">
        <f>'Adv Report'!T49</f>
        <v>0</v>
      </c>
      <c r="H329" s="12">
        <f>'Adv Report'!U49</f>
        <v>0</v>
      </c>
      <c r="I329" s="12">
        <f>'Adv Report'!V49</f>
        <v>0</v>
      </c>
      <c r="J329" s="71">
        <f t="shared" si="23"/>
        <v>0</v>
      </c>
      <c r="K329" s="12">
        <f>'Adv Report'!Q49</f>
        <v>0</v>
      </c>
      <c r="L329" s="12">
        <f>'Adv Report'!R49</f>
        <v>0</v>
      </c>
      <c r="M329" s="12">
        <f>'Adv Report'!S49</f>
        <v>0</v>
      </c>
      <c r="N329" s="71">
        <f t="shared" si="24"/>
        <v>0</v>
      </c>
    </row>
    <row r="330" spans="1:14" ht="38.25" customHeight="1" x14ac:dyDescent="0.2">
      <c r="A330" s="9">
        <v>116</v>
      </c>
      <c r="B330" s="44">
        <f>'Adv Report'!O50</f>
        <v>0</v>
      </c>
      <c r="C330" s="9"/>
      <c r="D330" s="9"/>
      <c r="E330" s="9"/>
      <c r="F330" s="71">
        <f t="shared" si="25"/>
        <v>0</v>
      </c>
      <c r="G330" s="12">
        <f>'Adv Report'!T50</f>
        <v>0</v>
      </c>
      <c r="H330" s="12">
        <f>'Adv Report'!U50</f>
        <v>0</v>
      </c>
      <c r="I330" s="12">
        <f>'Adv Report'!V50</f>
        <v>0</v>
      </c>
      <c r="J330" s="71">
        <f t="shared" si="23"/>
        <v>0</v>
      </c>
      <c r="K330" s="12">
        <f>'Adv Report'!Q50</f>
        <v>0</v>
      </c>
      <c r="L330" s="12">
        <f>'Adv Report'!R50</f>
        <v>0</v>
      </c>
      <c r="M330" s="12">
        <f>'Adv Report'!S50</f>
        <v>0</v>
      </c>
      <c r="N330" s="71">
        <f t="shared" si="24"/>
        <v>0</v>
      </c>
    </row>
    <row r="331" spans="1:14" ht="38.25" customHeight="1" x14ac:dyDescent="0.2">
      <c r="A331" s="9">
        <v>117</v>
      </c>
      <c r="B331" s="44">
        <f>'Adv Report'!O51</f>
        <v>0</v>
      </c>
      <c r="C331" s="9"/>
      <c r="D331" s="9"/>
      <c r="E331" s="9"/>
      <c r="F331" s="71">
        <f t="shared" si="25"/>
        <v>0</v>
      </c>
      <c r="G331" s="12">
        <f>'Adv Report'!T51</f>
        <v>0</v>
      </c>
      <c r="H331" s="12">
        <f>'Adv Report'!U51</f>
        <v>0</v>
      </c>
      <c r="I331" s="12">
        <f>'Adv Report'!V51</f>
        <v>0</v>
      </c>
      <c r="J331" s="71">
        <f t="shared" si="23"/>
        <v>0</v>
      </c>
      <c r="K331" s="12">
        <f>'Adv Report'!Q51</f>
        <v>0</v>
      </c>
      <c r="L331" s="12">
        <f>'Adv Report'!R51</f>
        <v>0</v>
      </c>
      <c r="M331" s="12">
        <f>'Adv Report'!S51</f>
        <v>0</v>
      </c>
      <c r="N331" s="71">
        <f t="shared" si="24"/>
        <v>0</v>
      </c>
    </row>
    <row r="332" spans="1:14" ht="38.25" customHeight="1" x14ac:dyDescent="0.2">
      <c r="A332" s="9">
        <v>118</v>
      </c>
      <c r="B332" s="44">
        <f>'Adv Report'!O52</f>
        <v>0</v>
      </c>
      <c r="C332" s="9"/>
      <c r="D332" s="9"/>
      <c r="E332" s="9"/>
      <c r="F332" s="71">
        <f t="shared" si="25"/>
        <v>0</v>
      </c>
      <c r="G332" s="12">
        <f>'Adv Report'!T52</f>
        <v>0</v>
      </c>
      <c r="H332" s="12">
        <f>'Adv Report'!U52</f>
        <v>0</v>
      </c>
      <c r="I332" s="12">
        <f>'Adv Report'!V52</f>
        <v>0</v>
      </c>
      <c r="J332" s="71">
        <f t="shared" si="23"/>
        <v>0</v>
      </c>
      <c r="K332" s="12">
        <f>'Adv Report'!Q52</f>
        <v>0</v>
      </c>
      <c r="L332" s="12">
        <f>'Adv Report'!R52</f>
        <v>0</v>
      </c>
      <c r="M332" s="12">
        <f>'Adv Report'!S52</f>
        <v>0</v>
      </c>
      <c r="N332" s="71">
        <f t="shared" si="24"/>
        <v>0</v>
      </c>
    </row>
    <row r="333" spans="1:14" ht="38.25" customHeight="1" x14ac:dyDescent="0.2">
      <c r="A333" s="9">
        <v>119</v>
      </c>
      <c r="B333" s="44">
        <f>'Adv Report'!O53</f>
        <v>0</v>
      </c>
      <c r="C333" s="9"/>
      <c r="D333" s="9"/>
      <c r="E333" s="9"/>
      <c r="F333" s="71">
        <f t="shared" si="25"/>
        <v>0</v>
      </c>
      <c r="G333" s="12">
        <f>'Adv Report'!T53</f>
        <v>0</v>
      </c>
      <c r="H333" s="12">
        <f>'Adv Report'!U53</f>
        <v>0</v>
      </c>
      <c r="I333" s="12">
        <f>'Adv Report'!V53</f>
        <v>0</v>
      </c>
      <c r="J333" s="71">
        <f t="shared" si="23"/>
        <v>0</v>
      </c>
      <c r="K333" s="12">
        <f>'Adv Report'!Q53</f>
        <v>0</v>
      </c>
      <c r="L333" s="12">
        <f>'Adv Report'!R53</f>
        <v>0</v>
      </c>
      <c r="M333" s="12">
        <f>'Adv Report'!S53</f>
        <v>0</v>
      </c>
      <c r="N333" s="71">
        <f t="shared" si="24"/>
        <v>0</v>
      </c>
    </row>
    <row r="334" spans="1:14" ht="38.25" customHeight="1" x14ac:dyDescent="0.2">
      <c r="A334" s="82"/>
      <c r="B334" s="44">
        <f>'Adv Report'!O54</f>
        <v>0</v>
      </c>
      <c r="C334" s="9"/>
      <c r="D334" s="9"/>
      <c r="E334" s="9"/>
      <c r="F334" s="71">
        <f t="shared" si="25"/>
        <v>0</v>
      </c>
      <c r="G334" s="12">
        <f>'Adv Report'!T54</f>
        <v>0</v>
      </c>
      <c r="H334" s="12">
        <f>'Adv Report'!U54</f>
        <v>0</v>
      </c>
      <c r="I334" s="12">
        <f>'Adv Report'!V54</f>
        <v>0</v>
      </c>
      <c r="J334" s="71">
        <f t="shared" ref="J334:J352" si="26">G334+H334+I334</f>
        <v>0</v>
      </c>
      <c r="K334" s="12">
        <f>'Adv Report'!Q54</f>
        <v>0</v>
      </c>
      <c r="L334" s="12">
        <f>'Adv Report'!R54</f>
        <v>0</v>
      </c>
      <c r="M334" s="12">
        <f>'Adv Report'!S54</f>
        <v>0</v>
      </c>
      <c r="N334" s="71">
        <f t="shared" ref="N334:N352" si="27">K334+L334+M334</f>
        <v>0</v>
      </c>
    </row>
    <row r="335" spans="1:14" ht="38.25" customHeight="1" x14ac:dyDescent="0.2">
      <c r="A335" s="82"/>
      <c r="B335" s="44">
        <f>'Adv Report'!O55</f>
        <v>0</v>
      </c>
      <c r="C335" s="9"/>
      <c r="D335" s="9"/>
      <c r="E335" s="9"/>
      <c r="F335" s="71">
        <f t="shared" si="25"/>
        <v>0</v>
      </c>
      <c r="G335" s="12">
        <f>'Adv Report'!T55</f>
        <v>0</v>
      </c>
      <c r="H335" s="12">
        <f>'Adv Report'!U55</f>
        <v>0</v>
      </c>
      <c r="I335" s="12">
        <f>'Adv Report'!V55</f>
        <v>0</v>
      </c>
      <c r="J335" s="71">
        <f t="shared" si="26"/>
        <v>0</v>
      </c>
      <c r="K335" s="12">
        <f>'Adv Report'!Q55</f>
        <v>0</v>
      </c>
      <c r="L335" s="12">
        <f>'Adv Report'!R55</f>
        <v>0</v>
      </c>
      <c r="M335" s="12">
        <f>'Adv Report'!S55</f>
        <v>0</v>
      </c>
      <c r="N335" s="71">
        <f t="shared" si="27"/>
        <v>0</v>
      </c>
    </row>
    <row r="336" spans="1:14" ht="38.25" customHeight="1" x14ac:dyDescent="0.2">
      <c r="A336" s="82"/>
      <c r="B336" s="44">
        <f>'Adv Report'!O56</f>
        <v>0</v>
      </c>
      <c r="C336" s="9"/>
      <c r="D336" s="9"/>
      <c r="E336" s="9"/>
      <c r="F336" s="71">
        <f t="shared" si="25"/>
        <v>0</v>
      </c>
      <c r="G336" s="12">
        <f>'Adv Report'!T56</f>
        <v>0</v>
      </c>
      <c r="H336" s="12">
        <f>'Adv Report'!U56</f>
        <v>0</v>
      </c>
      <c r="I336" s="12">
        <f>'Adv Report'!V56</f>
        <v>0</v>
      </c>
      <c r="J336" s="71">
        <f t="shared" si="26"/>
        <v>0</v>
      </c>
      <c r="K336" s="12">
        <f>'Adv Report'!Q56</f>
        <v>0</v>
      </c>
      <c r="L336" s="12">
        <f>'Adv Report'!R56</f>
        <v>0</v>
      </c>
      <c r="M336" s="12">
        <f>'Adv Report'!S56</f>
        <v>0</v>
      </c>
      <c r="N336" s="71">
        <f t="shared" si="27"/>
        <v>0</v>
      </c>
    </row>
    <row r="337" spans="1:14" ht="38.25" customHeight="1" x14ac:dyDescent="0.2">
      <c r="A337" s="82"/>
      <c r="B337" s="44">
        <f>'Adv Report'!O57</f>
        <v>0</v>
      </c>
      <c r="C337" s="9"/>
      <c r="D337" s="9"/>
      <c r="E337" s="9"/>
      <c r="F337" s="71">
        <f t="shared" si="25"/>
        <v>0</v>
      </c>
      <c r="G337" s="12">
        <f>'Adv Report'!T57</f>
        <v>0</v>
      </c>
      <c r="H337" s="12">
        <f>'Adv Report'!U57</f>
        <v>0</v>
      </c>
      <c r="I337" s="12">
        <f>'Adv Report'!V57</f>
        <v>0</v>
      </c>
      <c r="J337" s="71">
        <f t="shared" si="26"/>
        <v>0</v>
      </c>
      <c r="K337" s="12">
        <f>'Adv Report'!Q57</f>
        <v>0</v>
      </c>
      <c r="L337" s="12">
        <f>'Adv Report'!R57</f>
        <v>0</v>
      </c>
      <c r="M337" s="12">
        <f>'Adv Report'!S57</f>
        <v>0</v>
      </c>
      <c r="N337" s="71">
        <f t="shared" si="27"/>
        <v>0</v>
      </c>
    </row>
    <row r="338" spans="1:14" ht="38.25" customHeight="1" x14ac:dyDescent="0.2">
      <c r="A338" s="82"/>
      <c r="B338" s="44">
        <f>'Adv Report'!O58</f>
        <v>0</v>
      </c>
      <c r="C338" s="9"/>
      <c r="D338" s="9"/>
      <c r="E338" s="9"/>
      <c r="F338" s="71">
        <f t="shared" si="25"/>
        <v>0</v>
      </c>
      <c r="G338" s="12">
        <f>'Adv Report'!T58</f>
        <v>0</v>
      </c>
      <c r="H338" s="12">
        <f>'Adv Report'!U58</f>
        <v>0</v>
      </c>
      <c r="I338" s="12">
        <f>'Adv Report'!V58</f>
        <v>0</v>
      </c>
      <c r="J338" s="71">
        <f t="shared" si="26"/>
        <v>0</v>
      </c>
      <c r="K338" s="12">
        <f>'Adv Report'!Q58</f>
        <v>0</v>
      </c>
      <c r="L338" s="12">
        <f>'Adv Report'!R58</f>
        <v>0</v>
      </c>
      <c r="M338" s="12">
        <f>'Adv Report'!S58</f>
        <v>0</v>
      </c>
      <c r="N338" s="71">
        <f t="shared" si="27"/>
        <v>0</v>
      </c>
    </row>
    <row r="339" spans="1:14" ht="38.25" customHeight="1" x14ac:dyDescent="0.2">
      <c r="A339" s="82"/>
      <c r="B339" s="44">
        <f>'Adv Report'!O59</f>
        <v>0</v>
      </c>
      <c r="C339" s="9"/>
      <c r="D339" s="9"/>
      <c r="E339" s="9"/>
      <c r="F339" s="71">
        <f t="shared" si="25"/>
        <v>0</v>
      </c>
      <c r="G339" s="12">
        <f>'Adv Report'!T59</f>
        <v>0</v>
      </c>
      <c r="H339" s="12">
        <f>'Adv Report'!U59</f>
        <v>0</v>
      </c>
      <c r="I339" s="12">
        <f>'Adv Report'!V59</f>
        <v>0</v>
      </c>
      <c r="J339" s="71">
        <f t="shared" si="26"/>
        <v>0</v>
      </c>
      <c r="K339" s="12">
        <f>'Adv Report'!Q59</f>
        <v>0</v>
      </c>
      <c r="L339" s="12">
        <f>'Adv Report'!R59</f>
        <v>0</v>
      </c>
      <c r="M339" s="12">
        <f>'Adv Report'!S59</f>
        <v>0</v>
      </c>
      <c r="N339" s="71">
        <f t="shared" si="27"/>
        <v>0</v>
      </c>
    </row>
    <row r="340" spans="1:14" ht="38.25" customHeight="1" x14ac:dyDescent="0.2">
      <c r="A340" s="82"/>
      <c r="B340" s="44">
        <f>'Adv Report'!O60</f>
        <v>0</v>
      </c>
      <c r="C340" s="9"/>
      <c r="D340" s="9"/>
      <c r="E340" s="9"/>
      <c r="F340" s="71">
        <f t="shared" si="25"/>
        <v>0</v>
      </c>
      <c r="G340" s="12">
        <f>'Adv Report'!T60</f>
        <v>0</v>
      </c>
      <c r="H340" s="12">
        <f>'Adv Report'!U60</f>
        <v>0</v>
      </c>
      <c r="I340" s="12">
        <f>'Adv Report'!V60</f>
        <v>0</v>
      </c>
      <c r="J340" s="71">
        <f t="shared" si="26"/>
        <v>0</v>
      </c>
      <c r="K340" s="12">
        <f>'Adv Report'!Q60</f>
        <v>0</v>
      </c>
      <c r="L340" s="12">
        <f>'Adv Report'!R60</f>
        <v>0</v>
      </c>
      <c r="M340" s="12">
        <f>'Adv Report'!S60</f>
        <v>0</v>
      </c>
      <c r="N340" s="71">
        <f t="shared" si="27"/>
        <v>0</v>
      </c>
    </row>
    <row r="341" spans="1:14" ht="38.25" customHeight="1" x14ac:dyDescent="0.2">
      <c r="A341" s="82"/>
      <c r="B341" s="44">
        <f>'Adv Report'!O61</f>
        <v>0</v>
      </c>
      <c r="C341" s="82"/>
      <c r="D341" s="82"/>
      <c r="E341" s="82"/>
      <c r="F341" s="71">
        <f t="shared" si="25"/>
        <v>0</v>
      </c>
      <c r="G341" s="12">
        <f>'Adv Report'!T61</f>
        <v>0</v>
      </c>
      <c r="H341" s="12">
        <f>'Adv Report'!U61</f>
        <v>0</v>
      </c>
      <c r="I341" s="12">
        <f>'Adv Report'!V61</f>
        <v>0</v>
      </c>
      <c r="J341" s="71">
        <f t="shared" si="26"/>
        <v>0</v>
      </c>
      <c r="K341" s="12">
        <f>'Adv Report'!Q61</f>
        <v>0</v>
      </c>
      <c r="L341" s="12">
        <f>'Adv Report'!R61</f>
        <v>0</v>
      </c>
      <c r="M341" s="12">
        <f>'Adv Report'!S61</f>
        <v>0</v>
      </c>
      <c r="N341" s="71">
        <f t="shared" si="27"/>
        <v>0</v>
      </c>
    </row>
    <row r="342" spans="1:14" ht="38.25" customHeight="1" x14ac:dyDescent="0.2">
      <c r="A342" s="82"/>
      <c r="B342" s="44">
        <f>'Adv Report'!O62</f>
        <v>0</v>
      </c>
      <c r="C342" s="82"/>
      <c r="D342" s="82"/>
      <c r="E342" s="82"/>
      <c r="F342" s="71">
        <f t="shared" si="25"/>
        <v>0</v>
      </c>
      <c r="G342" s="12">
        <f>'Adv Report'!T62</f>
        <v>0</v>
      </c>
      <c r="H342" s="12">
        <f>'Adv Report'!U62</f>
        <v>0</v>
      </c>
      <c r="I342" s="12">
        <f>'Adv Report'!V62</f>
        <v>0</v>
      </c>
      <c r="J342" s="71">
        <f t="shared" si="26"/>
        <v>0</v>
      </c>
      <c r="K342" s="12">
        <f>'Adv Report'!Q62</f>
        <v>0</v>
      </c>
      <c r="L342" s="12">
        <f>'Adv Report'!R62</f>
        <v>0</v>
      </c>
      <c r="M342" s="12">
        <f>'Adv Report'!S62</f>
        <v>0</v>
      </c>
      <c r="N342" s="71">
        <f t="shared" si="27"/>
        <v>0</v>
      </c>
    </row>
    <row r="343" spans="1:14" ht="38.25" customHeight="1" x14ac:dyDescent="0.2">
      <c r="A343" s="82"/>
      <c r="B343" s="44">
        <f>'Adv Report'!O63</f>
        <v>0</v>
      </c>
      <c r="C343" s="82"/>
      <c r="D343" s="82"/>
      <c r="E343" s="82"/>
      <c r="F343" s="71">
        <f t="shared" si="25"/>
        <v>0</v>
      </c>
      <c r="G343" s="12">
        <f>'Adv Report'!T63</f>
        <v>0</v>
      </c>
      <c r="H343" s="12">
        <f>'Adv Report'!U63</f>
        <v>0</v>
      </c>
      <c r="I343" s="12">
        <f>'Adv Report'!V63</f>
        <v>0</v>
      </c>
      <c r="J343" s="71">
        <f t="shared" si="26"/>
        <v>0</v>
      </c>
      <c r="K343" s="12">
        <f>'Adv Report'!Q63</f>
        <v>0</v>
      </c>
      <c r="L343" s="12">
        <f>'Adv Report'!R63</f>
        <v>0</v>
      </c>
      <c r="M343" s="12">
        <f>'Adv Report'!S63</f>
        <v>0</v>
      </c>
      <c r="N343" s="71">
        <f t="shared" si="27"/>
        <v>0</v>
      </c>
    </row>
    <row r="344" spans="1:14" ht="38.25" customHeight="1" x14ac:dyDescent="0.2">
      <c r="A344" s="82"/>
      <c r="B344" s="44">
        <f>'Adv Report'!O64</f>
        <v>0</v>
      </c>
      <c r="C344" s="82"/>
      <c r="D344" s="82"/>
      <c r="E344" s="82"/>
      <c r="F344" s="71">
        <f t="shared" si="25"/>
        <v>0</v>
      </c>
      <c r="G344" s="12">
        <f>'Adv Report'!T64</f>
        <v>0</v>
      </c>
      <c r="H344" s="12">
        <f>'Adv Report'!U64</f>
        <v>0</v>
      </c>
      <c r="I344" s="12">
        <f>'Adv Report'!V64</f>
        <v>0</v>
      </c>
      <c r="J344" s="71">
        <f t="shared" si="26"/>
        <v>0</v>
      </c>
      <c r="K344" s="12">
        <f>'Adv Report'!Q64</f>
        <v>0</v>
      </c>
      <c r="L344" s="12">
        <f>'Adv Report'!R64</f>
        <v>0</v>
      </c>
      <c r="M344" s="12">
        <f>'Adv Report'!S64</f>
        <v>0</v>
      </c>
      <c r="N344" s="71">
        <f t="shared" si="27"/>
        <v>0</v>
      </c>
    </row>
    <row r="345" spans="1:14" ht="38.25" customHeight="1" x14ac:dyDescent="0.2">
      <c r="A345" s="82"/>
      <c r="B345" s="44">
        <f>'Adv Report'!O65</f>
        <v>0</v>
      </c>
      <c r="C345" s="82"/>
      <c r="D345" s="82"/>
      <c r="E345" s="82"/>
      <c r="F345" s="71">
        <f t="shared" si="25"/>
        <v>0</v>
      </c>
      <c r="G345" s="12">
        <f>'Adv Report'!T65</f>
        <v>0</v>
      </c>
      <c r="H345" s="12">
        <f>'Adv Report'!U65</f>
        <v>0</v>
      </c>
      <c r="I345" s="12">
        <f>'Adv Report'!V65</f>
        <v>0</v>
      </c>
      <c r="J345" s="71">
        <f t="shared" si="26"/>
        <v>0</v>
      </c>
      <c r="K345" s="12">
        <f>'Adv Report'!Q65</f>
        <v>0</v>
      </c>
      <c r="L345" s="12">
        <f>'Adv Report'!R65</f>
        <v>0</v>
      </c>
      <c r="M345" s="12">
        <f>'Adv Report'!S65</f>
        <v>0</v>
      </c>
      <c r="N345" s="71">
        <f t="shared" si="27"/>
        <v>0</v>
      </c>
    </row>
    <row r="346" spans="1:14" ht="38.25" customHeight="1" x14ac:dyDescent="0.2">
      <c r="A346" s="82"/>
      <c r="B346" s="44">
        <f>'Adv Report'!O66</f>
        <v>0</v>
      </c>
      <c r="C346" s="82"/>
      <c r="D346" s="82"/>
      <c r="E346" s="82"/>
      <c r="F346" s="71">
        <f t="shared" si="25"/>
        <v>0</v>
      </c>
      <c r="G346" s="12">
        <f>'Adv Report'!T66</f>
        <v>0</v>
      </c>
      <c r="H346" s="12">
        <f>'Adv Report'!U66</f>
        <v>0</v>
      </c>
      <c r="I346" s="12">
        <f>'Adv Report'!V66</f>
        <v>0</v>
      </c>
      <c r="J346" s="71">
        <f t="shared" si="26"/>
        <v>0</v>
      </c>
      <c r="K346" s="12">
        <f>'Adv Report'!Q66</f>
        <v>0</v>
      </c>
      <c r="L346" s="12">
        <f>'Adv Report'!R66</f>
        <v>0</v>
      </c>
      <c r="M346" s="12">
        <f>'Adv Report'!S66</f>
        <v>0</v>
      </c>
      <c r="N346" s="71">
        <f t="shared" si="27"/>
        <v>0</v>
      </c>
    </row>
    <row r="347" spans="1:14" ht="38.25" customHeight="1" x14ac:dyDescent="0.2">
      <c r="A347" s="82"/>
      <c r="B347" s="44">
        <f>'Adv Report'!O67</f>
        <v>0</v>
      </c>
      <c r="C347" s="82"/>
      <c r="D347" s="82"/>
      <c r="E347" s="82"/>
      <c r="F347" s="71">
        <f t="shared" si="25"/>
        <v>0</v>
      </c>
      <c r="G347" s="12">
        <f>'Adv Report'!T67</f>
        <v>0</v>
      </c>
      <c r="H347" s="12">
        <f>'Adv Report'!U67</f>
        <v>0</v>
      </c>
      <c r="I347" s="12">
        <f>'Adv Report'!V67</f>
        <v>0</v>
      </c>
      <c r="J347" s="71">
        <f t="shared" si="26"/>
        <v>0</v>
      </c>
      <c r="K347" s="12">
        <f>'Adv Report'!Q67</f>
        <v>0</v>
      </c>
      <c r="L347" s="12">
        <f>'Adv Report'!R67</f>
        <v>0</v>
      </c>
      <c r="M347" s="12">
        <f>'Adv Report'!S67</f>
        <v>0</v>
      </c>
      <c r="N347" s="71">
        <f t="shared" si="27"/>
        <v>0</v>
      </c>
    </row>
    <row r="348" spans="1:14" ht="38.25" customHeight="1" x14ac:dyDescent="0.2">
      <c r="A348" s="82"/>
      <c r="B348" s="44">
        <f>'Adv Report'!O68</f>
        <v>0</v>
      </c>
      <c r="C348" s="82"/>
      <c r="D348" s="82"/>
      <c r="E348" s="82"/>
      <c r="F348" s="71">
        <f t="shared" si="25"/>
        <v>0</v>
      </c>
      <c r="G348" s="12">
        <f>'Adv Report'!T68</f>
        <v>0</v>
      </c>
      <c r="H348" s="12">
        <f>'Adv Report'!U68</f>
        <v>0</v>
      </c>
      <c r="I348" s="12">
        <f>'Adv Report'!V68</f>
        <v>0</v>
      </c>
      <c r="J348" s="71">
        <f t="shared" si="26"/>
        <v>0</v>
      </c>
      <c r="K348" s="12">
        <f>'Adv Report'!Q68</f>
        <v>0</v>
      </c>
      <c r="L348" s="12">
        <f>'Adv Report'!R68</f>
        <v>0</v>
      </c>
      <c r="M348" s="12">
        <f>'Adv Report'!S68</f>
        <v>0</v>
      </c>
      <c r="N348" s="71">
        <f t="shared" si="27"/>
        <v>0</v>
      </c>
    </row>
    <row r="349" spans="1:14" ht="38.25" customHeight="1" x14ac:dyDescent="0.2">
      <c r="A349" s="82"/>
      <c r="B349" s="44">
        <f>'Adv Report'!O69</f>
        <v>0</v>
      </c>
      <c r="C349" s="82"/>
      <c r="D349" s="82"/>
      <c r="E349" s="82"/>
      <c r="F349" s="71">
        <f t="shared" si="25"/>
        <v>0</v>
      </c>
      <c r="G349" s="12">
        <f>'Adv Report'!T69</f>
        <v>0</v>
      </c>
      <c r="H349" s="12">
        <f>'Adv Report'!U69</f>
        <v>0</v>
      </c>
      <c r="I349" s="12">
        <f>'Adv Report'!V69</f>
        <v>0</v>
      </c>
      <c r="J349" s="71">
        <f t="shared" si="26"/>
        <v>0</v>
      </c>
      <c r="K349" s="12">
        <f>'Adv Report'!Q69</f>
        <v>0</v>
      </c>
      <c r="L349" s="12">
        <f>'Adv Report'!R69</f>
        <v>0</v>
      </c>
      <c r="M349" s="12">
        <f>'Adv Report'!S69</f>
        <v>0</v>
      </c>
      <c r="N349" s="71">
        <f t="shared" si="27"/>
        <v>0</v>
      </c>
    </row>
    <row r="350" spans="1:14" ht="38.25" customHeight="1" x14ac:dyDescent="0.2">
      <c r="A350" s="82"/>
      <c r="B350" s="44">
        <f>'Adv Report'!O70</f>
        <v>0</v>
      </c>
      <c r="C350" s="82"/>
      <c r="D350" s="82"/>
      <c r="E350" s="82"/>
      <c r="F350" s="71">
        <f t="shared" si="25"/>
        <v>0</v>
      </c>
      <c r="G350" s="12">
        <f>'Adv Report'!T70</f>
        <v>0</v>
      </c>
      <c r="H350" s="12">
        <f>'Adv Report'!U70</f>
        <v>0</v>
      </c>
      <c r="I350" s="12">
        <f>'Adv Report'!V70</f>
        <v>0</v>
      </c>
      <c r="J350" s="71">
        <f t="shared" si="26"/>
        <v>0</v>
      </c>
      <c r="K350" s="12">
        <f>'Adv Report'!Q70</f>
        <v>0</v>
      </c>
      <c r="L350" s="12">
        <f>'Adv Report'!R70</f>
        <v>0</v>
      </c>
      <c r="M350" s="12">
        <f>'Adv Report'!S70</f>
        <v>0</v>
      </c>
      <c r="N350" s="71">
        <f t="shared" si="27"/>
        <v>0</v>
      </c>
    </row>
    <row r="351" spans="1:14" ht="38.25" customHeight="1" x14ac:dyDescent="0.2">
      <c r="A351" s="82"/>
      <c r="B351" s="44">
        <f>'Adv Report'!O71</f>
        <v>0</v>
      </c>
      <c r="C351" s="82"/>
      <c r="D351" s="82"/>
      <c r="E351" s="82"/>
      <c r="F351" s="71">
        <f t="shared" si="25"/>
        <v>0</v>
      </c>
      <c r="G351" s="12">
        <f>'Adv Report'!T71</f>
        <v>0</v>
      </c>
      <c r="H351" s="12">
        <f>'Adv Report'!U71</f>
        <v>0</v>
      </c>
      <c r="I351" s="12">
        <f>'Adv Report'!V71</f>
        <v>0</v>
      </c>
      <c r="J351" s="71">
        <f t="shared" si="26"/>
        <v>0</v>
      </c>
      <c r="K351" s="12">
        <f>'Adv Report'!Q71</f>
        <v>0</v>
      </c>
      <c r="L351" s="12">
        <f>'Adv Report'!R71</f>
        <v>0</v>
      </c>
      <c r="M351" s="12">
        <f>'Adv Report'!S71</f>
        <v>0</v>
      </c>
      <c r="N351" s="71">
        <f t="shared" si="27"/>
        <v>0</v>
      </c>
    </row>
    <row r="352" spans="1:14" ht="38.25" customHeight="1" x14ac:dyDescent="0.2">
      <c r="A352" s="82"/>
      <c r="B352" s="44">
        <f>'Adv Report'!O72</f>
        <v>0</v>
      </c>
      <c r="C352" s="82"/>
      <c r="D352" s="82"/>
      <c r="E352" s="82"/>
      <c r="F352" s="71">
        <f t="shared" si="25"/>
        <v>0</v>
      </c>
      <c r="G352" s="12">
        <f>'Adv Report'!T72</f>
        <v>0</v>
      </c>
      <c r="H352" s="12">
        <f>'Adv Report'!U72</f>
        <v>0</v>
      </c>
      <c r="I352" s="12">
        <f>'Adv Report'!V72</f>
        <v>0</v>
      </c>
      <c r="J352" s="71">
        <f t="shared" si="26"/>
        <v>0</v>
      </c>
      <c r="K352" s="12">
        <f>'Adv Report'!Q72</f>
        <v>0</v>
      </c>
      <c r="L352" s="12">
        <f>'Adv Report'!R72</f>
        <v>0</v>
      </c>
      <c r="M352" s="12">
        <f>'Adv Report'!S72</f>
        <v>0</v>
      </c>
      <c r="N352" s="71">
        <f t="shared" si="27"/>
        <v>0</v>
      </c>
    </row>
  </sheetData>
  <mergeCells count="64">
    <mergeCell ref="O60:P60"/>
    <mergeCell ref="B161:N161"/>
    <mergeCell ref="A283:N283"/>
    <mergeCell ref="A213:N213"/>
    <mergeCell ref="A110:N110"/>
    <mergeCell ref="O121:P121"/>
    <mergeCell ref="O120:P120"/>
    <mergeCell ref="O130:P130"/>
    <mergeCell ref="O144:P144"/>
    <mergeCell ref="O124:P124"/>
    <mergeCell ref="O127:P127"/>
    <mergeCell ref="O175:P175"/>
    <mergeCell ref="O179:P179"/>
    <mergeCell ref="O64:P64"/>
    <mergeCell ref="O68:P68"/>
    <mergeCell ref="O78:P78"/>
    <mergeCell ref="Q25:Y25"/>
    <mergeCell ref="O15:P15"/>
    <mergeCell ref="O20:P20"/>
    <mergeCell ref="O25:P25"/>
    <mergeCell ref="R10:Y10"/>
    <mergeCell ref="Q9:Q10"/>
    <mergeCell ref="Q24:S24"/>
    <mergeCell ref="V24:Y24"/>
    <mergeCell ref="F8:F9"/>
    <mergeCell ref="G8:J8"/>
    <mergeCell ref="K8:N8"/>
    <mergeCell ref="O9:P9"/>
    <mergeCell ref="O10:P10"/>
    <mergeCell ref="O72:P72"/>
    <mergeCell ref="A1:Y1"/>
    <mergeCell ref="A2:K2"/>
    <mergeCell ref="L2:Y6"/>
    <mergeCell ref="A3:K3"/>
    <mergeCell ref="A5:C5"/>
    <mergeCell ref="E5:F5"/>
    <mergeCell ref="A6:C6"/>
    <mergeCell ref="E6:F6"/>
    <mergeCell ref="G6:H6"/>
    <mergeCell ref="I6:K6"/>
    <mergeCell ref="A7:E8"/>
    <mergeCell ref="F7:N7"/>
    <mergeCell ref="Q50:S50"/>
    <mergeCell ref="V50:Y50"/>
    <mergeCell ref="O7:Y8"/>
    <mergeCell ref="O96:P96"/>
    <mergeCell ref="O183:P183"/>
    <mergeCell ref="O159:P159"/>
    <mergeCell ref="O163:P163"/>
    <mergeCell ref="O167:P167"/>
    <mergeCell ref="O171:P171"/>
    <mergeCell ref="O106:P106"/>
    <mergeCell ref="O103:P103"/>
    <mergeCell ref="Q76:S76"/>
    <mergeCell ref="V76:Y76"/>
    <mergeCell ref="Q85:S85"/>
    <mergeCell ref="V85:Y85"/>
    <mergeCell ref="Q51:Y51"/>
    <mergeCell ref="Q77:Y77"/>
    <mergeCell ref="Q96:S96"/>
    <mergeCell ref="V96:Y96"/>
    <mergeCell ref="Q97:S97"/>
    <mergeCell ref="V97:Y97"/>
    <mergeCell ref="Q86:Y86"/>
  </mergeCells>
  <conditionalFormatting sqref="E10:E109">
    <cfRule type="duplicateValues" dxfId="319" priority="324" stopIfTrue="1"/>
  </conditionalFormatting>
  <conditionalFormatting sqref="E214:E282 E10:E109 E111:E160 R11:R21 R26:R49 R52:R75 Q51 E162:E212 R87:R95 R78:R84 E284:E340 R98:R293">
    <cfRule type="duplicateValues" dxfId="318" priority="244" stopIfTrue="1"/>
  </conditionalFormatting>
  <conditionalFormatting sqref="P191">
    <cfRule type="cellIs" dxfId="317" priority="76" stopIfTrue="1" operator="equal">
      <formula>0.3</formula>
    </cfRule>
    <cfRule type="cellIs" dxfId="316" priority="77" stopIfTrue="1" operator="greaterThan">
      <formula>0.3</formula>
    </cfRule>
    <cfRule type="cellIs" dxfId="315" priority="75" stopIfTrue="1" operator="lessThan">
      <formula>0.3</formula>
    </cfRule>
  </conditionalFormatting>
  <conditionalFormatting sqref="Q24 R22:S23">
    <cfRule type="duplicateValues" dxfId="314" priority="96" stopIfTrue="1"/>
    <cfRule type="duplicateValues" dxfId="313" priority="95" stopIfTrue="1"/>
    <cfRule type="duplicateValues" dxfId="312" priority="94" stopIfTrue="1"/>
    <cfRule type="duplicateValues" dxfId="311" priority="93" stopIfTrue="1"/>
    <cfRule type="duplicateValues" dxfId="310" priority="100" stopIfTrue="1"/>
    <cfRule type="duplicateValues" dxfId="309" priority="99" stopIfTrue="1"/>
    <cfRule type="duplicateValues" dxfId="308" priority="98" stopIfTrue="1"/>
    <cfRule type="duplicateValues" dxfId="307" priority="97" stopIfTrue="1"/>
  </conditionalFormatting>
  <conditionalFormatting sqref="Q50">
    <cfRule type="duplicateValues" dxfId="306" priority="38" stopIfTrue="1"/>
    <cfRule type="duplicateValues" dxfId="305" priority="34" stopIfTrue="1"/>
    <cfRule type="duplicateValues" dxfId="304" priority="33" stopIfTrue="1"/>
    <cfRule type="duplicateValues" dxfId="303" priority="39" stopIfTrue="1"/>
    <cfRule type="duplicateValues" dxfId="302" priority="40" stopIfTrue="1"/>
    <cfRule type="duplicateValues" dxfId="301" priority="41" stopIfTrue="1"/>
    <cfRule type="duplicateValues" dxfId="300" priority="32" stopIfTrue="1"/>
    <cfRule type="duplicateValues" dxfId="299" priority="37" stopIfTrue="1"/>
    <cfRule type="duplicateValues" dxfId="298" priority="36" stopIfTrue="1"/>
    <cfRule type="duplicateValues" dxfId="297" priority="35" stopIfTrue="1"/>
  </conditionalFormatting>
  <conditionalFormatting sqref="Q51 E214:E282 E10:E109 E111:E160 R11:S21 R26:S49 E162:E212 R87:S95 R52:S75 R78:S84 E284:E340 R98:S293">
    <cfRule type="duplicateValues" dxfId="296" priority="220" stopIfTrue="1"/>
    <cfRule type="duplicateValues" dxfId="295" priority="221" stopIfTrue="1"/>
    <cfRule type="duplicateValues" dxfId="294" priority="222" stopIfTrue="1"/>
    <cfRule type="duplicateValues" dxfId="293" priority="200" stopIfTrue="1"/>
  </conditionalFormatting>
  <conditionalFormatting sqref="Q51 R11:S21 R26:S49 R87:S95 R52:S75 R78:S84 R98:S293">
    <cfRule type="duplicateValues" dxfId="292" priority="487" stopIfTrue="1"/>
    <cfRule type="duplicateValues" dxfId="291" priority="488" stopIfTrue="1"/>
    <cfRule type="duplicateValues" dxfId="290" priority="489" stopIfTrue="1"/>
    <cfRule type="duplicateValues" dxfId="289" priority="490" stopIfTrue="1"/>
  </conditionalFormatting>
  <conditionalFormatting sqref="Q76">
    <cfRule type="duplicateValues" dxfId="288" priority="30" stopIfTrue="1"/>
    <cfRule type="duplicateValues" dxfId="287" priority="31" stopIfTrue="1"/>
    <cfRule type="duplicateValues" dxfId="286" priority="25" stopIfTrue="1"/>
    <cfRule type="duplicateValues" dxfId="285" priority="24" stopIfTrue="1"/>
    <cfRule type="duplicateValues" dxfId="284" priority="22" stopIfTrue="1"/>
    <cfRule type="duplicateValues" dxfId="283" priority="23" stopIfTrue="1"/>
    <cfRule type="duplicateValues" dxfId="282" priority="27" stopIfTrue="1"/>
    <cfRule type="duplicateValues" dxfId="281" priority="28" stopIfTrue="1"/>
    <cfRule type="duplicateValues" dxfId="280" priority="29" stopIfTrue="1"/>
    <cfRule type="duplicateValues" dxfId="279" priority="26" stopIfTrue="1"/>
  </conditionalFormatting>
  <conditionalFormatting sqref="Q77">
    <cfRule type="duplicateValues" dxfId="278" priority="51" stopIfTrue="1"/>
    <cfRule type="duplicateValues" dxfId="277" priority="50" stopIfTrue="1"/>
    <cfRule type="duplicateValues" dxfId="276" priority="45" stopIfTrue="1"/>
    <cfRule type="duplicateValues" dxfId="275" priority="48" stopIfTrue="1"/>
    <cfRule type="duplicateValues" dxfId="274" priority="46" stopIfTrue="1"/>
    <cfRule type="duplicateValues" dxfId="273" priority="44" stopIfTrue="1"/>
    <cfRule type="duplicateValues" dxfId="272" priority="43" stopIfTrue="1"/>
    <cfRule type="duplicateValues" dxfId="271" priority="42" stopIfTrue="1"/>
    <cfRule type="duplicateValues" dxfId="270" priority="47" stopIfTrue="1"/>
    <cfRule type="duplicateValues" dxfId="269" priority="49" stopIfTrue="1"/>
  </conditionalFormatting>
  <conditionalFormatting sqref="Q85:Q86">
    <cfRule type="duplicateValues" dxfId="268" priority="17" stopIfTrue="1"/>
    <cfRule type="duplicateValues" dxfId="267" priority="18" stopIfTrue="1"/>
    <cfRule type="duplicateValues" dxfId="266" priority="19" stopIfTrue="1"/>
    <cfRule type="duplicateValues" dxfId="265" priority="20" stopIfTrue="1"/>
    <cfRule type="duplicateValues" dxfId="264" priority="21" stopIfTrue="1"/>
    <cfRule type="duplicateValues" dxfId="263" priority="12" stopIfTrue="1"/>
    <cfRule type="duplicateValues" dxfId="262" priority="13" stopIfTrue="1"/>
    <cfRule type="duplicateValues" dxfId="261" priority="14" stopIfTrue="1"/>
    <cfRule type="duplicateValues" dxfId="260" priority="15" stopIfTrue="1"/>
    <cfRule type="duplicateValues" dxfId="259" priority="16" stopIfTrue="1"/>
  </conditionalFormatting>
  <conditionalFormatting sqref="Q96:Q97">
    <cfRule type="duplicateValues" dxfId="258" priority="5" stopIfTrue="1"/>
    <cfRule type="duplicateValues" dxfId="257" priority="4" stopIfTrue="1"/>
    <cfRule type="duplicateValues" dxfId="256" priority="3" stopIfTrue="1"/>
    <cfRule type="duplicateValues" dxfId="255" priority="2" stopIfTrue="1"/>
    <cfRule type="duplicateValues" dxfId="254" priority="11" stopIfTrue="1"/>
    <cfRule type="duplicateValues" dxfId="253" priority="10" stopIfTrue="1"/>
    <cfRule type="duplicateValues" dxfId="252" priority="9" stopIfTrue="1"/>
    <cfRule type="duplicateValues" dxfId="251" priority="8" stopIfTrue="1"/>
    <cfRule type="duplicateValues" dxfId="250" priority="7" stopIfTrue="1"/>
    <cfRule type="duplicateValues" dxfId="249" priority="6" stopIfTrue="1"/>
  </conditionalFormatting>
  <conditionalFormatting sqref="R11:R21 R26:R49 R52:R75 Q51 R87:R95 R78:R84 R98:R293">
    <cfRule type="duplicateValues" dxfId="248" priority="503" stopIfTrue="1"/>
  </conditionalFormatting>
  <conditionalFormatting sqref="R22:R23 Q24">
    <cfRule type="duplicateValues" dxfId="247" priority="91" stopIfTrue="1"/>
    <cfRule type="duplicateValues" dxfId="246" priority="92" stopIfTrue="1"/>
  </conditionalFormatting>
  <conditionalFormatting sqref="V11:V24">
    <cfRule type="containsText" dxfId="245" priority="88" stopIfTrue="1" operator="containsText" text="cto">
      <formula>NOT(ISERROR(SEARCH("cto",V11)))</formula>
    </cfRule>
    <cfRule type="containsText" dxfId="244" priority="90" stopIfTrue="1" operator="containsText" text="Chaser">
      <formula>NOT(ISERROR(SEARCH("Chaser",V11)))</formula>
    </cfRule>
    <cfRule type="containsText" dxfId="243" priority="83" stopIfTrue="1" operator="containsText" text="Cross utilized">
      <formula>NOT(ISERROR(SEARCH("Cross utilized",V11)))</formula>
    </cfRule>
    <cfRule type="containsText" dxfId="242" priority="84" stopIfTrue="1" operator="containsText" text="Support">
      <formula>NOT(ISERROR(SEARCH("Support",V11)))</formula>
    </cfRule>
    <cfRule type="containsText" dxfId="241" priority="85" stopIfTrue="1" operator="containsText" text="OT">
      <formula>NOT(ISERROR(SEARCH("OT",V11)))</formula>
    </cfRule>
    <cfRule type="containsText" dxfId="240" priority="86" stopIfTrue="1" operator="containsText" text="screening">
      <formula>NOT(ISERROR(SEARCH("screening",V11)))</formula>
    </cfRule>
    <cfRule type="containsText" dxfId="239" priority="87" stopIfTrue="1" operator="containsText" text="rxs">
      <formula>NOT(ISERROR(SEARCH("rxs",V11)))</formula>
    </cfRule>
  </conditionalFormatting>
  <conditionalFormatting sqref="V26:V50 V52:V76 V78:V85 V87:V96 V98:V293">
    <cfRule type="containsText" dxfId="238" priority="110" stopIfTrue="1" operator="containsText" text="Chaser">
      <formula>NOT(ISERROR(SEARCH("Chaser",V26)))</formula>
    </cfRule>
    <cfRule type="containsText" dxfId="237" priority="134" stopIfTrue="1" operator="containsText" text="DL">
      <formula>NOT(ISERROR(SEARCH("DL",V26)))</formula>
    </cfRule>
    <cfRule type="containsText" dxfId="236" priority="135" stopIfTrue="1" operator="containsText" text="TG">
      <formula>NOT(ISERROR(SEARCH("TG",V26)))</formula>
    </cfRule>
    <cfRule type="containsText" dxfId="235" priority="136" stopIfTrue="1" operator="containsText" text="OT">
      <formula>NOT(ISERROR(SEARCH("OT",V26)))</formula>
    </cfRule>
    <cfRule type="containsText" dxfId="234" priority="137" stopIfTrue="1" operator="containsText" text="Shift">
      <formula>NOT(ISERROR(SEARCH("Shift",V26)))</formula>
    </cfRule>
    <cfRule type="containsText" dxfId="233" priority="138" stopIfTrue="1" operator="containsText" text="Screening">
      <formula>NOT(ISERROR(SEARCH("Screening",V26)))</formula>
    </cfRule>
    <cfRule type="containsText" dxfId="232" priority="139" stopIfTrue="1" operator="containsText" text="RXS">
      <formula>NOT(ISERROR(SEARCH("RXS",V26)))</formula>
    </cfRule>
    <cfRule type="containsText" dxfId="231" priority="140" stopIfTrue="1" operator="containsText" text="CTO">
      <formula>NOT(ISERROR(SEARCH("CTO",V26)))</formula>
    </cfRule>
    <cfRule type="containsText" dxfId="230" priority="82" stopIfTrue="1" operator="containsText" text="Support">
      <formula>NOT(ISERROR(SEARCH("Support",V26)))</formula>
    </cfRule>
    <cfRule type="containsText" dxfId="229" priority="141" stopIfTrue="1" operator="containsText" text="Chaser">
      <formula>NOT(ISERROR(SEARCH("Chaser",V26)))</formula>
    </cfRule>
  </conditionalFormatting>
  <conditionalFormatting sqref="V87:V95">
    <cfRule type="containsText" dxfId="228" priority="1" operator="containsText" text="DP">
      <formula>NOT(ISERROR(SEARCH("DP",V87)))</formula>
    </cfRule>
  </conditionalFormatting>
  <conditionalFormatting sqref="V87:V96 V26:V50 V52:V76 V78:V85 V98:V293">
    <cfRule type="containsText" dxfId="227" priority="81" stopIfTrue="1" operator="containsText" text="Cross Utilized">
      <formula>NOT(ISERROR(SEARCH("Cross Utilized",V26)))</formula>
    </cfRule>
  </conditionalFormatting>
  <pageMargins left="0.25" right="0.25" top="0.25" bottom="0.25" header="0" footer="0"/>
  <pageSetup paperSize="9" scale="33" fitToHeight="0" orientation="portrait" r:id="rId1"/>
  <headerFooter alignWithMargins="0">
    <oddFooter>&amp;L&amp;1#&amp;"Calibri"&amp;6&amp;K737373BUSINESS DOCUMENT  This document is intended for business use and should be distributed to intended recipients only.</oddFooter>
  </headerFooter>
  <ignoredErrors>
    <ignoredError sqref="P191 P151"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381"/>
  <sheetViews>
    <sheetView topLeftCell="A172" zoomScale="60" zoomScaleNormal="60" zoomScaleSheetLayoutView="1" workbookViewId="0">
      <selection activeCell="R189" sqref="R189"/>
    </sheetView>
  </sheetViews>
  <sheetFormatPr defaultRowHeight="38.25" customHeight="1" x14ac:dyDescent="0.2"/>
  <cols>
    <col min="1" max="1" width="5.7109375" bestFit="1" customWidth="1"/>
    <col min="2" max="2" width="26.85546875" customWidth="1"/>
    <col min="3" max="3" width="11.85546875" customWidth="1"/>
    <col min="4" max="4" width="21" customWidth="1"/>
    <col min="5" max="5" width="30.5703125" customWidth="1"/>
    <col min="6" max="6" width="9" customWidth="1"/>
    <col min="7" max="7" width="14.42578125" bestFit="1" customWidth="1"/>
    <col min="8" max="8" width="11.5703125" bestFit="1" customWidth="1"/>
    <col min="9" max="9" width="12" bestFit="1" customWidth="1"/>
    <col min="10" max="10" width="8.28515625" bestFit="1" customWidth="1"/>
    <col min="11" max="11" width="14.42578125" bestFit="1" customWidth="1"/>
    <col min="12" max="12" width="12.140625" customWidth="1"/>
    <col min="13" max="13" width="12" customWidth="1"/>
    <col min="14" max="14" width="8.28515625" bestFit="1" customWidth="1"/>
    <col min="15" max="15" width="26.85546875" bestFit="1" customWidth="1"/>
    <col min="16" max="16" width="18.28515625" bestFit="1" customWidth="1"/>
    <col min="17" max="17" width="8.42578125" bestFit="1" customWidth="1"/>
    <col min="18" max="18" width="26.140625" customWidth="1"/>
    <col min="19" max="19" width="11.85546875" bestFit="1" customWidth="1"/>
    <col min="20" max="20" width="11.42578125" customWidth="1"/>
    <col min="21" max="21" width="10.7109375" customWidth="1"/>
    <col min="22" max="22" width="22.28515625" bestFit="1" customWidth="1"/>
    <col min="23" max="23" width="15.28515625" customWidth="1"/>
    <col min="24" max="24" width="9" customWidth="1"/>
    <col min="25" max="25" width="10.7109375" customWidth="1"/>
  </cols>
  <sheetData>
    <row r="1" spans="1:25" ht="38.25" customHeight="1" x14ac:dyDescent="0.2">
      <c r="A1" s="378" t="s">
        <v>383</v>
      </c>
      <c r="B1" s="378"/>
      <c r="C1" s="378"/>
      <c r="D1" s="378"/>
      <c r="E1" s="378"/>
      <c r="F1" s="378"/>
      <c r="G1" s="378"/>
      <c r="H1" s="378"/>
      <c r="I1" s="378"/>
      <c r="J1" s="378"/>
      <c r="K1" s="378"/>
      <c r="L1" s="378"/>
      <c r="M1" s="378"/>
      <c r="N1" s="378"/>
      <c r="O1" s="378"/>
      <c r="P1" s="378"/>
      <c r="Q1" s="378"/>
      <c r="R1" s="378"/>
      <c r="S1" s="378"/>
      <c r="T1" s="378"/>
      <c r="U1" s="378"/>
      <c r="V1" s="378"/>
      <c r="W1" s="378"/>
      <c r="X1" s="378"/>
      <c r="Y1" s="378"/>
    </row>
    <row r="2" spans="1:25" ht="38.25" customHeight="1" x14ac:dyDescent="0.2">
      <c r="A2" s="379"/>
      <c r="B2" s="380"/>
      <c r="C2" s="380"/>
      <c r="D2" s="380"/>
      <c r="E2" s="380"/>
      <c r="F2" s="380"/>
      <c r="G2" s="380"/>
      <c r="H2" s="380"/>
      <c r="I2" s="380"/>
      <c r="J2" s="380"/>
      <c r="K2" s="380"/>
      <c r="L2" s="379"/>
      <c r="M2" s="380"/>
      <c r="N2" s="380"/>
      <c r="O2" s="380"/>
      <c r="P2" s="380"/>
      <c r="Q2" s="380"/>
      <c r="R2" s="380"/>
      <c r="S2" s="380"/>
      <c r="T2" s="380"/>
      <c r="U2" s="380"/>
      <c r="V2" s="380"/>
      <c r="W2" s="380"/>
      <c r="X2" s="380"/>
      <c r="Y2" s="381"/>
    </row>
    <row r="3" spans="1:25" ht="38.25" customHeight="1" x14ac:dyDescent="0.2">
      <c r="A3" s="388" t="s">
        <v>1</v>
      </c>
      <c r="B3" s="389"/>
      <c r="C3" s="389"/>
      <c r="D3" s="389"/>
      <c r="E3" s="389"/>
      <c r="F3" s="389"/>
      <c r="G3" s="389"/>
      <c r="H3" s="389"/>
      <c r="I3" s="389"/>
      <c r="J3" s="389"/>
      <c r="K3" s="389"/>
      <c r="L3" s="382"/>
      <c r="M3" s="383"/>
      <c r="N3" s="383"/>
      <c r="O3" s="383"/>
      <c r="P3" s="383"/>
      <c r="Q3" s="383"/>
      <c r="R3" s="383"/>
      <c r="S3" s="383"/>
      <c r="T3" s="383"/>
      <c r="U3" s="383"/>
      <c r="V3" s="383"/>
      <c r="W3" s="383"/>
      <c r="X3" s="383"/>
      <c r="Y3" s="384"/>
    </row>
    <row r="4" spans="1:25" ht="38.25" customHeight="1" x14ac:dyDescent="0.2">
      <c r="A4" s="4"/>
      <c r="B4" s="5"/>
      <c r="C4" s="5"/>
      <c r="D4" s="5"/>
      <c r="E4" s="5"/>
      <c r="F4" s="5"/>
      <c r="G4" s="5"/>
      <c r="H4" s="5"/>
      <c r="I4" s="5"/>
      <c r="J4" s="5"/>
      <c r="K4" s="5"/>
      <c r="L4" s="382"/>
      <c r="M4" s="383"/>
      <c r="N4" s="383"/>
      <c r="O4" s="383"/>
      <c r="P4" s="383"/>
      <c r="Q4" s="383"/>
      <c r="R4" s="383"/>
      <c r="S4" s="383"/>
      <c r="T4" s="383"/>
      <c r="U4" s="383"/>
      <c r="V4" s="383"/>
      <c r="W4" s="383"/>
      <c r="X4" s="383"/>
      <c r="Y4" s="384"/>
    </row>
    <row r="5" spans="1:25" ht="38.25" customHeight="1" x14ac:dyDescent="0.2">
      <c r="A5" s="390" t="s">
        <v>381</v>
      </c>
      <c r="B5" s="391"/>
      <c r="C5" s="391"/>
      <c r="D5" s="5"/>
      <c r="E5" s="391" t="s">
        <v>382</v>
      </c>
      <c r="F5" s="391"/>
      <c r="G5" s="5"/>
      <c r="H5" s="5"/>
      <c r="I5" s="5"/>
      <c r="J5" s="5" t="s">
        <v>381</v>
      </c>
      <c r="K5" s="5"/>
      <c r="L5" s="382"/>
      <c r="M5" s="383"/>
      <c r="N5" s="383"/>
      <c r="O5" s="383"/>
      <c r="P5" s="383"/>
      <c r="Q5" s="383"/>
      <c r="R5" s="383"/>
      <c r="S5" s="383"/>
      <c r="T5" s="383"/>
      <c r="U5" s="383"/>
      <c r="V5" s="383"/>
      <c r="W5" s="383"/>
      <c r="X5" s="383"/>
      <c r="Y5" s="384"/>
    </row>
    <row r="6" spans="1:25" ht="38.25" customHeight="1" x14ac:dyDescent="0.2">
      <c r="A6" s="392" t="s">
        <v>2</v>
      </c>
      <c r="B6" s="393"/>
      <c r="C6" s="393"/>
      <c r="D6" s="6"/>
      <c r="E6" s="393" t="s">
        <v>3</v>
      </c>
      <c r="F6" s="394"/>
      <c r="G6" s="395"/>
      <c r="H6" s="395"/>
      <c r="I6" s="394" t="s">
        <v>4</v>
      </c>
      <c r="J6" s="394"/>
      <c r="K6" s="394"/>
      <c r="L6" s="385"/>
      <c r="M6" s="386"/>
      <c r="N6" s="386"/>
      <c r="O6" s="386"/>
      <c r="P6" s="386"/>
      <c r="Q6" s="386"/>
      <c r="R6" s="386"/>
      <c r="S6" s="386"/>
      <c r="T6" s="386"/>
      <c r="U6" s="386"/>
      <c r="V6" s="386"/>
      <c r="W6" s="386"/>
      <c r="X6" s="386"/>
      <c r="Y6" s="387"/>
    </row>
    <row r="7" spans="1:25" ht="38.25" customHeight="1" x14ac:dyDescent="0.2">
      <c r="A7" s="396" t="s">
        <v>5</v>
      </c>
      <c r="B7" s="397"/>
      <c r="C7" s="397"/>
      <c r="D7" s="397"/>
      <c r="E7" s="398"/>
      <c r="F7" s="402" t="s">
        <v>6</v>
      </c>
      <c r="G7" s="403"/>
      <c r="H7" s="403"/>
      <c r="I7" s="403"/>
      <c r="J7" s="403"/>
      <c r="K7" s="403"/>
      <c r="L7" s="403"/>
      <c r="M7" s="403"/>
      <c r="N7" s="404"/>
      <c r="O7" s="405" t="s">
        <v>7</v>
      </c>
      <c r="P7" s="406"/>
      <c r="Q7" s="406"/>
      <c r="R7" s="406"/>
      <c r="S7" s="406"/>
      <c r="T7" s="406"/>
      <c r="U7" s="406"/>
      <c r="V7" s="406"/>
      <c r="W7" s="406"/>
      <c r="X7" s="406"/>
      <c r="Y7" s="407"/>
    </row>
    <row r="8" spans="1:25" ht="38.25" customHeight="1" x14ac:dyDescent="0.2">
      <c r="A8" s="399"/>
      <c r="B8" s="400"/>
      <c r="C8" s="400"/>
      <c r="D8" s="400"/>
      <c r="E8" s="401"/>
      <c r="F8" s="411" t="s">
        <v>8</v>
      </c>
      <c r="G8" s="402" t="s">
        <v>9</v>
      </c>
      <c r="H8" s="403"/>
      <c r="I8" s="403"/>
      <c r="J8" s="404"/>
      <c r="K8" s="402" t="s">
        <v>10</v>
      </c>
      <c r="L8" s="403"/>
      <c r="M8" s="403"/>
      <c r="N8" s="404"/>
      <c r="O8" s="408"/>
      <c r="P8" s="409"/>
      <c r="Q8" s="409"/>
      <c r="R8" s="409"/>
      <c r="S8" s="409"/>
      <c r="T8" s="409"/>
      <c r="U8" s="409"/>
      <c r="V8" s="409"/>
      <c r="W8" s="409"/>
      <c r="X8" s="409"/>
      <c r="Y8" s="410"/>
    </row>
    <row r="9" spans="1:25" ht="38.25" customHeight="1" x14ac:dyDescent="0.2">
      <c r="A9" s="84" t="s">
        <v>11</v>
      </c>
      <c r="B9" s="84" t="s">
        <v>12</v>
      </c>
      <c r="C9" s="84" t="s">
        <v>13</v>
      </c>
      <c r="D9" s="84" t="s">
        <v>14</v>
      </c>
      <c r="E9" s="84" t="s">
        <v>15</v>
      </c>
      <c r="F9" s="412"/>
      <c r="G9" s="7" t="s">
        <v>16</v>
      </c>
      <c r="H9" s="7" t="s">
        <v>17</v>
      </c>
      <c r="I9" s="7" t="s">
        <v>18</v>
      </c>
      <c r="J9" s="70" t="s">
        <v>19</v>
      </c>
      <c r="K9" s="7" t="s">
        <v>16</v>
      </c>
      <c r="L9" s="7" t="s">
        <v>17</v>
      </c>
      <c r="M9" s="7" t="s">
        <v>18</v>
      </c>
      <c r="N9" s="70" t="s">
        <v>19</v>
      </c>
      <c r="O9" s="413" t="s">
        <v>144</v>
      </c>
      <c r="P9" s="413"/>
      <c r="Q9" s="418" t="s">
        <v>21</v>
      </c>
      <c r="R9" s="8" t="s">
        <v>22</v>
      </c>
      <c r="S9" s="8" t="s">
        <v>23</v>
      </c>
      <c r="T9" s="8" t="s">
        <v>24</v>
      </c>
      <c r="U9" s="8" t="s">
        <v>25</v>
      </c>
      <c r="V9" s="8" t="s">
        <v>26</v>
      </c>
      <c r="W9" s="84" t="s">
        <v>27</v>
      </c>
      <c r="X9" s="7" t="s">
        <v>28</v>
      </c>
      <c r="Y9" s="7" t="s">
        <v>29</v>
      </c>
    </row>
    <row r="10" spans="1:25" ht="38.25" customHeight="1" x14ac:dyDescent="0.2">
      <c r="A10" s="9">
        <v>1</v>
      </c>
      <c r="B10" s="9" t="s">
        <v>437</v>
      </c>
      <c r="C10" s="10" t="s">
        <v>438</v>
      </c>
      <c r="D10" s="9" t="s">
        <v>439</v>
      </c>
      <c r="E10" s="9" t="s">
        <v>397</v>
      </c>
      <c r="F10" s="71">
        <f>J10+N10</f>
        <v>2</v>
      </c>
      <c r="G10" s="9">
        <v>0</v>
      </c>
      <c r="H10" s="9">
        <v>0</v>
      </c>
      <c r="I10" s="9">
        <v>2</v>
      </c>
      <c r="J10" s="71">
        <f>G10+H10+I10</f>
        <v>2</v>
      </c>
      <c r="K10" s="9"/>
      <c r="L10" s="9"/>
      <c r="M10" s="9"/>
      <c r="N10" s="71">
        <f>K10+L10+M10</f>
        <v>0</v>
      </c>
      <c r="O10" s="414" t="s">
        <v>30</v>
      </c>
      <c r="P10" s="414"/>
      <c r="Q10" s="419"/>
      <c r="R10" s="416" t="s">
        <v>145</v>
      </c>
      <c r="S10" s="416"/>
      <c r="T10" s="416"/>
      <c r="U10" s="416"/>
      <c r="V10" s="416"/>
      <c r="W10" s="416"/>
      <c r="X10" s="416"/>
      <c r="Y10" s="417"/>
    </row>
    <row r="11" spans="1:25" ht="38.25" customHeight="1" x14ac:dyDescent="0.2">
      <c r="A11" s="9">
        <v>2</v>
      </c>
      <c r="B11" s="9" t="s">
        <v>440</v>
      </c>
      <c r="C11" s="9" t="s">
        <v>441</v>
      </c>
      <c r="D11" s="9" t="s">
        <v>442</v>
      </c>
      <c r="E11" s="9" t="s">
        <v>443</v>
      </c>
      <c r="F11" s="71">
        <f t="shared" ref="F11:F109" si="0">J11+N11</f>
        <v>0</v>
      </c>
      <c r="G11" s="9">
        <v>0</v>
      </c>
      <c r="H11" s="9">
        <v>0</v>
      </c>
      <c r="I11" s="9">
        <v>0</v>
      </c>
      <c r="J11" s="71">
        <f t="shared" ref="J11:J124" si="1">G11+H11+I11</f>
        <v>0</v>
      </c>
      <c r="K11" s="9"/>
      <c r="L11" s="9"/>
      <c r="M11" s="9"/>
      <c r="N11" s="71">
        <f t="shared" ref="N11:N124" si="2">K11+L11+M11</f>
        <v>0</v>
      </c>
      <c r="O11" s="2" t="s">
        <v>32</v>
      </c>
      <c r="P11" s="42">
        <f>SUM(G10:G109,G111:G260,G262:G381)</f>
        <v>484</v>
      </c>
      <c r="Q11" s="1">
        <v>1</v>
      </c>
      <c r="R11" s="47" t="s">
        <v>384</v>
      </c>
      <c r="S11" s="48">
        <v>495336</v>
      </c>
      <c r="T11" s="49">
        <f t="shared" ref="T11:T23" si="3">COUNTIF($E$10:$E$565,R11)</f>
        <v>0</v>
      </c>
      <c r="U11" s="49">
        <f t="shared" ref="U11:U23" si="4">SUMIFS($F$10:$F$565,$E$10:$E$565,R11)</f>
        <v>0</v>
      </c>
      <c r="V11" s="3" t="s">
        <v>33</v>
      </c>
      <c r="W11" s="3"/>
      <c r="X11" s="3">
        <v>12</v>
      </c>
      <c r="Y11" s="2">
        <v>12</v>
      </c>
    </row>
    <row r="12" spans="1:25" ht="38.25" customHeight="1" x14ac:dyDescent="0.2">
      <c r="A12" s="9">
        <v>3</v>
      </c>
      <c r="B12" s="9" t="s">
        <v>444</v>
      </c>
      <c r="C12" s="9" t="s">
        <v>445</v>
      </c>
      <c r="D12" s="9" t="s">
        <v>446</v>
      </c>
      <c r="E12" s="9" t="s">
        <v>399</v>
      </c>
      <c r="F12" s="71">
        <f t="shared" si="0"/>
        <v>2</v>
      </c>
      <c r="G12" s="9">
        <v>1</v>
      </c>
      <c r="H12" s="9">
        <v>0</v>
      </c>
      <c r="I12" s="9">
        <v>1</v>
      </c>
      <c r="J12" s="71">
        <f t="shared" si="1"/>
        <v>2</v>
      </c>
      <c r="K12" s="9"/>
      <c r="L12" s="9"/>
      <c r="M12" s="9"/>
      <c r="N12" s="71">
        <f t="shared" si="2"/>
        <v>0</v>
      </c>
      <c r="O12" s="2" t="s">
        <v>34</v>
      </c>
      <c r="P12" s="42">
        <f>SUM(H10:H109,H111:H260,H262:H381)</f>
        <v>69</v>
      </c>
      <c r="Q12" s="1">
        <v>2</v>
      </c>
      <c r="R12" s="47" t="s">
        <v>421</v>
      </c>
      <c r="S12" s="48">
        <v>418664</v>
      </c>
      <c r="T12" s="49">
        <f t="shared" si="3"/>
        <v>0</v>
      </c>
      <c r="U12" s="49">
        <f t="shared" si="4"/>
        <v>0</v>
      </c>
      <c r="V12" s="3" t="s">
        <v>35</v>
      </c>
      <c r="W12" s="3"/>
      <c r="X12" s="3">
        <v>12</v>
      </c>
      <c r="Y12" s="2">
        <v>12</v>
      </c>
    </row>
    <row r="13" spans="1:25" ht="38.25" customHeight="1" x14ac:dyDescent="0.2">
      <c r="A13" s="9">
        <v>4</v>
      </c>
      <c r="B13" s="9" t="s">
        <v>447</v>
      </c>
      <c r="C13" s="9" t="s">
        <v>445</v>
      </c>
      <c r="D13" s="9" t="s">
        <v>448</v>
      </c>
      <c r="E13" s="9" t="s">
        <v>397</v>
      </c>
      <c r="F13" s="71">
        <f t="shared" si="0"/>
        <v>2</v>
      </c>
      <c r="G13" s="9">
        <v>1</v>
      </c>
      <c r="H13" s="9">
        <v>0</v>
      </c>
      <c r="I13" s="9">
        <v>1</v>
      </c>
      <c r="J13" s="71">
        <f t="shared" si="1"/>
        <v>2</v>
      </c>
      <c r="K13" s="9"/>
      <c r="L13" s="9"/>
      <c r="M13" s="9"/>
      <c r="N13" s="71">
        <f t="shared" si="2"/>
        <v>0</v>
      </c>
      <c r="O13" s="2" t="s">
        <v>36</v>
      </c>
      <c r="P13" s="42">
        <f>SUM(I10:I109,I111:I260,I262:I381)</f>
        <v>322</v>
      </c>
      <c r="Q13" s="1">
        <v>3</v>
      </c>
      <c r="R13" s="47" t="s">
        <v>386</v>
      </c>
      <c r="S13" s="48">
        <v>391963</v>
      </c>
      <c r="T13" s="49">
        <f t="shared" si="3"/>
        <v>0</v>
      </c>
      <c r="U13" s="49">
        <f t="shared" si="4"/>
        <v>0</v>
      </c>
      <c r="V13" s="3" t="s">
        <v>37</v>
      </c>
      <c r="W13" s="3"/>
      <c r="X13" s="3">
        <v>12</v>
      </c>
      <c r="Y13" s="2">
        <v>12</v>
      </c>
    </row>
    <row r="14" spans="1:25" ht="38.25" customHeight="1" x14ac:dyDescent="0.2">
      <c r="A14" s="9">
        <v>5</v>
      </c>
      <c r="B14" s="9" t="s">
        <v>449</v>
      </c>
      <c r="C14" s="9" t="s">
        <v>450</v>
      </c>
      <c r="D14" s="9" t="s">
        <v>451</v>
      </c>
      <c r="E14" s="9" t="s">
        <v>443</v>
      </c>
      <c r="F14" s="71">
        <f t="shared" si="0"/>
        <v>0</v>
      </c>
      <c r="G14" s="9">
        <v>0</v>
      </c>
      <c r="H14" s="9">
        <v>0</v>
      </c>
      <c r="I14" s="9">
        <v>0</v>
      </c>
      <c r="J14" s="71">
        <f t="shared" si="1"/>
        <v>0</v>
      </c>
      <c r="K14" s="9"/>
      <c r="L14" s="9"/>
      <c r="M14" s="9"/>
      <c r="N14" s="71">
        <f t="shared" si="2"/>
        <v>0</v>
      </c>
      <c r="O14" s="2" t="s">
        <v>8</v>
      </c>
      <c r="P14" s="42">
        <f>SUM(P11:P13)</f>
        <v>875</v>
      </c>
      <c r="Q14" s="1">
        <v>4</v>
      </c>
      <c r="R14" s="47" t="s">
        <v>387</v>
      </c>
      <c r="S14" s="48">
        <v>433752</v>
      </c>
      <c r="T14" s="49">
        <f t="shared" si="3"/>
        <v>0</v>
      </c>
      <c r="U14" s="49">
        <f t="shared" si="4"/>
        <v>0</v>
      </c>
      <c r="V14" s="3" t="s">
        <v>38</v>
      </c>
      <c r="W14" s="3"/>
      <c r="X14" s="3">
        <v>12</v>
      </c>
      <c r="Y14" s="2">
        <v>12</v>
      </c>
    </row>
    <row r="15" spans="1:25" ht="38.25" customHeight="1" x14ac:dyDescent="0.2">
      <c r="A15" s="9">
        <v>6</v>
      </c>
      <c r="B15" s="9" t="s">
        <v>452</v>
      </c>
      <c r="C15" s="9" t="s">
        <v>453</v>
      </c>
      <c r="D15" s="9" t="s">
        <v>454</v>
      </c>
      <c r="E15" s="9" t="s">
        <v>443</v>
      </c>
      <c r="F15" s="71">
        <f t="shared" si="0"/>
        <v>0</v>
      </c>
      <c r="G15" s="9">
        <v>0</v>
      </c>
      <c r="H15" s="9">
        <v>0</v>
      </c>
      <c r="I15" s="9">
        <v>0</v>
      </c>
      <c r="J15" s="71">
        <f t="shared" si="1"/>
        <v>0</v>
      </c>
      <c r="K15" s="9"/>
      <c r="L15" s="9"/>
      <c r="M15" s="9"/>
      <c r="N15" s="71">
        <f t="shared" si="2"/>
        <v>0</v>
      </c>
      <c r="O15" s="414" t="s">
        <v>39</v>
      </c>
      <c r="P15" s="414"/>
      <c r="Q15" s="1">
        <v>5</v>
      </c>
      <c r="R15" s="47" t="s">
        <v>388</v>
      </c>
      <c r="S15" s="48">
        <v>433740</v>
      </c>
      <c r="T15" s="49">
        <f t="shared" si="3"/>
        <v>1</v>
      </c>
      <c r="U15" s="49">
        <f t="shared" si="4"/>
        <v>12</v>
      </c>
      <c r="V15" s="3" t="s">
        <v>38</v>
      </c>
      <c r="W15" s="3"/>
      <c r="X15" s="3">
        <v>12</v>
      </c>
      <c r="Y15" s="2">
        <v>12</v>
      </c>
    </row>
    <row r="16" spans="1:25" ht="38.25" customHeight="1" x14ac:dyDescent="0.2">
      <c r="A16" s="9">
        <v>7</v>
      </c>
      <c r="B16" s="9" t="s">
        <v>455</v>
      </c>
      <c r="C16" s="9" t="s">
        <v>453</v>
      </c>
      <c r="D16" s="9" t="s">
        <v>456</v>
      </c>
      <c r="E16" s="9" t="s">
        <v>443</v>
      </c>
      <c r="F16" s="71">
        <f t="shared" si="0"/>
        <v>0</v>
      </c>
      <c r="G16" s="9">
        <v>0</v>
      </c>
      <c r="H16" s="9">
        <v>0</v>
      </c>
      <c r="I16" s="9">
        <v>0</v>
      </c>
      <c r="J16" s="71">
        <f t="shared" si="1"/>
        <v>0</v>
      </c>
      <c r="K16" s="9"/>
      <c r="L16" s="9"/>
      <c r="M16" s="9"/>
      <c r="N16" s="71">
        <f t="shared" si="2"/>
        <v>0</v>
      </c>
      <c r="O16" s="2" t="s">
        <v>32</v>
      </c>
      <c r="P16" s="42">
        <f>SUM(K10:K109,K111:K260,K262:K381)</f>
        <v>16</v>
      </c>
      <c r="Q16" s="1">
        <v>6</v>
      </c>
      <c r="R16" s="47" t="s">
        <v>385</v>
      </c>
      <c r="S16" s="48">
        <v>439111</v>
      </c>
      <c r="T16" s="49">
        <f t="shared" si="3"/>
        <v>0</v>
      </c>
      <c r="U16" s="49">
        <f t="shared" si="4"/>
        <v>0</v>
      </c>
      <c r="V16" s="3" t="s">
        <v>47</v>
      </c>
      <c r="W16" s="3"/>
      <c r="X16" s="3">
        <v>12</v>
      </c>
      <c r="Y16" s="2">
        <v>12</v>
      </c>
    </row>
    <row r="17" spans="1:25" ht="38.25" customHeight="1" x14ac:dyDescent="0.2">
      <c r="A17" s="9">
        <v>8</v>
      </c>
      <c r="B17" s="9" t="s">
        <v>457</v>
      </c>
      <c r="C17" s="9" t="s">
        <v>453</v>
      </c>
      <c r="D17" s="9" t="s">
        <v>458</v>
      </c>
      <c r="E17" s="9" t="s">
        <v>443</v>
      </c>
      <c r="F17" s="71">
        <f t="shared" si="0"/>
        <v>0</v>
      </c>
      <c r="G17" s="9">
        <v>0</v>
      </c>
      <c r="H17" s="9">
        <v>0</v>
      </c>
      <c r="I17" s="9">
        <v>0</v>
      </c>
      <c r="J17" s="71">
        <f t="shared" si="1"/>
        <v>0</v>
      </c>
      <c r="K17" s="9"/>
      <c r="L17" s="9"/>
      <c r="M17" s="9"/>
      <c r="N17" s="71">
        <f t="shared" si="2"/>
        <v>0</v>
      </c>
      <c r="O17" s="2" t="s">
        <v>34</v>
      </c>
      <c r="P17" s="42">
        <f>SUM(L10:L109,L111:L260,L262:L381)</f>
        <v>0</v>
      </c>
      <c r="Q17" s="1">
        <v>7</v>
      </c>
      <c r="R17" s="1"/>
      <c r="S17" s="46"/>
      <c r="T17" s="49">
        <f t="shared" si="3"/>
        <v>0</v>
      </c>
      <c r="U17" s="49">
        <f t="shared" si="4"/>
        <v>0</v>
      </c>
      <c r="V17" s="3" t="s">
        <v>40</v>
      </c>
      <c r="W17" s="3"/>
      <c r="X17" s="3"/>
      <c r="Y17" s="2"/>
    </row>
    <row r="18" spans="1:25" ht="38.25" customHeight="1" x14ac:dyDescent="0.2">
      <c r="A18" s="9">
        <v>9</v>
      </c>
      <c r="B18" s="9" t="s">
        <v>459</v>
      </c>
      <c r="C18" s="9" t="s">
        <v>460</v>
      </c>
      <c r="D18" s="9" t="s">
        <v>461</v>
      </c>
      <c r="E18" s="9" t="s">
        <v>443</v>
      </c>
      <c r="F18" s="71">
        <f t="shared" si="0"/>
        <v>0</v>
      </c>
      <c r="G18" s="9">
        <v>0</v>
      </c>
      <c r="H18" s="9">
        <v>0</v>
      </c>
      <c r="I18" s="9">
        <v>0</v>
      </c>
      <c r="J18" s="71">
        <f t="shared" si="1"/>
        <v>0</v>
      </c>
      <c r="K18" s="9"/>
      <c r="L18" s="9"/>
      <c r="M18" s="9"/>
      <c r="N18" s="71">
        <f t="shared" si="2"/>
        <v>0</v>
      </c>
      <c r="O18" s="2" t="s">
        <v>36</v>
      </c>
      <c r="P18" s="42">
        <f>SUM(M10:M109,M111:M260,M262:M381)</f>
        <v>0</v>
      </c>
      <c r="Q18" s="1">
        <v>8</v>
      </c>
      <c r="R18" s="1"/>
      <c r="S18" s="46"/>
      <c r="T18" s="49">
        <f t="shared" si="3"/>
        <v>0</v>
      </c>
      <c r="U18" s="49">
        <f t="shared" si="4"/>
        <v>0</v>
      </c>
      <c r="V18" s="3" t="s">
        <v>41</v>
      </c>
      <c r="W18" s="3"/>
      <c r="X18" s="3"/>
      <c r="Y18" s="2"/>
    </row>
    <row r="19" spans="1:25" ht="38.25" customHeight="1" x14ac:dyDescent="0.2">
      <c r="A19" s="9">
        <v>10</v>
      </c>
      <c r="B19" s="9" t="s">
        <v>462</v>
      </c>
      <c r="C19" s="9" t="s">
        <v>463</v>
      </c>
      <c r="D19" s="9" t="s">
        <v>464</v>
      </c>
      <c r="E19" s="9" t="s">
        <v>427</v>
      </c>
      <c r="F19" s="71">
        <f t="shared" si="0"/>
        <v>1</v>
      </c>
      <c r="G19" s="9">
        <v>0</v>
      </c>
      <c r="H19" s="9">
        <v>0</v>
      </c>
      <c r="I19" s="9">
        <v>1</v>
      </c>
      <c r="J19" s="71">
        <f t="shared" si="1"/>
        <v>1</v>
      </c>
      <c r="K19" s="9"/>
      <c r="L19" s="9"/>
      <c r="M19" s="9"/>
      <c r="N19" s="71">
        <f t="shared" si="2"/>
        <v>0</v>
      </c>
      <c r="O19" s="2" t="s">
        <v>8</v>
      </c>
      <c r="P19" s="42">
        <f>SUM(P16:P18)</f>
        <v>16</v>
      </c>
      <c r="Q19" s="1">
        <v>9</v>
      </c>
      <c r="R19" s="1"/>
      <c r="S19" s="46"/>
      <c r="T19" s="49">
        <f t="shared" si="3"/>
        <v>0</v>
      </c>
      <c r="U19" s="49">
        <f t="shared" si="4"/>
        <v>0</v>
      </c>
      <c r="V19" s="3" t="s">
        <v>42</v>
      </c>
      <c r="W19" s="3"/>
      <c r="X19" s="3"/>
      <c r="Y19" s="2"/>
    </row>
    <row r="20" spans="1:25" ht="38.25" customHeight="1" x14ac:dyDescent="0.2">
      <c r="A20" s="9">
        <v>11</v>
      </c>
      <c r="B20" s="9" t="s">
        <v>465</v>
      </c>
      <c r="C20" s="9" t="s">
        <v>463</v>
      </c>
      <c r="D20" s="9" t="s">
        <v>466</v>
      </c>
      <c r="E20" s="9" t="s">
        <v>396</v>
      </c>
      <c r="F20" s="71">
        <f t="shared" si="0"/>
        <v>2</v>
      </c>
      <c r="G20" s="9">
        <v>1</v>
      </c>
      <c r="H20" s="9">
        <v>0</v>
      </c>
      <c r="I20" s="9">
        <v>1</v>
      </c>
      <c r="J20" s="71">
        <f t="shared" si="1"/>
        <v>2</v>
      </c>
      <c r="K20" s="9"/>
      <c r="L20" s="9"/>
      <c r="M20" s="9"/>
      <c r="N20" s="71">
        <f t="shared" si="2"/>
        <v>0</v>
      </c>
      <c r="O20" s="414" t="s">
        <v>43</v>
      </c>
      <c r="P20" s="414"/>
      <c r="Q20" s="1">
        <v>10</v>
      </c>
      <c r="R20" s="1"/>
      <c r="S20" s="46"/>
      <c r="T20" s="49">
        <f t="shared" si="3"/>
        <v>0</v>
      </c>
      <c r="U20" s="49">
        <f t="shared" si="4"/>
        <v>0</v>
      </c>
      <c r="V20" s="3" t="s">
        <v>44</v>
      </c>
      <c r="W20" s="3"/>
      <c r="X20" s="3"/>
      <c r="Y20" s="2"/>
    </row>
    <row r="21" spans="1:25" ht="38.25" customHeight="1" x14ac:dyDescent="0.2">
      <c r="A21" s="9">
        <v>12</v>
      </c>
      <c r="B21" s="9" t="s">
        <v>467</v>
      </c>
      <c r="C21" s="9" t="s">
        <v>468</v>
      </c>
      <c r="D21" s="9" t="s">
        <v>469</v>
      </c>
      <c r="E21" s="9" t="s">
        <v>429</v>
      </c>
      <c r="F21" s="71">
        <f t="shared" si="0"/>
        <v>1</v>
      </c>
      <c r="G21" s="9">
        <v>1</v>
      </c>
      <c r="H21" s="9">
        <v>0</v>
      </c>
      <c r="I21" s="9">
        <v>0</v>
      </c>
      <c r="J21" s="71">
        <f t="shared" si="1"/>
        <v>1</v>
      </c>
      <c r="K21" s="9"/>
      <c r="L21" s="9"/>
      <c r="M21" s="9"/>
      <c r="N21" s="71">
        <f t="shared" si="2"/>
        <v>0</v>
      </c>
      <c r="O21" s="2" t="s">
        <v>32</v>
      </c>
      <c r="P21" s="42">
        <f>SUM(G10:G109,G111:G260,G262:G381,K10:K109,K111:K260,K262:K381)</f>
        <v>500</v>
      </c>
      <c r="Q21" s="1">
        <v>11</v>
      </c>
      <c r="R21" s="1"/>
      <c r="S21" s="46"/>
      <c r="T21" s="49">
        <f t="shared" si="3"/>
        <v>0</v>
      </c>
      <c r="U21" s="49">
        <f t="shared" si="4"/>
        <v>0</v>
      </c>
      <c r="V21" s="3" t="s">
        <v>146</v>
      </c>
      <c r="W21" s="3"/>
      <c r="X21" s="3"/>
      <c r="Y21" s="2"/>
    </row>
    <row r="22" spans="1:25" ht="38.25" customHeight="1" x14ac:dyDescent="0.2">
      <c r="A22" s="9">
        <v>13</v>
      </c>
      <c r="B22" s="9" t="s">
        <v>470</v>
      </c>
      <c r="C22" s="9" t="s">
        <v>471</v>
      </c>
      <c r="D22" s="9" t="s">
        <v>472</v>
      </c>
      <c r="E22" s="9" t="s">
        <v>443</v>
      </c>
      <c r="F22" s="71">
        <f t="shared" si="0"/>
        <v>0</v>
      </c>
      <c r="G22" s="9">
        <v>0</v>
      </c>
      <c r="H22" s="9">
        <v>0</v>
      </c>
      <c r="I22" s="9">
        <v>0</v>
      </c>
      <c r="J22" s="71">
        <f t="shared" si="1"/>
        <v>0</v>
      </c>
      <c r="K22" s="9"/>
      <c r="L22" s="9"/>
      <c r="M22" s="9"/>
      <c r="N22" s="71">
        <f t="shared" si="2"/>
        <v>0</v>
      </c>
      <c r="O22" s="2" t="s">
        <v>34</v>
      </c>
      <c r="P22" s="42">
        <f>SUM(H10:H109,L10:L109,H111:H260,L111:L260,H262:H381,L262:L381)</f>
        <v>69</v>
      </c>
      <c r="Q22" s="1">
        <v>12</v>
      </c>
      <c r="R22" s="1"/>
      <c r="S22" s="46"/>
      <c r="T22" s="49">
        <f t="shared" si="3"/>
        <v>0</v>
      </c>
      <c r="U22" s="49">
        <f t="shared" si="4"/>
        <v>0</v>
      </c>
      <c r="V22" s="3" t="s">
        <v>46</v>
      </c>
      <c r="W22" s="3"/>
      <c r="X22" s="3"/>
      <c r="Y22" s="2"/>
    </row>
    <row r="23" spans="1:25" ht="38.25" customHeight="1" x14ac:dyDescent="0.2">
      <c r="A23" s="9">
        <v>14</v>
      </c>
      <c r="B23" s="9" t="s">
        <v>473</v>
      </c>
      <c r="C23" s="9" t="s">
        <v>471</v>
      </c>
      <c r="D23" s="9" t="s">
        <v>474</v>
      </c>
      <c r="E23" s="9" t="s">
        <v>436</v>
      </c>
      <c r="F23" s="71">
        <f t="shared" si="0"/>
        <v>2</v>
      </c>
      <c r="G23" s="9">
        <v>1</v>
      </c>
      <c r="H23" s="9">
        <v>1</v>
      </c>
      <c r="I23" s="9">
        <v>0</v>
      </c>
      <c r="J23" s="71">
        <f t="shared" si="1"/>
        <v>2</v>
      </c>
      <c r="K23" s="9"/>
      <c r="L23" s="9"/>
      <c r="M23" s="9"/>
      <c r="N23" s="71">
        <f t="shared" si="2"/>
        <v>0</v>
      </c>
      <c r="O23" s="2" t="s">
        <v>36</v>
      </c>
      <c r="P23" s="42">
        <f>SUM(I10:I109,M10:M109,M111:M260,I111:I260,I262:I381,M262:M381)</f>
        <v>322</v>
      </c>
      <c r="Q23" s="1">
        <v>13</v>
      </c>
      <c r="R23" s="1"/>
      <c r="S23" s="46"/>
      <c r="T23" s="49">
        <f t="shared" si="3"/>
        <v>0</v>
      </c>
      <c r="U23" s="49">
        <f t="shared" si="4"/>
        <v>0</v>
      </c>
      <c r="V23" s="3" t="s">
        <v>47</v>
      </c>
      <c r="W23" s="3"/>
      <c r="X23" s="3"/>
      <c r="Y23" s="2"/>
    </row>
    <row r="24" spans="1:25" ht="38.25" customHeight="1" x14ac:dyDescent="0.2">
      <c r="A24" s="9">
        <v>15</v>
      </c>
      <c r="B24" s="9" t="s">
        <v>475</v>
      </c>
      <c r="C24" s="9" t="s">
        <v>476</v>
      </c>
      <c r="D24" s="9" t="s">
        <v>477</v>
      </c>
      <c r="E24" s="9" t="s">
        <v>408</v>
      </c>
      <c r="F24" s="71">
        <f t="shared" si="0"/>
        <v>2</v>
      </c>
      <c r="G24" s="9">
        <v>1</v>
      </c>
      <c r="H24" s="9">
        <v>1</v>
      </c>
      <c r="I24" s="9">
        <v>0</v>
      </c>
      <c r="J24" s="71">
        <f t="shared" si="1"/>
        <v>2</v>
      </c>
      <c r="K24" s="9"/>
      <c r="L24" s="9"/>
      <c r="M24" s="9"/>
      <c r="N24" s="71">
        <f t="shared" si="2"/>
        <v>0</v>
      </c>
      <c r="O24" s="2" t="s">
        <v>8</v>
      </c>
      <c r="P24" s="42">
        <f>SUM(P21:P23)</f>
        <v>891</v>
      </c>
      <c r="Q24" s="363" t="s">
        <v>19</v>
      </c>
      <c r="R24" s="364"/>
      <c r="S24" s="365"/>
      <c r="T24" s="346">
        <f>SUM(T11:T23)</f>
        <v>1</v>
      </c>
      <c r="U24" s="346">
        <f>SUM(U11:U23)</f>
        <v>12</v>
      </c>
      <c r="V24" s="357">
        <f>COUNT(X11:X23)</f>
        <v>6</v>
      </c>
      <c r="W24" s="358"/>
      <c r="X24" s="358"/>
      <c r="Y24" s="359"/>
    </row>
    <row r="25" spans="1:25" ht="38.25" customHeight="1" x14ac:dyDescent="0.2">
      <c r="A25" s="9">
        <v>16</v>
      </c>
      <c r="B25" s="9" t="s">
        <v>478</v>
      </c>
      <c r="C25" s="9" t="s">
        <v>476</v>
      </c>
      <c r="D25" s="9" t="s">
        <v>479</v>
      </c>
      <c r="E25" s="9" t="s">
        <v>396</v>
      </c>
      <c r="F25" s="71">
        <f t="shared" si="0"/>
        <v>1</v>
      </c>
      <c r="G25" s="9">
        <v>0</v>
      </c>
      <c r="H25" s="9">
        <v>0</v>
      </c>
      <c r="I25" s="9">
        <v>1</v>
      </c>
      <c r="J25" s="71">
        <f t="shared" si="1"/>
        <v>1</v>
      </c>
      <c r="K25" s="9"/>
      <c r="L25" s="9"/>
      <c r="M25" s="9"/>
      <c r="N25" s="71">
        <f t="shared" si="2"/>
        <v>0</v>
      </c>
      <c r="O25" s="414" t="s">
        <v>48</v>
      </c>
      <c r="P25" s="414"/>
      <c r="Q25" s="367" t="s">
        <v>49</v>
      </c>
      <c r="R25" s="368"/>
      <c r="S25" s="368"/>
      <c r="T25" s="368"/>
      <c r="U25" s="368"/>
      <c r="V25" s="368"/>
      <c r="W25" s="368"/>
      <c r="X25" s="368"/>
      <c r="Y25" s="369"/>
    </row>
    <row r="26" spans="1:25" ht="38.25" customHeight="1" x14ac:dyDescent="0.2">
      <c r="A26" s="9">
        <v>17</v>
      </c>
      <c r="B26" s="9" t="s">
        <v>480</v>
      </c>
      <c r="C26" s="9" t="s">
        <v>481</v>
      </c>
      <c r="D26" s="9" t="s">
        <v>482</v>
      </c>
      <c r="E26" s="9" t="s">
        <v>427</v>
      </c>
      <c r="F26" s="71">
        <f t="shared" si="0"/>
        <v>1</v>
      </c>
      <c r="G26" s="9">
        <v>1</v>
      </c>
      <c r="H26" s="9">
        <v>0</v>
      </c>
      <c r="I26" s="9">
        <v>0</v>
      </c>
      <c r="J26" s="71">
        <f t="shared" si="1"/>
        <v>1</v>
      </c>
      <c r="K26" s="9"/>
      <c r="L26" s="9"/>
      <c r="M26" s="9"/>
      <c r="N26" s="71">
        <f t="shared" si="2"/>
        <v>0</v>
      </c>
      <c r="O26" s="2" t="s">
        <v>50</v>
      </c>
      <c r="P26" s="42">
        <f>COUNT(X11:X23)</f>
        <v>6</v>
      </c>
      <c r="Q26" s="1">
        <v>1</v>
      </c>
      <c r="R26" s="1" t="s">
        <v>396</v>
      </c>
      <c r="S26" s="46">
        <v>487090</v>
      </c>
      <c r="T26" s="49">
        <f t="shared" ref="T26:T57" si="5">COUNTIF($E$10:$E$565,R26)</f>
        <v>8</v>
      </c>
      <c r="U26" s="49">
        <f t="shared" ref="U26:U57" si="6">SUMIFS($F$10:$F$565,$E$10:$E$565,R26)</f>
        <v>32</v>
      </c>
      <c r="V26" s="3" t="s">
        <v>400</v>
      </c>
      <c r="W26" s="3"/>
      <c r="X26" s="3">
        <v>12</v>
      </c>
      <c r="Y26" s="2">
        <v>12</v>
      </c>
    </row>
    <row r="27" spans="1:25" ht="38.25" customHeight="1" x14ac:dyDescent="0.2">
      <c r="A27" s="9">
        <v>18</v>
      </c>
      <c r="B27" s="9" t="s">
        <v>483</v>
      </c>
      <c r="C27" s="9" t="s">
        <v>481</v>
      </c>
      <c r="D27" s="9" t="s">
        <v>484</v>
      </c>
      <c r="E27" s="9" t="s">
        <v>423</v>
      </c>
      <c r="F27" s="71">
        <f t="shared" si="0"/>
        <v>1</v>
      </c>
      <c r="G27" s="9">
        <v>1</v>
      </c>
      <c r="H27" s="9">
        <v>0</v>
      </c>
      <c r="I27" s="9">
        <v>0</v>
      </c>
      <c r="J27" s="71">
        <f t="shared" si="1"/>
        <v>1</v>
      </c>
      <c r="K27" s="9"/>
      <c r="L27" s="9"/>
      <c r="M27" s="9"/>
      <c r="N27" s="71">
        <f t="shared" si="2"/>
        <v>0</v>
      </c>
      <c r="O27" s="2" t="s">
        <v>51</v>
      </c>
      <c r="P27" s="42">
        <f>COUNTIF(V26:V428,"*Shift*")</f>
        <v>16</v>
      </c>
      <c r="Q27" s="1">
        <v>2</v>
      </c>
      <c r="R27" s="1" t="s">
        <v>399</v>
      </c>
      <c r="S27" s="46">
        <v>427204</v>
      </c>
      <c r="T27" s="49">
        <f t="shared" si="5"/>
        <v>9</v>
      </c>
      <c r="U27" s="49">
        <f t="shared" si="6"/>
        <v>27</v>
      </c>
      <c r="V27" s="3" t="s">
        <v>400</v>
      </c>
      <c r="W27" s="3"/>
      <c r="X27" s="3">
        <v>12</v>
      </c>
      <c r="Y27" s="2">
        <v>12</v>
      </c>
    </row>
    <row r="28" spans="1:25" ht="38.25" customHeight="1" x14ac:dyDescent="0.2">
      <c r="A28" s="9">
        <v>19</v>
      </c>
      <c r="B28" s="9" t="s">
        <v>485</v>
      </c>
      <c r="C28" s="9" t="s">
        <v>486</v>
      </c>
      <c r="D28" s="9" t="s">
        <v>487</v>
      </c>
      <c r="E28" s="9" t="s">
        <v>436</v>
      </c>
      <c r="F28" s="71">
        <f t="shared" si="0"/>
        <v>4</v>
      </c>
      <c r="G28" s="9">
        <v>3</v>
      </c>
      <c r="H28" s="9">
        <v>0</v>
      </c>
      <c r="I28" s="9">
        <v>1</v>
      </c>
      <c r="J28" s="71">
        <f t="shared" si="1"/>
        <v>4</v>
      </c>
      <c r="K28" s="9"/>
      <c r="L28" s="9"/>
      <c r="M28" s="9"/>
      <c r="N28" s="71">
        <f t="shared" si="2"/>
        <v>0</v>
      </c>
      <c r="O28" s="2" t="s">
        <v>52</v>
      </c>
      <c r="P28" s="42">
        <f>COUNTIF(V26:V428,"*TG*")</f>
        <v>13</v>
      </c>
      <c r="Q28" s="1">
        <v>3</v>
      </c>
      <c r="R28" s="1" t="s">
        <v>423</v>
      </c>
      <c r="S28" s="46">
        <v>442663</v>
      </c>
      <c r="T28" s="49">
        <f t="shared" si="5"/>
        <v>7</v>
      </c>
      <c r="U28" s="49">
        <f t="shared" si="6"/>
        <v>24</v>
      </c>
      <c r="V28" s="3" t="s">
        <v>400</v>
      </c>
      <c r="W28" s="3"/>
      <c r="X28" s="3">
        <v>12</v>
      </c>
      <c r="Y28" s="2">
        <v>12</v>
      </c>
    </row>
    <row r="29" spans="1:25" ht="38.25" customHeight="1" x14ac:dyDescent="0.2">
      <c r="A29" s="9">
        <v>20</v>
      </c>
      <c r="B29" s="9" t="s">
        <v>488</v>
      </c>
      <c r="C29" s="9" t="s">
        <v>486</v>
      </c>
      <c r="D29" s="9" t="s">
        <v>489</v>
      </c>
      <c r="E29" s="9" t="s">
        <v>423</v>
      </c>
      <c r="F29" s="71">
        <f t="shared" si="0"/>
        <v>1</v>
      </c>
      <c r="G29" s="9">
        <v>1</v>
      </c>
      <c r="H29" s="9">
        <v>0</v>
      </c>
      <c r="I29" s="9">
        <v>0</v>
      </c>
      <c r="J29" s="71">
        <f t="shared" si="1"/>
        <v>1</v>
      </c>
      <c r="K29" s="9"/>
      <c r="L29" s="9"/>
      <c r="M29" s="9"/>
      <c r="N29" s="71">
        <f t="shared" si="2"/>
        <v>0</v>
      </c>
      <c r="O29" s="2" t="s">
        <v>53</v>
      </c>
      <c r="P29" s="42">
        <f>COUNTIF(V26:V428,"*DL*")</f>
        <v>6</v>
      </c>
      <c r="Q29" s="1">
        <v>4</v>
      </c>
      <c r="R29" s="1" t="s">
        <v>407</v>
      </c>
      <c r="S29" s="46">
        <v>618485</v>
      </c>
      <c r="T29" s="49">
        <f t="shared" si="5"/>
        <v>4</v>
      </c>
      <c r="U29" s="49">
        <f t="shared" si="6"/>
        <v>27</v>
      </c>
      <c r="V29" s="3" t="s">
        <v>400</v>
      </c>
      <c r="W29" s="3"/>
      <c r="X29" s="3">
        <v>12</v>
      </c>
      <c r="Y29" s="2">
        <v>12</v>
      </c>
    </row>
    <row r="30" spans="1:25" ht="38.25" customHeight="1" x14ac:dyDescent="0.2">
      <c r="A30" s="9">
        <v>21</v>
      </c>
      <c r="B30" s="9" t="s">
        <v>490</v>
      </c>
      <c r="C30" s="9" t="s">
        <v>486</v>
      </c>
      <c r="D30" s="9" t="s">
        <v>491</v>
      </c>
      <c r="E30" s="9" t="s">
        <v>443</v>
      </c>
      <c r="F30" s="71">
        <f t="shared" si="0"/>
        <v>0</v>
      </c>
      <c r="G30" s="9">
        <v>0</v>
      </c>
      <c r="H30" s="9">
        <v>0</v>
      </c>
      <c r="I30" s="9">
        <v>0</v>
      </c>
      <c r="J30" s="71">
        <f t="shared" si="1"/>
        <v>0</v>
      </c>
      <c r="K30" s="9"/>
      <c r="L30" s="9"/>
      <c r="M30" s="9"/>
      <c r="N30" s="71">
        <f t="shared" si="2"/>
        <v>0</v>
      </c>
      <c r="O30" s="2" t="s">
        <v>54</v>
      </c>
      <c r="P30" s="42">
        <f>COUNTIF(V26:V428,"*OT*")</f>
        <v>3</v>
      </c>
      <c r="Q30" s="1">
        <v>5</v>
      </c>
      <c r="R30" s="1" t="s">
        <v>397</v>
      </c>
      <c r="S30" s="46">
        <v>482260</v>
      </c>
      <c r="T30" s="49">
        <f t="shared" si="5"/>
        <v>9</v>
      </c>
      <c r="U30" s="49">
        <f t="shared" si="6"/>
        <v>30</v>
      </c>
      <c r="V30" s="3" t="s">
        <v>400</v>
      </c>
      <c r="W30" s="3"/>
      <c r="X30" s="3">
        <v>12</v>
      </c>
      <c r="Y30" s="2">
        <v>12</v>
      </c>
    </row>
    <row r="31" spans="1:25" ht="38.25" customHeight="1" x14ac:dyDescent="0.2">
      <c r="A31" s="9">
        <v>22</v>
      </c>
      <c r="B31" s="9" t="s">
        <v>492</v>
      </c>
      <c r="C31" s="9" t="s">
        <v>493</v>
      </c>
      <c r="D31" s="9" t="s">
        <v>494</v>
      </c>
      <c r="E31" s="9" t="s">
        <v>443</v>
      </c>
      <c r="F31" s="71">
        <f t="shared" si="0"/>
        <v>0</v>
      </c>
      <c r="G31" s="9">
        <v>0</v>
      </c>
      <c r="H31" s="9">
        <v>0</v>
      </c>
      <c r="I31" s="9">
        <v>0</v>
      </c>
      <c r="J31" s="71">
        <f t="shared" si="1"/>
        <v>0</v>
      </c>
      <c r="K31" s="9"/>
      <c r="L31" s="9"/>
      <c r="M31" s="9"/>
      <c r="N31" s="71">
        <f t="shared" si="2"/>
        <v>0</v>
      </c>
      <c r="O31" s="2" t="s">
        <v>55</v>
      </c>
      <c r="P31" s="42">
        <f>COUNTIF(V26:V429,"*DP*")</f>
        <v>1</v>
      </c>
      <c r="Q31" s="1">
        <v>6</v>
      </c>
      <c r="R31" s="1" t="s">
        <v>398</v>
      </c>
      <c r="S31" s="46">
        <v>178205</v>
      </c>
      <c r="T31" s="49">
        <f t="shared" si="5"/>
        <v>7</v>
      </c>
      <c r="U31" s="49">
        <f t="shared" si="6"/>
        <v>28</v>
      </c>
      <c r="V31" s="3" t="s">
        <v>400</v>
      </c>
      <c r="W31" s="3"/>
      <c r="X31" s="3">
        <v>12</v>
      </c>
      <c r="Y31" s="2">
        <v>12</v>
      </c>
    </row>
    <row r="32" spans="1:25" ht="38.25" customHeight="1" x14ac:dyDescent="0.2">
      <c r="A32" s="9">
        <v>23</v>
      </c>
      <c r="B32" s="2" t="s">
        <v>495</v>
      </c>
      <c r="C32" s="9" t="s">
        <v>493</v>
      </c>
      <c r="D32" s="9" t="s">
        <v>496</v>
      </c>
      <c r="E32" s="9" t="s">
        <v>412</v>
      </c>
      <c r="F32" s="71">
        <f t="shared" si="0"/>
        <v>6</v>
      </c>
      <c r="G32" s="9">
        <v>4</v>
      </c>
      <c r="H32" s="9">
        <v>0</v>
      </c>
      <c r="I32" s="9">
        <v>2</v>
      </c>
      <c r="J32" s="71">
        <f t="shared" si="1"/>
        <v>6</v>
      </c>
      <c r="K32" s="9"/>
      <c r="L32" s="9"/>
      <c r="M32" s="9"/>
      <c r="N32" s="71">
        <f t="shared" si="2"/>
        <v>0</v>
      </c>
      <c r="O32" s="2" t="s">
        <v>19</v>
      </c>
      <c r="P32" s="11">
        <f>SUM(P26:P31)</f>
        <v>45</v>
      </c>
      <c r="Q32" s="1">
        <v>7</v>
      </c>
      <c r="R32" s="1" t="s">
        <v>424</v>
      </c>
      <c r="S32" s="46">
        <v>435773</v>
      </c>
      <c r="T32" s="49">
        <f t="shared" si="5"/>
        <v>3</v>
      </c>
      <c r="U32" s="49">
        <f t="shared" si="6"/>
        <v>23</v>
      </c>
      <c r="V32" s="3" t="s">
        <v>400</v>
      </c>
      <c r="W32" s="3"/>
      <c r="X32" s="3">
        <v>12</v>
      </c>
      <c r="Y32" s="2">
        <v>12</v>
      </c>
    </row>
    <row r="33" spans="1:25" ht="38.25" customHeight="1" x14ac:dyDescent="0.2">
      <c r="A33" s="9">
        <v>24</v>
      </c>
      <c r="B33" s="2" t="s">
        <v>497</v>
      </c>
      <c r="C33" s="9" t="s">
        <v>493</v>
      </c>
      <c r="D33" s="9" t="s">
        <v>498</v>
      </c>
      <c r="E33" s="9" t="s">
        <v>443</v>
      </c>
      <c r="F33" s="71">
        <f t="shared" si="0"/>
        <v>0</v>
      </c>
      <c r="G33" s="9">
        <v>0</v>
      </c>
      <c r="H33" s="9">
        <v>0</v>
      </c>
      <c r="I33" s="9">
        <v>0</v>
      </c>
      <c r="J33" s="71">
        <f t="shared" si="1"/>
        <v>0</v>
      </c>
      <c r="K33" s="9"/>
      <c r="L33" s="9"/>
      <c r="M33" s="9"/>
      <c r="N33" s="71">
        <f t="shared" si="2"/>
        <v>0</v>
      </c>
      <c r="O33" s="414" t="s">
        <v>56</v>
      </c>
      <c r="P33" s="414"/>
      <c r="Q33" s="1">
        <v>8</v>
      </c>
      <c r="R33" s="1" t="s">
        <v>425</v>
      </c>
      <c r="S33" s="46">
        <v>618846</v>
      </c>
      <c r="T33" s="49">
        <f t="shared" si="5"/>
        <v>4</v>
      </c>
      <c r="U33" s="49">
        <f t="shared" si="6"/>
        <v>11</v>
      </c>
      <c r="V33" s="3" t="s">
        <v>400</v>
      </c>
      <c r="W33" s="3"/>
      <c r="X33" s="3">
        <v>12</v>
      </c>
      <c r="Y33" s="2">
        <v>12</v>
      </c>
    </row>
    <row r="34" spans="1:25" ht="38.25" customHeight="1" x14ac:dyDescent="0.2">
      <c r="A34" s="9">
        <v>25</v>
      </c>
      <c r="B34" s="2" t="s">
        <v>499</v>
      </c>
      <c r="C34" s="9" t="s">
        <v>500</v>
      </c>
      <c r="D34" s="9" t="s">
        <v>501</v>
      </c>
      <c r="E34" s="9" t="s">
        <v>443</v>
      </c>
      <c r="F34" s="71">
        <f t="shared" si="0"/>
        <v>0</v>
      </c>
      <c r="G34" s="9">
        <v>0</v>
      </c>
      <c r="H34" s="9">
        <v>0</v>
      </c>
      <c r="I34" s="9">
        <v>0</v>
      </c>
      <c r="J34" s="71">
        <f t="shared" si="1"/>
        <v>0</v>
      </c>
      <c r="K34" s="9"/>
      <c r="L34" s="9"/>
      <c r="M34" s="9"/>
      <c r="N34" s="71">
        <f t="shared" si="2"/>
        <v>0</v>
      </c>
      <c r="O34" s="2" t="s">
        <v>389</v>
      </c>
      <c r="P34" s="146" t="s">
        <v>57</v>
      </c>
      <c r="Q34" s="1">
        <v>9</v>
      </c>
      <c r="R34" s="1" t="s">
        <v>426</v>
      </c>
      <c r="S34" s="46">
        <v>619795</v>
      </c>
      <c r="T34" s="49">
        <f t="shared" si="5"/>
        <v>4</v>
      </c>
      <c r="U34" s="49">
        <f t="shared" si="6"/>
        <v>17</v>
      </c>
      <c r="V34" s="3" t="s">
        <v>400</v>
      </c>
      <c r="W34" s="3"/>
      <c r="X34" s="3">
        <v>12</v>
      </c>
      <c r="Y34" s="2">
        <v>12</v>
      </c>
    </row>
    <row r="35" spans="1:25" ht="38.25" customHeight="1" x14ac:dyDescent="0.2">
      <c r="A35" s="9">
        <v>26</v>
      </c>
      <c r="B35" s="2" t="s">
        <v>502</v>
      </c>
      <c r="C35" s="9" t="s">
        <v>500</v>
      </c>
      <c r="D35" s="9" t="s">
        <v>503</v>
      </c>
      <c r="E35" s="9" t="s">
        <v>398</v>
      </c>
      <c r="F35" s="71">
        <f t="shared" si="0"/>
        <v>2</v>
      </c>
      <c r="G35" s="9">
        <v>1</v>
      </c>
      <c r="H35" s="9">
        <v>0</v>
      </c>
      <c r="I35" s="9">
        <v>1</v>
      </c>
      <c r="J35" s="71">
        <f t="shared" si="1"/>
        <v>2</v>
      </c>
      <c r="K35" s="9"/>
      <c r="L35" s="9"/>
      <c r="M35" s="9"/>
      <c r="N35" s="71">
        <f t="shared" si="2"/>
        <v>0</v>
      </c>
      <c r="O35" s="2" t="s">
        <v>381</v>
      </c>
      <c r="P35" s="147" t="s">
        <v>821</v>
      </c>
      <c r="Q35" s="1">
        <v>10</v>
      </c>
      <c r="R35" s="1" t="s">
        <v>427</v>
      </c>
      <c r="S35" s="46">
        <v>618692</v>
      </c>
      <c r="T35" s="49">
        <f t="shared" si="5"/>
        <v>6</v>
      </c>
      <c r="U35" s="49">
        <f t="shared" si="6"/>
        <v>26</v>
      </c>
      <c r="V35" s="3" t="s">
        <v>400</v>
      </c>
      <c r="W35" s="3"/>
      <c r="X35" s="3">
        <v>12</v>
      </c>
      <c r="Y35" s="2">
        <v>12</v>
      </c>
    </row>
    <row r="36" spans="1:25" ht="38.25" customHeight="1" x14ac:dyDescent="0.2">
      <c r="A36" s="9">
        <v>27</v>
      </c>
      <c r="B36" s="2" t="s">
        <v>504</v>
      </c>
      <c r="C36" s="9" t="s">
        <v>500</v>
      </c>
      <c r="D36" s="9" t="s">
        <v>505</v>
      </c>
      <c r="E36" s="9" t="s">
        <v>423</v>
      </c>
      <c r="F36" s="71">
        <f t="shared" si="0"/>
        <v>5</v>
      </c>
      <c r="G36" s="9">
        <v>3</v>
      </c>
      <c r="H36" s="9">
        <v>0</v>
      </c>
      <c r="I36" s="9">
        <v>2</v>
      </c>
      <c r="J36" s="71">
        <f t="shared" si="1"/>
        <v>5</v>
      </c>
      <c r="K36" s="9"/>
      <c r="L36" s="9"/>
      <c r="M36" s="9"/>
      <c r="N36" s="71">
        <f t="shared" si="2"/>
        <v>0</v>
      </c>
      <c r="O36" s="2" t="s">
        <v>390</v>
      </c>
      <c r="P36" s="147" t="s">
        <v>59</v>
      </c>
      <c r="Q36" s="1">
        <v>11</v>
      </c>
      <c r="R36" s="1" t="s">
        <v>428</v>
      </c>
      <c r="S36" s="46">
        <v>618713</v>
      </c>
      <c r="T36" s="49">
        <f t="shared" si="5"/>
        <v>4</v>
      </c>
      <c r="U36" s="49">
        <f t="shared" si="6"/>
        <v>9</v>
      </c>
      <c r="V36" s="3" t="s">
        <v>400</v>
      </c>
      <c r="W36" s="3"/>
      <c r="X36" s="3">
        <v>12</v>
      </c>
      <c r="Y36" s="2">
        <v>12</v>
      </c>
    </row>
    <row r="37" spans="1:25" ht="38.25" customHeight="1" x14ac:dyDescent="0.2">
      <c r="A37" s="9">
        <v>28</v>
      </c>
      <c r="B37" s="2" t="s">
        <v>506</v>
      </c>
      <c r="C37" s="9" t="s">
        <v>500</v>
      </c>
      <c r="D37" s="9" t="s">
        <v>507</v>
      </c>
      <c r="E37" s="9" t="s">
        <v>397</v>
      </c>
      <c r="F37" s="71">
        <f t="shared" si="0"/>
        <v>1</v>
      </c>
      <c r="G37" s="9">
        <v>1</v>
      </c>
      <c r="H37" s="9">
        <v>0</v>
      </c>
      <c r="I37" s="9">
        <v>0</v>
      </c>
      <c r="J37" s="71">
        <f t="shared" si="1"/>
        <v>1</v>
      </c>
      <c r="K37" s="9"/>
      <c r="L37" s="9"/>
      <c r="M37" s="9"/>
      <c r="N37" s="71">
        <f t="shared" si="2"/>
        <v>0</v>
      </c>
      <c r="O37" s="2" t="s">
        <v>391</v>
      </c>
      <c r="P37" s="76" t="s">
        <v>392</v>
      </c>
      <c r="Q37" s="1">
        <v>12</v>
      </c>
      <c r="R37" s="1" t="s">
        <v>429</v>
      </c>
      <c r="S37" s="46">
        <v>607321</v>
      </c>
      <c r="T37" s="49">
        <f t="shared" si="5"/>
        <v>9</v>
      </c>
      <c r="U37" s="49">
        <f t="shared" si="6"/>
        <v>16</v>
      </c>
      <c r="V37" s="3" t="s">
        <v>400</v>
      </c>
      <c r="W37" s="3"/>
      <c r="X37" s="3">
        <v>12</v>
      </c>
      <c r="Y37" s="2">
        <v>12</v>
      </c>
    </row>
    <row r="38" spans="1:25" ht="38.25" customHeight="1" x14ac:dyDescent="0.2">
      <c r="A38" s="9">
        <v>29</v>
      </c>
      <c r="B38" s="2" t="s">
        <v>508</v>
      </c>
      <c r="C38" s="9" t="s">
        <v>509</v>
      </c>
      <c r="D38" s="9" t="s">
        <v>510</v>
      </c>
      <c r="E38" s="9" t="s">
        <v>443</v>
      </c>
      <c r="F38" s="71">
        <f t="shared" si="0"/>
        <v>0</v>
      </c>
      <c r="G38" s="9">
        <v>0</v>
      </c>
      <c r="H38" s="9">
        <v>0</v>
      </c>
      <c r="I38" s="9">
        <v>0</v>
      </c>
      <c r="J38" s="71">
        <f t="shared" si="1"/>
        <v>0</v>
      </c>
      <c r="K38" s="9"/>
      <c r="L38" s="9"/>
      <c r="M38" s="9"/>
      <c r="N38" s="71">
        <f t="shared" si="2"/>
        <v>0</v>
      </c>
      <c r="O38" s="2" t="s">
        <v>393</v>
      </c>
      <c r="P38" s="76" t="s">
        <v>394</v>
      </c>
      <c r="Q38" s="1">
        <v>13</v>
      </c>
      <c r="R38" s="1" t="s">
        <v>430</v>
      </c>
      <c r="S38" s="46">
        <v>72763</v>
      </c>
      <c r="T38" s="49">
        <f t="shared" si="5"/>
        <v>6</v>
      </c>
      <c r="U38" s="49">
        <f t="shared" si="6"/>
        <v>23</v>
      </c>
      <c r="V38" s="3" t="s">
        <v>400</v>
      </c>
      <c r="W38" s="3"/>
      <c r="X38" s="3">
        <v>12</v>
      </c>
      <c r="Y38" s="2">
        <v>12</v>
      </c>
    </row>
    <row r="39" spans="1:25" ht="38.25" customHeight="1" x14ac:dyDescent="0.2">
      <c r="A39" s="9">
        <v>30</v>
      </c>
      <c r="B39" s="2" t="s">
        <v>511</v>
      </c>
      <c r="C39" s="9" t="s">
        <v>509</v>
      </c>
      <c r="D39" s="9" t="s">
        <v>512</v>
      </c>
      <c r="E39" s="9" t="s">
        <v>408</v>
      </c>
      <c r="F39" s="71">
        <f t="shared" si="0"/>
        <v>2</v>
      </c>
      <c r="G39" s="9">
        <v>0</v>
      </c>
      <c r="H39" s="9">
        <v>1</v>
      </c>
      <c r="I39" s="9">
        <v>1</v>
      </c>
      <c r="J39" s="71">
        <f t="shared" si="1"/>
        <v>2</v>
      </c>
      <c r="K39" s="9"/>
      <c r="L39" s="9"/>
      <c r="M39" s="9"/>
      <c r="N39" s="71">
        <f t="shared" si="2"/>
        <v>0</v>
      </c>
      <c r="O39" s="2" t="s">
        <v>395</v>
      </c>
      <c r="P39" s="76" t="s">
        <v>58</v>
      </c>
      <c r="Q39" s="1">
        <v>14</v>
      </c>
      <c r="R39" s="1" t="s">
        <v>431</v>
      </c>
      <c r="S39" s="46">
        <v>401648</v>
      </c>
      <c r="T39" s="49">
        <f t="shared" si="5"/>
        <v>5</v>
      </c>
      <c r="U39" s="49">
        <f t="shared" si="6"/>
        <v>20</v>
      </c>
      <c r="V39" s="3" t="s">
        <v>400</v>
      </c>
      <c r="W39" s="3"/>
      <c r="X39" s="3">
        <v>12</v>
      </c>
      <c r="Y39" s="2">
        <v>12</v>
      </c>
    </row>
    <row r="40" spans="1:25" ht="38.25" customHeight="1" x14ac:dyDescent="0.2">
      <c r="A40" s="9">
        <v>31</v>
      </c>
      <c r="B40" s="2" t="s">
        <v>513</v>
      </c>
      <c r="C40" s="9" t="s">
        <v>514</v>
      </c>
      <c r="D40" s="9" t="s">
        <v>515</v>
      </c>
      <c r="E40" s="9" t="s">
        <v>443</v>
      </c>
      <c r="F40" s="71">
        <f t="shared" si="0"/>
        <v>0</v>
      </c>
      <c r="G40" s="9">
        <v>0</v>
      </c>
      <c r="H40" s="9">
        <v>0</v>
      </c>
      <c r="I40" s="9">
        <v>0</v>
      </c>
      <c r="J40" s="71">
        <f t="shared" si="1"/>
        <v>0</v>
      </c>
      <c r="K40" s="9"/>
      <c r="L40" s="9"/>
      <c r="M40" s="9"/>
      <c r="N40" s="71">
        <f t="shared" si="2"/>
        <v>0</v>
      </c>
      <c r="O40" s="372" t="s">
        <v>60</v>
      </c>
      <c r="P40" s="373"/>
      <c r="Q40" s="1">
        <v>15</v>
      </c>
      <c r="R40" s="1" t="s">
        <v>432</v>
      </c>
      <c r="S40" s="46">
        <v>434671</v>
      </c>
      <c r="T40" s="49">
        <f t="shared" si="5"/>
        <v>4</v>
      </c>
      <c r="U40" s="49">
        <f t="shared" si="6"/>
        <v>21</v>
      </c>
      <c r="V40" s="3" t="s">
        <v>400</v>
      </c>
      <c r="W40" s="3"/>
      <c r="X40" s="3">
        <v>8</v>
      </c>
      <c r="Y40" s="2">
        <v>8</v>
      </c>
    </row>
    <row r="41" spans="1:25" ht="38.25" customHeight="1" x14ac:dyDescent="0.2">
      <c r="A41" s="9">
        <v>32</v>
      </c>
      <c r="B41" s="2" t="s">
        <v>516</v>
      </c>
      <c r="C41" s="9" t="s">
        <v>517</v>
      </c>
      <c r="D41" s="9" t="s">
        <v>518</v>
      </c>
      <c r="E41" s="9" t="s">
        <v>443</v>
      </c>
      <c r="F41" s="71">
        <f t="shared" si="0"/>
        <v>0</v>
      </c>
      <c r="G41" s="9">
        <v>0</v>
      </c>
      <c r="H41" s="9">
        <v>0</v>
      </c>
      <c r="I41" s="9">
        <v>0</v>
      </c>
      <c r="J41" s="71">
        <f t="shared" si="1"/>
        <v>0</v>
      </c>
      <c r="K41" s="9"/>
      <c r="L41" s="9"/>
      <c r="M41" s="9"/>
      <c r="N41" s="71">
        <f t="shared" si="2"/>
        <v>0</v>
      </c>
      <c r="O41" s="2" t="s">
        <v>8</v>
      </c>
      <c r="P41" s="42">
        <f>P24</f>
        <v>891</v>
      </c>
      <c r="Q41" s="1">
        <v>16</v>
      </c>
      <c r="R41" s="1" t="s">
        <v>433</v>
      </c>
      <c r="S41" s="46">
        <v>495554</v>
      </c>
      <c r="T41" s="49">
        <f t="shared" si="5"/>
        <v>4</v>
      </c>
      <c r="U41" s="49">
        <f t="shared" si="6"/>
        <v>26</v>
      </c>
      <c r="V41" s="3" t="s">
        <v>400</v>
      </c>
      <c r="W41" s="3"/>
      <c r="X41" s="3">
        <v>8</v>
      </c>
      <c r="Y41" s="2">
        <v>8</v>
      </c>
    </row>
    <row r="42" spans="1:25" ht="38.25" customHeight="1" x14ac:dyDescent="0.2">
      <c r="A42" s="9">
        <v>33</v>
      </c>
      <c r="B42" s="2" t="s">
        <v>519</v>
      </c>
      <c r="C42" s="9" t="s">
        <v>517</v>
      </c>
      <c r="D42" s="9" t="s">
        <v>520</v>
      </c>
      <c r="E42" s="9" t="s">
        <v>443</v>
      </c>
      <c r="F42" s="71">
        <f t="shared" si="0"/>
        <v>0</v>
      </c>
      <c r="G42" s="9">
        <v>0</v>
      </c>
      <c r="H42" s="9">
        <v>0</v>
      </c>
      <c r="I42" s="9">
        <v>0</v>
      </c>
      <c r="J42" s="71">
        <f t="shared" si="1"/>
        <v>0</v>
      </c>
      <c r="K42" s="9"/>
      <c r="L42" s="9"/>
      <c r="M42" s="9"/>
      <c r="N42" s="71">
        <f t="shared" si="2"/>
        <v>0</v>
      </c>
      <c r="O42" s="2" t="s">
        <v>61</v>
      </c>
      <c r="P42" s="42">
        <f>SUM(X11:X24,X26:X95)</f>
        <v>506</v>
      </c>
      <c r="Q42" s="1">
        <v>17</v>
      </c>
      <c r="R42" s="1" t="s">
        <v>434</v>
      </c>
      <c r="S42" s="46">
        <v>618108</v>
      </c>
      <c r="T42" s="49">
        <f t="shared" si="5"/>
        <v>4</v>
      </c>
      <c r="U42" s="49">
        <f t="shared" si="6"/>
        <v>25</v>
      </c>
      <c r="V42" s="3" t="s">
        <v>54</v>
      </c>
      <c r="W42" s="3"/>
      <c r="X42" s="3">
        <v>12</v>
      </c>
      <c r="Y42" s="2">
        <v>12</v>
      </c>
    </row>
    <row r="43" spans="1:25" ht="38.25" customHeight="1" x14ac:dyDescent="0.2">
      <c r="A43" s="9">
        <v>34</v>
      </c>
      <c r="B43" s="2" t="s">
        <v>521</v>
      </c>
      <c r="C43" s="9" t="s">
        <v>517</v>
      </c>
      <c r="D43" s="9" t="s">
        <v>522</v>
      </c>
      <c r="E43" s="9" t="s">
        <v>443</v>
      </c>
      <c r="F43" s="71">
        <f t="shared" si="0"/>
        <v>0</v>
      </c>
      <c r="G43" s="9">
        <v>0</v>
      </c>
      <c r="H43" s="9">
        <v>0</v>
      </c>
      <c r="I43" s="9">
        <v>0</v>
      </c>
      <c r="J43" s="71">
        <f t="shared" si="1"/>
        <v>0</v>
      </c>
      <c r="K43" s="9"/>
      <c r="L43" s="9"/>
      <c r="M43" s="9"/>
      <c r="N43" s="71">
        <f t="shared" si="2"/>
        <v>0</v>
      </c>
      <c r="O43" s="72" t="s">
        <v>62</v>
      </c>
      <c r="P43" s="73">
        <f>P41/P42</f>
        <v>1.7608695652173914</v>
      </c>
      <c r="Q43" s="1">
        <v>18</v>
      </c>
      <c r="R43" s="1" t="s">
        <v>435</v>
      </c>
      <c r="S43" s="46">
        <v>416445</v>
      </c>
      <c r="T43" s="49">
        <f t="shared" si="5"/>
        <v>6</v>
      </c>
      <c r="U43" s="49">
        <f t="shared" si="6"/>
        <v>24</v>
      </c>
      <c r="V43" s="3" t="s">
        <v>54</v>
      </c>
      <c r="W43" s="3"/>
      <c r="X43" s="3">
        <v>12</v>
      </c>
      <c r="Y43" s="2">
        <v>12</v>
      </c>
    </row>
    <row r="44" spans="1:25" ht="38.25" customHeight="1" x14ac:dyDescent="0.2">
      <c r="A44" s="9">
        <v>35</v>
      </c>
      <c r="B44" s="2" t="s">
        <v>523</v>
      </c>
      <c r="C44" s="9" t="s">
        <v>524</v>
      </c>
      <c r="D44" s="9" t="s">
        <v>525</v>
      </c>
      <c r="E44" s="9" t="s">
        <v>423</v>
      </c>
      <c r="F44" s="71">
        <f t="shared" si="0"/>
        <v>6</v>
      </c>
      <c r="G44" s="9">
        <v>2</v>
      </c>
      <c r="H44" s="9">
        <v>0</v>
      </c>
      <c r="I44" s="9">
        <v>4</v>
      </c>
      <c r="J44" s="71">
        <f t="shared" si="1"/>
        <v>6</v>
      </c>
      <c r="K44" s="9"/>
      <c r="L44" s="9"/>
      <c r="M44" s="9"/>
      <c r="N44" s="71">
        <f t="shared" si="2"/>
        <v>0</v>
      </c>
      <c r="O44" s="372" t="s">
        <v>63</v>
      </c>
      <c r="P44" s="373"/>
      <c r="Q44" s="1">
        <v>19</v>
      </c>
      <c r="R44" s="1" t="s">
        <v>436</v>
      </c>
      <c r="S44" s="46">
        <v>480376</v>
      </c>
      <c r="T44" s="49">
        <f t="shared" si="5"/>
        <v>8</v>
      </c>
      <c r="U44" s="49">
        <f t="shared" si="6"/>
        <v>42</v>
      </c>
      <c r="V44" s="3" t="s">
        <v>54</v>
      </c>
      <c r="W44" s="3"/>
      <c r="X44" s="3">
        <v>12</v>
      </c>
      <c r="Y44" s="2">
        <v>12</v>
      </c>
    </row>
    <row r="45" spans="1:25" ht="38.25" customHeight="1" x14ac:dyDescent="0.2">
      <c r="A45" s="9">
        <v>36</v>
      </c>
      <c r="B45" s="2" t="s">
        <v>526</v>
      </c>
      <c r="C45" s="9" t="s">
        <v>524</v>
      </c>
      <c r="D45" s="9" t="s">
        <v>527</v>
      </c>
      <c r="E45" s="9" t="s">
        <v>443</v>
      </c>
      <c r="F45" s="71">
        <f t="shared" si="0"/>
        <v>0</v>
      </c>
      <c r="G45" s="9">
        <v>0</v>
      </c>
      <c r="H45" s="9">
        <v>0</v>
      </c>
      <c r="I45" s="9">
        <v>0</v>
      </c>
      <c r="J45" s="71">
        <f t="shared" si="1"/>
        <v>0</v>
      </c>
      <c r="K45" s="9"/>
      <c r="L45" s="9"/>
      <c r="M45" s="9"/>
      <c r="N45" s="71">
        <f t="shared" si="2"/>
        <v>0</v>
      </c>
      <c r="O45" s="2" t="s">
        <v>64</v>
      </c>
      <c r="P45" s="2">
        <v>42</v>
      </c>
      <c r="Q45" s="1">
        <v>20</v>
      </c>
      <c r="R45" s="1"/>
      <c r="S45" s="46"/>
      <c r="T45" s="49">
        <f t="shared" si="5"/>
        <v>0</v>
      </c>
      <c r="U45" s="49">
        <f t="shared" si="6"/>
        <v>0</v>
      </c>
      <c r="V45" s="3"/>
      <c r="W45" s="3"/>
      <c r="X45" s="3"/>
      <c r="Y45" s="2"/>
    </row>
    <row r="46" spans="1:25" ht="38.25" customHeight="1" x14ac:dyDescent="0.2">
      <c r="A46" s="9">
        <v>37</v>
      </c>
      <c r="B46" s="2" t="s">
        <v>528</v>
      </c>
      <c r="C46" s="9" t="s">
        <v>524</v>
      </c>
      <c r="D46" s="9" t="s">
        <v>529</v>
      </c>
      <c r="E46" s="9" t="s">
        <v>429</v>
      </c>
      <c r="F46" s="71">
        <f t="shared" si="0"/>
        <v>1</v>
      </c>
      <c r="G46" s="9">
        <v>0</v>
      </c>
      <c r="H46" s="9">
        <v>1</v>
      </c>
      <c r="I46" s="9">
        <v>0</v>
      </c>
      <c r="J46" s="71">
        <f t="shared" si="1"/>
        <v>1</v>
      </c>
      <c r="K46" s="9"/>
      <c r="L46" s="9"/>
      <c r="M46" s="9"/>
      <c r="N46" s="71">
        <f t="shared" si="2"/>
        <v>0</v>
      </c>
      <c r="O46" s="2" t="s">
        <v>65</v>
      </c>
      <c r="P46" s="2">
        <v>36</v>
      </c>
      <c r="Q46" s="1">
        <v>21</v>
      </c>
      <c r="R46" s="1"/>
      <c r="S46" s="46"/>
      <c r="T46" s="49">
        <f t="shared" si="5"/>
        <v>0</v>
      </c>
      <c r="U46" s="49">
        <f t="shared" si="6"/>
        <v>0</v>
      </c>
      <c r="V46" s="3"/>
      <c r="W46" s="3"/>
      <c r="X46" s="3"/>
      <c r="Y46" s="2"/>
    </row>
    <row r="47" spans="1:25" ht="38.25" customHeight="1" x14ac:dyDescent="0.2">
      <c r="A47" s="9">
        <v>38</v>
      </c>
      <c r="B47" s="2" t="s">
        <v>530</v>
      </c>
      <c r="C47" s="9" t="s">
        <v>531</v>
      </c>
      <c r="D47" s="9" t="s">
        <v>532</v>
      </c>
      <c r="E47" s="9" t="s">
        <v>423</v>
      </c>
      <c r="F47" s="71">
        <f t="shared" si="0"/>
        <v>2</v>
      </c>
      <c r="G47" s="9">
        <v>2</v>
      </c>
      <c r="H47" s="9">
        <v>0</v>
      </c>
      <c r="I47" s="9">
        <v>0</v>
      </c>
      <c r="J47" s="71">
        <f t="shared" si="1"/>
        <v>2</v>
      </c>
      <c r="K47" s="9"/>
      <c r="L47" s="9"/>
      <c r="M47" s="9"/>
      <c r="N47" s="71">
        <f t="shared" si="2"/>
        <v>0</v>
      </c>
      <c r="O47" s="1" t="s">
        <v>66</v>
      </c>
      <c r="P47" s="335">
        <v>6</v>
      </c>
      <c r="Q47" s="1">
        <v>22</v>
      </c>
      <c r="R47" s="1"/>
      <c r="S47" s="46"/>
      <c r="T47" s="49">
        <f t="shared" si="5"/>
        <v>0</v>
      </c>
      <c r="U47" s="49">
        <f t="shared" si="6"/>
        <v>0</v>
      </c>
      <c r="V47" s="3"/>
      <c r="W47" s="3"/>
      <c r="X47" s="3"/>
      <c r="Y47" s="2"/>
    </row>
    <row r="48" spans="1:25" ht="38.25" customHeight="1" x14ac:dyDescent="0.2">
      <c r="A48" s="9">
        <v>39</v>
      </c>
      <c r="B48" s="2" t="s">
        <v>533</v>
      </c>
      <c r="C48" s="9" t="s">
        <v>531</v>
      </c>
      <c r="D48" s="9" t="s">
        <v>534</v>
      </c>
      <c r="E48" s="9" t="s">
        <v>396</v>
      </c>
      <c r="F48" s="71">
        <f t="shared" si="0"/>
        <v>1</v>
      </c>
      <c r="G48" s="9">
        <v>0</v>
      </c>
      <c r="H48" s="9">
        <v>0</v>
      </c>
      <c r="I48" s="9">
        <v>1</v>
      </c>
      <c r="J48" s="71">
        <f t="shared" si="1"/>
        <v>1</v>
      </c>
      <c r="K48" s="9"/>
      <c r="L48" s="9"/>
      <c r="M48" s="9"/>
      <c r="N48" s="71">
        <f t="shared" si="2"/>
        <v>0</v>
      </c>
      <c r="O48" s="414" t="s">
        <v>67</v>
      </c>
      <c r="P48" s="414"/>
      <c r="Q48" s="1">
        <v>23</v>
      </c>
      <c r="R48" s="1"/>
      <c r="S48" s="46"/>
      <c r="T48" s="49">
        <f t="shared" si="5"/>
        <v>0</v>
      </c>
      <c r="U48" s="49">
        <f t="shared" si="6"/>
        <v>0</v>
      </c>
      <c r="V48" s="3"/>
      <c r="W48" s="3"/>
      <c r="X48" s="3"/>
      <c r="Y48" s="2"/>
    </row>
    <row r="49" spans="1:25" ht="38.25" customHeight="1" x14ac:dyDescent="0.2">
      <c r="A49" s="9">
        <v>40</v>
      </c>
      <c r="B49" s="2" t="s">
        <v>535</v>
      </c>
      <c r="C49" s="9" t="s">
        <v>536</v>
      </c>
      <c r="D49" s="9" t="s">
        <v>537</v>
      </c>
      <c r="E49" s="9" t="s">
        <v>436</v>
      </c>
      <c r="F49" s="71">
        <f t="shared" si="0"/>
        <v>2</v>
      </c>
      <c r="G49" s="9">
        <v>1</v>
      </c>
      <c r="H49" s="9">
        <v>0</v>
      </c>
      <c r="I49" s="9">
        <v>1</v>
      </c>
      <c r="J49" s="71">
        <f t="shared" si="1"/>
        <v>2</v>
      </c>
      <c r="K49" s="9"/>
      <c r="L49" s="9"/>
      <c r="M49" s="9"/>
      <c r="N49" s="71">
        <f t="shared" si="2"/>
        <v>0</v>
      </c>
      <c r="O49" s="145" t="s">
        <v>69</v>
      </c>
      <c r="P49" s="2">
        <v>67</v>
      </c>
      <c r="Q49" s="1">
        <v>24</v>
      </c>
      <c r="R49" s="1"/>
      <c r="S49" s="46"/>
      <c r="T49" s="49">
        <f t="shared" si="5"/>
        <v>0</v>
      </c>
      <c r="U49" s="49">
        <f t="shared" si="6"/>
        <v>0</v>
      </c>
      <c r="V49" s="3"/>
      <c r="W49" s="3"/>
      <c r="X49" s="3"/>
      <c r="Y49" s="2"/>
    </row>
    <row r="50" spans="1:25" ht="38.25" customHeight="1" x14ac:dyDescent="0.2">
      <c r="A50" s="9">
        <v>41</v>
      </c>
      <c r="B50" s="2" t="s">
        <v>538</v>
      </c>
      <c r="C50" s="9" t="s">
        <v>536</v>
      </c>
      <c r="D50" s="9" t="s">
        <v>539</v>
      </c>
      <c r="E50" s="9" t="s">
        <v>396</v>
      </c>
      <c r="F50" s="71">
        <f t="shared" si="0"/>
        <v>5</v>
      </c>
      <c r="G50" s="9">
        <v>1</v>
      </c>
      <c r="H50" s="9">
        <v>0</v>
      </c>
      <c r="I50" s="9">
        <v>4</v>
      </c>
      <c r="J50" s="71">
        <f t="shared" si="1"/>
        <v>5</v>
      </c>
      <c r="K50" s="9"/>
      <c r="L50" s="9"/>
      <c r="M50" s="9"/>
      <c r="N50" s="71">
        <f t="shared" si="2"/>
        <v>0</v>
      </c>
      <c r="O50" s="145" t="s">
        <v>70</v>
      </c>
      <c r="P50" s="2">
        <v>100</v>
      </c>
      <c r="Q50" s="363" t="s">
        <v>19</v>
      </c>
      <c r="R50" s="364"/>
      <c r="S50" s="365"/>
      <c r="T50" s="346">
        <f>SUM(T26:T49)</f>
        <v>111</v>
      </c>
      <c r="U50" s="346">
        <f>SUM(U26:U49)</f>
        <v>451</v>
      </c>
      <c r="V50" s="357">
        <f>COUNT(X26:X49)</f>
        <v>19</v>
      </c>
      <c r="W50" s="358"/>
      <c r="X50" s="358"/>
      <c r="Y50" s="359"/>
    </row>
    <row r="51" spans="1:25" ht="38.25" customHeight="1" x14ac:dyDescent="0.2">
      <c r="A51" s="9">
        <v>42</v>
      </c>
      <c r="B51" s="2" t="s">
        <v>540</v>
      </c>
      <c r="C51" s="9" t="s">
        <v>536</v>
      </c>
      <c r="D51" s="9" t="s">
        <v>541</v>
      </c>
      <c r="E51" s="9" t="s">
        <v>436</v>
      </c>
      <c r="F51" s="71">
        <f t="shared" si="0"/>
        <v>1</v>
      </c>
      <c r="G51" s="9">
        <v>0</v>
      </c>
      <c r="H51" s="9">
        <v>0</v>
      </c>
      <c r="I51" s="9">
        <v>1</v>
      </c>
      <c r="J51" s="71">
        <f t="shared" si="1"/>
        <v>1</v>
      </c>
      <c r="K51" s="9"/>
      <c r="L51" s="9"/>
      <c r="M51" s="9"/>
      <c r="N51" s="71">
        <f t="shared" si="2"/>
        <v>0</v>
      </c>
      <c r="O51" s="145" t="s">
        <v>68</v>
      </c>
      <c r="P51" s="2">
        <v>70</v>
      </c>
      <c r="Q51" s="367" t="s">
        <v>147</v>
      </c>
      <c r="R51" s="368"/>
      <c r="S51" s="368"/>
      <c r="T51" s="368"/>
      <c r="U51" s="368"/>
      <c r="V51" s="368"/>
      <c r="W51" s="368"/>
      <c r="X51" s="368"/>
      <c r="Y51" s="369"/>
    </row>
    <row r="52" spans="1:25" ht="38.25" customHeight="1" x14ac:dyDescent="0.2">
      <c r="A52" s="9">
        <v>43</v>
      </c>
      <c r="B52" s="2" t="s">
        <v>542</v>
      </c>
      <c r="C52" s="9" t="s">
        <v>536</v>
      </c>
      <c r="D52" s="9" t="s">
        <v>543</v>
      </c>
      <c r="E52" s="9" t="s">
        <v>429</v>
      </c>
      <c r="F52" s="71">
        <f t="shared" si="0"/>
        <v>3</v>
      </c>
      <c r="G52" s="9">
        <v>2</v>
      </c>
      <c r="H52" s="9">
        <v>1</v>
      </c>
      <c r="I52" s="9">
        <v>0</v>
      </c>
      <c r="J52" s="71">
        <f t="shared" si="1"/>
        <v>3</v>
      </c>
      <c r="K52" s="9"/>
      <c r="L52" s="9"/>
      <c r="M52" s="9"/>
      <c r="N52" s="71">
        <f t="shared" si="2"/>
        <v>0</v>
      </c>
      <c r="O52" s="145" t="s">
        <v>72</v>
      </c>
      <c r="P52" s="2">
        <v>6</v>
      </c>
      <c r="Q52" s="1">
        <v>1</v>
      </c>
      <c r="R52" s="1" t="s">
        <v>401</v>
      </c>
      <c r="S52" s="46">
        <v>780975</v>
      </c>
      <c r="T52" s="49">
        <f t="shared" si="5"/>
        <v>5</v>
      </c>
      <c r="U52" s="49">
        <f t="shared" si="6"/>
        <v>26</v>
      </c>
      <c r="V52" s="3" t="s">
        <v>52</v>
      </c>
      <c r="W52" s="3"/>
      <c r="X52" s="3">
        <v>12</v>
      </c>
      <c r="Y52" s="2">
        <v>12</v>
      </c>
    </row>
    <row r="53" spans="1:25" ht="38.25" customHeight="1" x14ac:dyDescent="0.2">
      <c r="A53" s="9">
        <v>44</v>
      </c>
      <c r="B53" s="2" t="s">
        <v>544</v>
      </c>
      <c r="C53" s="9" t="s">
        <v>545</v>
      </c>
      <c r="D53" s="9" t="s">
        <v>546</v>
      </c>
      <c r="E53" s="9" t="s">
        <v>443</v>
      </c>
      <c r="F53" s="71">
        <f t="shared" si="0"/>
        <v>0</v>
      </c>
      <c r="G53" s="9">
        <v>0</v>
      </c>
      <c r="H53" s="9">
        <v>0</v>
      </c>
      <c r="I53" s="9">
        <v>0</v>
      </c>
      <c r="J53" s="71">
        <f t="shared" si="1"/>
        <v>0</v>
      </c>
      <c r="K53" s="9"/>
      <c r="L53" s="9"/>
      <c r="M53" s="9"/>
      <c r="N53" s="71">
        <f t="shared" si="2"/>
        <v>0</v>
      </c>
      <c r="O53" s="1" t="s">
        <v>19</v>
      </c>
      <c r="P53" s="42">
        <f>SUM(P49:P52)</f>
        <v>243</v>
      </c>
      <c r="Q53" s="1">
        <v>2</v>
      </c>
      <c r="R53" s="1" t="s">
        <v>402</v>
      </c>
      <c r="S53" s="46">
        <v>925522</v>
      </c>
      <c r="T53" s="49">
        <f t="shared" si="5"/>
        <v>6</v>
      </c>
      <c r="U53" s="49">
        <f t="shared" si="6"/>
        <v>32</v>
      </c>
      <c r="V53" s="3" t="s">
        <v>52</v>
      </c>
      <c r="W53" s="3"/>
      <c r="X53" s="3">
        <v>12</v>
      </c>
      <c r="Y53" s="2">
        <v>12</v>
      </c>
    </row>
    <row r="54" spans="1:25" ht="38.25" customHeight="1" x14ac:dyDescent="0.2">
      <c r="A54" s="9">
        <v>45</v>
      </c>
      <c r="B54" s="2" t="s">
        <v>547</v>
      </c>
      <c r="C54" s="9" t="s">
        <v>548</v>
      </c>
      <c r="D54" s="9" t="s">
        <v>549</v>
      </c>
      <c r="E54" s="9" t="s">
        <v>430</v>
      </c>
      <c r="F54" s="71">
        <f t="shared" si="0"/>
        <v>2</v>
      </c>
      <c r="G54" s="9">
        <v>2</v>
      </c>
      <c r="H54" s="9">
        <v>0</v>
      </c>
      <c r="I54" s="9">
        <v>0</v>
      </c>
      <c r="J54" s="71">
        <f t="shared" si="1"/>
        <v>2</v>
      </c>
      <c r="K54" s="9"/>
      <c r="L54" s="9"/>
      <c r="M54" s="9"/>
      <c r="N54" s="71">
        <f t="shared" si="2"/>
        <v>0</v>
      </c>
      <c r="O54" s="372" t="s">
        <v>73</v>
      </c>
      <c r="P54" s="373"/>
      <c r="Q54" s="1">
        <v>3</v>
      </c>
      <c r="R54" s="1" t="s">
        <v>409</v>
      </c>
      <c r="S54" s="46">
        <v>965133</v>
      </c>
      <c r="T54" s="49">
        <f t="shared" si="5"/>
        <v>6</v>
      </c>
      <c r="U54" s="49">
        <f t="shared" si="6"/>
        <v>32</v>
      </c>
      <c r="V54" s="3" t="s">
        <v>52</v>
      </c>
      <c r="W54" s="3"/>
      <c r="X54" s="3">
        <v>12</v>
      </c>
      <c r="Y54" s="2">
        <v>12</v>
      </c>
    </row>
    <row r="55" spans="1:25" ht="38.25" customHeight="1" x14ac:dyDescent="0.2">
      <c r="A55" s="9">
        <v>46</v>
      </c>
      <c r="B55" s="2" t="s">
        <v>550</v>
      </c>
      <c r="C55" s="9" t="s">
        <v>548</v>
      </c>
      <c r="D55" s="9" t="s">
        <v>551</v>
      </c>
      <c r="E55" s="9" t="s">
        <v>443</v>
      </c>
      <c r="F55" s="71">
        <f t="shared" si="0"/>
        <v>0</v>
      </c>
      <c r="G55" s="9">
        <v>0</v>
      </c>
      <c r="H55" s="9">
        <v>0</v>
      </c>
      <c r="I55" s="9">
        <v>0</v>
      </c>
      <c r="J55" s="71">
        <f t="shared" si="1"/>
        <v>0</v>
      </c>
      <c r="K55" s="9"/>
      <c r="L55" s="9"/>
      <c r="M55" s="9"/>
      <c r="N55" s="71">
        <f t="shared" si="2"/>
        <v>0</v>
      </c>
      <c r="O55" s="1" t="s">
        <v>68</v>
      </c>
      <c r="P55" s="42">
        <f>P51</f>
        <v>70</v>
      </c>
      <c r="Q55" s="1">
        <v>4</v>
      </c>
      <c r="R55" s="1" t="s">
        <v>404</v>
      </c>
      <c r="S55" s="46">
        <v>997303</v>
      </c>
      <c r="T55" s="49">
        <f t="shared" si="5"/>
        <v>3</v>
      </c>
      <c r="U55" s="49">
        <f t="shared" si="6"/>
        <v>20</v>
      </c>
      <c r="V55" s="3" t="s">
        <v>52</v>
      </c>
      <c r="W55" s="3"/>
      <c r="X55" s="3">
        <v>12</v>
      </c>
      <c r="Y55" s="2">
        <v>12</v>
      </c>
    </row>
    <row r="56" spans="1:25" ht="38.25" customHeight="1" x14ac:dyDescent="0.2">
      <c r="A56" s="9">
        <v>47</v>
      </c>
      <c r="B56" s="2" t="s">
        <v>552</v>
      </c>
      <c r="C56" s="9" t="s">
        <v>548</v>
      </c>
      <c r="D56" s="9" t="s">
        <v>553</v>
      </c>
      <c r="E56" s="9" t="s">
        <v>443</v>
      </c>
      <c r="F56" s="71">
        <f t="shared" si="0"/>
        <v>0</v>
      </c>
      <c r="G56" s="9">
        <v>0</v>
      </c>
      <c r="H56" s="9">
        <v>0</v>
      </c>
      <c r="I56" s="9">
        <v>0</v>
      </c>
      <c r="J56" s="71">
        <f t="shared" si="1"/>
        <v>0</v>
      </c>
      <c r="K56" s="9"/>
      <c r="L56" s="9"/>
      <c r="M56" s="9"/>
      <c r="N56" s="71">
        <f t="shared" si="2"/>
        <v>0</v>
      </c>
      <c r="O56" s="145" t="s">
        <v>69</v>
      </c>
      <c r="P56" s="2">
        <v>0</v>
      </c>
      <c r="Q56" s="1">
        <v>5</v>
      </c>
      <c r="R56" s="1" t="s">
        <v>411</v>
      </c>
      <c r="S56" s="46">
        <v>984565</v>
      </c>
      <c r="T56" s="49">
        <f t="shared" si="5"/>
        <v>8</v>
      </c>
      <c r="U56" s="49">
        <f t="shared" si="6"/>
        <v>27</v>
      </c>
      <c r="V56" s="3" t="s">
        <v>52</v>
      </c>
      <c r="W56" s="3"/>
      <c r="X56" s="3">
        <v>12</v>
      </c>
      <c r="Y56" s="2">
        <v>12</v>
      </c>
    </row>
    <row r="57" spans="1:25" ht="38.25" customHeight="1" x14ac:dyDescent="0.2">
      <c r="A57" s="9">
        <v>48</v>
      </c>
      <c r="B57" s="2" t="s">
        <v>554</v>
      </c>
      <c r="C57" s="9" t="s">
        <v>548</v>
      </c>
      <c r="D57" s="9" t="s">
        <v>555</v>
      </c>
      <c r="E57" s="9" t="s">
        <v>398</v>
      </c>
      <c r="F57" s="71">
        <f t="shared" si="0"/>
        <v>4</v>
      </c>
      <c r="G57" s="9">
        <v>3</v>
      </c>
      <c r="H57" s="9">
        <v>0</v>
      </c>
      <c r="I57" s="9">
        <v>1</v>
      </c>
      <c r="J57" s="71">
        <f t="shared" si="1"/>
        <v>4</v>
      </c>
      <c r="K57" s="9"/>
      <c r="L57" s="9"/>
      <c r="M57" s="9"/>
      <c r="N57" s="71">
        <f t="shared" si="2"/>
        <v>0</v>
      </c>
      <c r="O57" s="145" t="s">
        <v>70</v>
      </c>
      <c r="P57" s="2">
        <v>0</v>
      </c>
      <c r="Q57" s="1">
        <v>6</v>
      </c>
      <c r="R57" s="1" t="s">
        <v>408</v>
      </c>
      <c r="S57" s="46" t="s">
        <v>422</v>
      </c>
      <c r="T57" s="49">
        <f t="shared" si="5"/>
        <v>6</v>
      </c>
      <c r="U57" s="49">
        <f t="shared" si="6"/>
        <v>15</v>
      </c>
      <c r="V57" s="3" t="s">
        <v>52</v>
      </c>
      <c r="W57" s="3"/>
      <c r="X57" s="3">
        <v>12</v>
      </c>
      <c r="Y57" s="2">
        <v>12</v>
      </c>
    </row>
    <row r="58" spans="1:25" ht="38.25" customHeight="1" x14ac:dyDescent="0.2">
      <c r="A58" s="9">
        <v>49</v>
      </c>
      <c r="B58" s="2" t="s">
        <v>556</v>
      </c>
      <c r="C58" s="9" t="s">
        <v>548</v>
      </c>
      <c r="D58" s="9" t="s">
        <v>557</v>
      </c>
      <c r="E58" s="9" t="s">
        <v>397</v>
      </c>
      <c r="F58" s="71">
        <f t="shared" si="0"/>
        <v>1</v>
      </c>
      <c r="G58" s="9">
        <v>0</v>
      </c>
      <c r="H58" s="9">
        <v>0</v>
      </c>
      <c r="I58" s="9">
        <v>1</v>
      </c>
      <c r="J58" s="71">
        <f t="shared" si="1"/>
        <v>1</v>
      </c>
      <c r="K58" s="9"/>
      <c r="L58" s="9"/>
      <c r="M58" s="9"/>
      <c r="N58" s="71">
        <f t="shared" si="2"/>
        <v>0</v>
      </c>
      <c r="O58" s="145" t="s">
        <v>72</v>
      </c>
      <c r="P58" s="2">
        <v>1</v>
      </c>
      <c r="Q58" s="1">
        <v>7</v>
      </c>
      <c r="R58" s="1" t="s">
        <v>403</v>
      </c>
      <c r="S58" s="46">
        <v>961581</v>
      </c>
      <c r="T58" s="49">
        <f t="shared" ref="T58:T84" si="7">COUNTIF($E$10:$E$565,R58)</f>
        <v>3</v>
      </c>
      <c r="U58" s="49">
        <f t="shared" ref="U58:U84" si="8">SUMIFS($F$10:$F$565,$E$10:$E$565,R58)</f>
        <v>25</v>
      </c>
      <c r="V58" s="3" t="s">
        <v>52</v>
      </c>
      <c r="W58" s="3"/>
      <c r="X58" s="3">
        <v>12</v>
      </c>
      <c r="Y58" s="2">
        <v>12</v>
      </c>
    </row>
    <row r="59" spans="1:25" ht="38.25" customHeight="1" x14ac:dyDescent="0.2">
      <c r="A59" s="9">
        <v>50</v>
      </c>
      <c r="B59" s="2" t="s">
        <v>558</v>
      </c>
      <c r="C59" s="9" t="s">
        <v>559</v>
      </c>
      <c r="D59" s="9" t="s">
        <v>560</v>
      </c>
      <c r="E59" s="9" t="s">
        <v>396</v>
      </c>
      <c r="F59" s="71">
        <f t="shared" si="0"/>
        <v>2</v>
      </c>
      <c r="G59" s="9">
        <v>0</v>
      </c>
      <c r="H59" s="9">
        <v>1</v>
      </c>
      <c r="I59" s="9">
        <v>1</v>
      </c>
      <c r="J59" s="71">
        <f t="shared" si="1"/>
        <v>2</v>
      </c>
      <c r="K59" s="9"/>
      <c r="L59" s="9"/>
      <c r="M59" s="9"/>
      <c r="N59" s="71">
        <f t="shared" si="2"/>
        <v>0</v>
      </c>
      <c r="O59" s="1" t="s">
        <v>19</v>
      </c>
      <c r="P59" s="42">
        <f>SUM(P55:P58)</f>
        <v>71</v>
      </c>
      <c r="Q59" s="1">
        <v>8</v>
      </c>
      <c r="R59" s="1" t="s">
        <v>410</v>
      </c>
      <c r="S59" s="46" t="s">
        <v>415</v>
      </c>
      <c r="T59" s="49">
        <f t="shared" si="7"/>
        <v>5</v>
      </c>
      <c r="U59" s="49">
        <f t="shared" si="8"/>
        <v>9</v>
      </c>
      <c r="V59" s="3" t="s">
        <v>52</v>
      </c>
      <c r="W59" s="3"/>
      <c r="X59" s="3">
        <v>12</v>
      </c>
      <c r="Y59" s="2">
        <v>12</v>
      </c>
    </row>
    <row r="60" spans="1:25" ht="38.25" customHeight="1" x14ac:dyDescent="0.2">
      <c r="A60" s="9">
        <v>51</v>
      </c>
      <c r="B60" s="2" t="s">
        <v>561</v>
      </c>
      <c r="C60" s="9" t="s">
        <v>559</v>
      </c>
      <c r="D60" s="9" t="s">
        <v>562</v>
      </c>
      <c r="E60" s="9" t="s">
        <v>396</v>
      </c>
      <c r="F60" s="71">
        <f t="shared" si="0"/>
        <v>5</v>
      </c>
      <c r="G60" s="9">
        <v>2</v>
      </c>
      <c r="H60" s="9">
        <v>1</v>
      </c>
      <c r="I60" s="9">
        <v>2</v>
      </c>
      <c r="J60" s="71">
        <f t="shared" si="1"/>
        <v>5</v>
      </c>
      <c r="K60" s="9"/>
      <c r="L60" s="9"/>
      <c r="M60" s="9"/>
      <c r="N60" s="71">
        <f t="shared" si="2"/>
        <v>0</v>
      </c>
      <c r="O60" s="372" t="s">
        <v>74</v>
      </c>
      <c r="P60" s="373"/>
      <c r="Q60" s="1">
        <v>9</v>
      </c>
      <c r="R60" s="1" t="s">
        <v>412</v>
      </c>
      <c r="S60" s="46">
        <v>979434</v>
      </c>
      <c r="T60" s="49">
        <f t="shared" si="7"/>
        <v>10</v>
      </c>
      <c r="U60" s="49">
        <f t="shared" si="8"/>
        <v>30</v>
      </c>
      <c r="V60" s="3" t="s">
        <v>52</v>
      </c>
      <c r="W60" s="3"/>
      <c r="X60" s="3">
        <v>12</v>
      </c>
      <c r="Y60" s="2">
        <v>12</v>
      </c>
    </row>
    <row r="61" spans="1:25" ht="38.25" customHeight="1" x14ac:dyDescent="0.2">
      <c r="A61" s="9">
        <v>52</v>
      </c>
      <c r="B61" s="2" t="s">
        <v>563</v>
      </c>
      <c r="C61" s="9" t="s">
        <v>559</v>
      </c>
      <c r="D61" s="9" t="s">
        <v>564</v>
      </c>
      <c r="E61" s="9" t="s">
        <v>397</v>
      </c>
      <c r="F61" s="71">
        <f t="shared" si="0"/>
        <v>2</v>
      </c>
      <c r="G61" s="9">
        <v>1</v>
      </c>
      <c r="H61" s="9">
        <v>0</v>
      </c>
      <c r="I61" s="9">
        <v>1</v>
      </c>
      <c r="J61" s="71">
        <f t="shared" si="1"/>
        <v>2</v>
      </c>
      <c r="K61" s="9"/>
      <c r="L61" s="9"/>
      <c r="M61" s="9"/>
      <c r="N61" s="71">
        <f t="shared" si="2"/>
        <v>0</v>
      </c>
      <c r="O61" s="2" t="s">
        <v>8</v>
      </c>
      <c r="P61" s="42">
        <f>SUM(U26:U49)</f>
        <v>451</v>
      </c>
      <c r="Q61" s="1">
        <v>10</v>
      </c>
      <c r="R61" s="1" t="s">
        <v>406</v>
      </c>
      <c r="S61" s="46">
        <v>774295</v>
      </c>
      <c r="T61" s="49">
        <f t="shared" si="7"/>
        <v>4</v>
      </c>
      <c r="U61" s="49">
        <f t="shared" si="8"/>
        <v>14</v>
      </c>
      <c r="V61" s="3" t="s">
        <v>52</v>
      </c>
      <c r="W61" s="3"/>
      <c r="X61" s="3">
        <v>12</v>
      </c>
      <c r="Y61" s="2">
        <v>12</v>
      </c>
    </row>
    <row r="62" spans="1:25" ht="38.25" customHeight="1" x14ac:dyDescent="0.2">
      <c r="A62" s="9">
        <v>53</v>
      </c>
      <c r="B62" s="2" t="s">
        <v>565</v>
      </c>
      <c r="C62" s="9" t="s">
        <v>559</v>
      </c>
      <c r="D62" s="9" t="s">
        <v>566</v>
      </c>
      <c r="E62" s="9" t="s">
        <v>412</v>
      </c>
      <c r="F62" s="71">
        <f t="shared" si="0"/>
        <v>3</v>
      </c>
      <c r="G62" s="9">
        <v>3</v>
      </c>
      <c r="H62" s="9">
        <v>0</v>
      </c>
      <c r="I62" s="9">
        <v>0</v>
      </c>
      <c r="J62" s="71">
        <f t="shared" si="1"/>
        <v>3</v>
      </c>
      <c r="K62" s="9"/>
      <c r="L62" s="9"/>
      <c r="M62" s="9"/>
      <c r="N62" s="71">
        <f t="shared" si="2"/>
        <v>0</v>
      </c>
      <c r="O62" s="2" t="s">
        <v>61</v>
      </c>
      <c r="P62" s="42">
        <f>SUM(X26:X49)</f>
        <v>220</v>
      </c>
      <c r="Q62" s="1">
        <v>11</v>
      </c>
      <c r="R62" s="1" t="s">
        <v>405</v>
      </c>
      <c r="S62" s="46">
        <v>937942</v>
      </c>
      <c r="T62" s="49">
        <f t="shared" si="7"/>
        <v>5</v>
      </c>
      <c r="U62" s="49">
        <f t="shared" si="8"/>
        <v>26</v>
      </c>
      <c r="V62" s="3" t="s">
        <v>52</v>
      </c>
      <c r="W62" s="3"/>
      <c r="X62" s="3">
        <v>12</v>
      </c>
      <c r="Y62" s="2">
        <v>12</v>
      </c>
    </row>
    <row r="63" spans="1:25" ht="38.25" customHeight="1" x14ac:dyDescent="0.2">
      <c r="A63" s="9">
        <v>54</v>
      </c>
      <c r="B63" s="2" t="s">
        <v>567</v>
      </c>
      <c r="C63" s="9" t="s">
        <v>559</v>
      </c>
      <c r="D63" s="9" t="s">
        <v>568</v>
      </c>
      <c r="E63" s="9" t="s">
        <v>399</v>
      </c>
      <c r="F63" s="71">
        <f t="shared" si="0"/>
        <v>3</v>
      </c>
      <c r="G63" s="9">
        <v>2</v>
      </c>
      <c r="H63" s="9">
        <v>1</v>
      </c>
      <c r="I63" s="9">
        <v>0</v>
      </c>
      <c r="J63" s="71">
        <f t="shared" si="1"/>
        <v>3</v>
      </c>
      <c r="K63" s="9"/>
      <c r="L63" s="9"/>
      <c r="M63" s="9"/>
      <c r="N63" s="71">
        <f t="shared" si="2"/>
        <v>0</v>
      </c>
      <c r="O63" s="72" t="s">
        <v>62</v>
      </c>
      <c r="P63" s="304">
        <f>P61/P62</f>
        <v>2.0499999999999998</v>
      </c>
      <c r="Q63" s="1">
        <v>12</v>
      </c>
      <c r="R63" s="1" t="s">
        <v>413</v>
      </c>
      <c r="S63" s="46">
        <v>961594</v>
      </c>
      <c r="T63" s="49">
        <f t="shared" si="7"/>
        <v>5</v>
      </c>
      <c r="U63" s="49">
        <f t="shared" si="8"/>
        <v>17</v>
      </c>
      <c r="V63" s="3" t="s">
        <v>52</v>
      </c>
      <c r="W63" s="3"/>
      <c r="X63" s="3">
        <v>8</v>
      </c>
      <c r="Y63" s="2">
        <v>8</v>
      </c>
    </row>
    <row r="64" spans="1:25" ht="38.25" customHeight="1" x14ac:dyDescent="0.2">
      <c r="A64" s="9">
        <v>55</v>
      </c>
      <c r="B64" s="2" t="s">
        <v>569</v>
      </c>
      <c r="C64" s="9" t="s">
        <v>570</v>
      </c>
      <c r="D64" s="9" t="s">
        <v>571</v>
      </c>
      <c r="E64" s="9" t="s">
        <v>434</v>
      </c>
      <c r="F64" s="71">
        <f t="shared" si="0"/>
        <v>7</v>
      </c>
      <c r="G64" s="9">
        <v>3</v>
      </c>
      <c r="H64" s="9">
        <v>1</v>
      </c>
      <c r="I64" s="9">
        <v>3</v>
      </c>
      <c r="J64" s="71">
        <f t="shared" si="1"/>
        <v>7</v>
      </c>
      <c r="K64" s="9"/>
      <c r="L64" s="9"/>
      <c r="M64" s="9"/>
      <c r="N64" s="71">
        <f t="shared" si="2"/>
        <v>0</v>
      </c>
      <c r="O64" s="372" t="s">
        <v>75</v>
      </c>
      <c r="P64" s="373"/>
      <c r="Q64" s="1">
        <v>13</v>
      </c>
      <c r="R64" s="1" t="s">
        <v>414</v>
      </c>
      <c r="S64" s="46">
        <v>788972</v>
      </c>
      <c r="T64" s="49">
        <f t="shared" si="7"/>
        <v>4</v>
      </c>
      <c r="U64" s="49">
        <f t="shared" si="8"/>
        <v>20</v>
      </c>
      <c r="V64" s="3" t="s">
        <v>52</v>
      </c>
      <c r="W64" s="3"/>
      <c r="X64" s="3">
        <v>8</v>
      </c>
      <c r="Y64" s="2">
        <v>8</v>
      </c>
    </row>
    <row r="65" spans="1:25" ht="38.25" customHeight="1" x14ac:dyDescent="0.2">
      <c r="A65" s="9">
        <v>56</v>
      </c>
      <c r="B65" s="2" t="s">
        <v>572</v>
      </c>
      <c r="C65" s="9" t="s">
        <v>573</v>
      </c>
      <c r="D65" s="9" t="s">
        <v>574</v>
      </c>
      <c r="E65" s="9" t="s">
        <v>443</v>
      </c>
      <c r="F65" s="71">
        <f t="shared" si="0"/>
        <v>0</v>
      </c>
      <c r="G65" s="9">
        <v>0</v>
      </c>
      <c r="H65" s="9">
        <v>0</v>
      </c>
      <c r="I65" s="9">
        <v>0</v>
      </c>
      <c r="J65" s="71">
        <f t="shared" si="1"/>
        <v>0</v>
      </c>
      <c r="K65" s="9"/>
      <c r="L65" s="9"/>
      <c r="M65" s="9"/>
      <c r="N65" s="71">
        <f t="shared" si="2"/>
        <v>0</v>
      </c>
      <c r="O65" s="2" t="s">
        <v>8</v>
      </c>
      <c r="P65" s="42">
        <f>SUM(U52:U75)</f>
        <v>293</v>
      </c>
      <c r="Q65" s="1">
        <v>14</v>
      </c>
      <c r="R65" s="1"/>
      <c r="S65" s="46"/>
      <c r="T65" s="49">
        <f t="shared" si="7"/>
        <v>0</v>
      </c>
      <c r="U65" s="49">
        <f t="shared" si="8"/>
        <v>0</v>
      </c>
      <c r="V65" s="3"/>
      <c r="W65" s="3"/>
      <c r="X65" s="3"/>
      <c r="Y65" s="2"/>
    </row>
    <row r="66" spans="1:25" ht="38.25" customHeight="1" x14ac:dyDescent="0.2">
      <c r="A66" s="9">
        <v>57</v>
      </c>
      <c r="B66" s="2" t="s">
        <v>575</v>
      </c>
      <c r="C66" s="9" t="s">
        <v>573</v>
      </c>
      <c r="D66" s="9" t="s">
        <v>576</v>
      </c>
      <c r="E66" s="9" t="s">
        <v>397</v>
      </c>
      <c r="F66" s="71">
        <f t="shared" si="0"/>
        <v>4</v>
      </c>
      <c r="G66" s="9">
        <v>4</v>
      </c>
      <c r="H66" s="9">
        <v>0</v>
      </c>
      <c r="I66" s="9">
        <v>0</v>
      </c>
      <c r="J66" s="71">
        <f t="shared" si="1"/>
        <v>4</v>
      </c>
      <c r="K66" s="9"/>
      <c r="L66" s="9"/>
      <c r="M66" s="9"/>
      <c r="N66" s="71">
        <f t="shared" si="2"/>
        <v>0</v>
      </c>
      <c r="O66" s="2" t="s">
        <v>61</v>
      </c>
      <c r="P66" s="42">
        <f>SUM(X52:X75)</f>
        <v>148</v>
      </c>
      <c r="Q66" s="1">
        <v>15</v>
      </c>
      <c r="R66" s="1"/>
      <c r="S66" s="46"/>
      <c r="T66" s="49">
        <f t="shared" si="7"/>
        <v>0</v>
      </c>
      <c r="U66" s="49">
        <f t="shared" si="8"/>
        <v>0</v>
      </c>
      <c r="V66" s="3"/>
      <c r="W66" s="3"/>
      <c r="X66" s="3"/>
      <c r="Y66" s="2"/>
    </row>
    <row r="67" spans="1:25" ht="38.25" customHeight="1" x14ac:dyDescent="0.2">
      <c r="A67" s="9">
        <v>58</v>
      </c>
      <c r="B67" s="2" t="s">
        <v>577</v>
      </c>
      <c r="C67" s="9" t="s">
        <v>578</v>
      </c>
      <c r="D67" s="9" t="s">
        <v>579</v>
      </c>
      <c r="E67" s="9" t="s">
        <v>430</v>
      </c>
      <c r="F67" s="71">
        <f t="shared" si="0"/>
        <v>3</v>
      </c>
      <c r="G67" s="9">
        <v>2</v>
      </c>
      <c r="H67" s="9">
        <v>1</v>
      </c>
      <c r="I67" s="9">
        <v>0</v>
      </c>
      <c r="J67" s="71">
        <f t="shared" si="1"/>
        <v>3</v>
      </c>
      <c r="K67" s="9"/>
      <c r="L67" s="9"/>
      <c r="M67" s="9"/>
      <c r="N67" s="71">
        <f t="shared" si="2"/>
        <v>0</v>
      </c>
      <c r="O67" s="72" t="s">
        <v>62</v>
      </c>
      <c r="P67" s="304">
        <f>P65/P66</f>
        <v>1.9797297297297298</v>
      </c>
      <c r="Q67" s="1">
        <v>16</v>
      </c>
      <c r="R67" s="1"/>
      <c r="S67" s="46"/>
      <c r="T67" s="49">
        <f t="shared" si="7"/>
        <v>0</v>
      </c>
      <c r="U67" s="49">
        <f t="shared" si="8"/>
        <v>0</v>
      </c>
      <c r="V67" s="3"/>
      <c r="W67" s="3"/>
      <c r="X67" s="3"/>
      <c r="Y67" s="2"/>
    </row>
    <row r="68" spans="1:25" ht="38.25" customHeight="1" x14ac:dyDescent="0.2">
      <c r="A68" s="9">
        <v>59</v>
      </c>
      <c r="B68" s="2" t="s">
        <v>580</v>
      </c>
      <c r="C68" s="9" t="s">
        <v>581</v>
      </c>
      <c r="D68" s="9" t="s">
        <v>582</v>
      </c>
      <c r="E68" s="9" t="s">
        <v>397</v>
      </c>
      <c r="F68" s="71">
        <f t="shared" si="0"/>
        <v>2</v>
      </c>
      <c r="G68" s="9">
        <v>0</v>
      </c>
      <c r="H68" s="9">
        <v>0</v>
      </c>
      <c r="I68" s="9">
        <v>2</v>
      </c>
      <c r="J68" s="71">
        <f t="shared" si="1"/>
        <v>2</v>
      </c>
      <c r="K68" s="9"/>
      <c r="L68" s="9"/>
      <c r="M68" s="9"/>
      <c r="N68" s="71">
        <f t="shared" si="2"/>
        <v>0</v>
      </c>
      <c r="O68" s="372" t="s">
        <v>76</v>
      </c>
      <c r="P68" s="373"/>
      <c r="Q68" s="1">
        <v>17</v>
      </c>
      <c r="R68" s="1"/>
      <c r="S68" s="46"/>
      <c r="T68" s="49">
        <f t="shared" si="7"/>
        <v>0</v>
      </c>
      <c r="U68" s="49">
        <f t="shared" si="8"/>
        <v>0</v>
      </c>
      <c r="V68" s="3"/>
      <c r="W68" s="3"/>
      <c r="X68" s="3"/>
      <c r="Y68" s="2"/>
    </row>
    <row r="69" spans="1:25" ht="38.25" customHeight="1" x14ac:dyDescent="0.2">
      <c r="A69" s="9">
        <v>60</v>
      </c>
      <c r="B69" s="2" t="s">
        <v>583</v>
      </c>
      <c r="C69" s="9" t="s">
        <v>584</v>
      </c>
      <c r="D69" s="9" t="s">
        <v>585</v>
      </c>
      <c r="E69" s="9" t="s">
        <v>404</v>
      </c>
      <c r="F69" s="71">
        <f t="shared" si="0"/>
        <v>3</v>
      </c>
      <c r="G69" s="9">
        <v>1</v>
      </c>
      <c r="H69" s="9">
        <v>0</v>
      </c>
      <c r="I69" s="9">
        <v>2</v>
      </c>
      <c r="J69" s="71">
        <f t="shared" si="1"/>
        <v>3</v>
      </c>
      <c r="K69" s="9"/>
      <c r="L69" s="9"/>
      <c r="M69" s="9"/>
      <c r="N69" s="71">
        <f t="shared" si="2"/>
        <v>0</v>
      </c>
      <c r="O69" s="2" t="s">
        <v>8</v>
      </c>
      <c r="P69" s="42">
        <f>SUM(U78:U84)</f>
        <v>78</v>
      </c>
      <c r="Q69" s="1">
        <v>18</v>
      </c>
      <c r="R69" s="1"/>
      <c r="S69" s="46"/>
      <c r="T69" s="49">
        <f t="shared" si="7"/>
        <v>0</v>
      </c>
      <c r="U69" s="49">
        <f t="shared" si="8"/>
        <v>0</v>
      </c>
      <c r="V69" s="3"/>
      <c r="W69" s="3"/>
      <c r="X69" s="3"/>
      <c r="Y69" s="2"/>
    </row>
    <row r="70" spans="1:25" ht="38.25" customHeight="1" x14ac:dyDescent="0.2">
      <c r="A70" s="9">
        <v>61</v>
      </c>
      <c r="B70" s="2" t="s">
        <v>586</v>
      </c>
      <c r="C70" s="9" t="s">
        <v>584</v>
      </c>
      <c r="D70" s="9" t="s">
        <v>587</v>
      </c>
      <c r="E70" s="9" t="s">
        <v>429</v>
      </c>
      <c r="F70" s="71">
        <f t="shared" si="0"/>
        <v>1</v>
      </c>
      <c r="G70" s="9">
        <v>1</v>
      </c>
      <c r="H70" s="9">
        <v>0</v>
      </c>
      <c r="I70" s="9">
        <v>0</v>
      </c>
      <c r="J70" s="71">
        <f t="shared" si="1"/>
        <v>1</v>
      </c>
      <c r="K70" s="9"/>
      <c r="L70" s="9"/>
      <c r="M70" s="9"/>
      <c r="N70" s="71">
        <f t="shared" si="2"/>
        <v>0</v>
      </c>
      <c r="O70" s="2" t="s">
        <v>61</v>
      </c>
      <c r="P70" s="42">
        <f>SUM(X78:X84)</f>
        <v>54</v>
      </c>
      <c r="Q70" s="1">
        <v>19</v>
      </c>
      <c r="R70" s="1"/>
      <c r="S70" s="46"/>
      <c r="T70" s="49">
        <f t="shared" si="7"/>
        <v>0</v>
      </c>
      <c r="U70" s="49">
        <f t="shared" si="8"/>
        <v>0</v>
      </c>
      <c r="V70" s="3"/>
      <c r="W70" s="3"/>
      <c r="X70" s="3"/>
      <c r="Y70" s="2"/>
    </row>
    <row r="71" spans="1:25" ht="38.25" customHeight="1" x14ac:dyDescent="0.2">
      <c r="A71" s="9">
        <v>62</v>
      </c>
      <c r="B71" s="2" t="s">
        <v>588</v>
      </c>
      <c r="C71" s="9" t="s">
        <v>589</v>
      </c>
      <c r="D71" s="9" t="s">
        <v>590</v>
      </c>
      <c r="E71" s="9" t="s">
        <v>443</v>
      </c>
      <c r="F71" s="71">
        <f t="shared" si="0"/>
        <v>0</v>
      </c>
      <c r="G71" s="9">
        <v>0</v>
      </c>
      <c r="H71" s="9">
        <v>0</v>
      </c>
      <c r="I71" s="9">
        <v>0</v>
      </c>
      <c r="J71" s="71">
        <f t="shared" si="1"/>
        <v>0</v>
      </c>
      <c r="K71" s="9"/>
      <c r="L71" s="9"/>
      <c r="M71" s="9"/>
      <c r="N71" s="71">
        <f t="shared" si="2"/>
        <v>0</v>
      </c>
      <c r="O71" s="72" t="s">
        <v>62</v>
      </c>
      <c r="P71" s="304">
        <f>P69/P70</f>
        <v>1.4444444444444444</v>
      </c>
      <c r="Q71" s="1">
        <v>20</v>
      </c>
      <c r="R71" s="1"/>
      <c r="S71" s="46"/>
      <c r="T71" s="49">
        <f t="shared" si="7"/>
        <v>0</v>
      </c>
      <c r="U71" s="49">
        <f t="shared" si="8"/>
        <v>0</v>
      </c>
      <c r="V71" s="3"/>
      <c r="W71" s="3"/>
      <c r="X71" s="3"/>
      <c r="Y71" s="2"/>
    </row>
    <row r="72" spans="1:25" ht="38.25" customHeight="1" x14ac:dyDescent="0.2">
      <c r="A72" s="9">
        <v>63</v>
      </c>
      <c r="B72" s="2" t="s">
        <v>591</v>
      </c>
      <c r="C72" s="9" t="s">
        <v>592</v>
      </c>
      <c r="D72" s="9" t="s">
        <v>593</v>
      </c>
      <c r="E72" s="9" t="s">
        <v>412</v>
      </c>
      <c r="F72" s="71">
        <f t="shared" si="0"/>
        <v>1</v>
      </c>
      <c r="G72" s="9">
        <v>0</v>
      </c>
      <c r="H72" s="9">
        <v>1</v>
      </c>
      <c r="I72" s="9">
        <v>0</v>
      </c>
      <c r="J72" s="71">
        <f t="shared" si="1"/>
        <v>1</v>
      </c>
      <c r="K72" s="9"/>
      <c r="L72" s="9"/>
      <c r="M72" s="9"/>
      <c r="N72" s="71">
        <f t="shared" si="2"/>
        <v>0</v>
      </c>
      <c r="O72" s="2"/>
      <c r="P72" s="42"/>
      <c r="Q72" s="1">
        <v>21</v>
      </c>
      <c r="R72" s="1"/>
      <c r="S72" s="46"/>
      <c r="T72" s="49">
        <f t="shared" si="7"/>
        <v>0</v>
      </c>
      <c r="U72" s="49">
        <f t="shared" si="8"/>
        <v>0</v>
      </c>
      <c r="V72" s="3"/>
      <c r="W72" s="3"/>
      <c r="X72" s="3"/>
      <c r="Y72" s="2"/>
    </row>
    <row r="73" spans="1:25" ht="38.25" customHeight="1" x14ac:dyDescent="0.2">
      <c r="A73" s="9">
        <v>64</v>
      </c>
      <c r="B73" s="2" t="s">
        <v>594</v>
      </c>
      <c r="C73" s="9" t="s">
        <v>592</v>
      </c>
      <c r="D73" s="9" t="s">
        <v>477</v>
      </c>
      <c r="E73" s="9" t="s">
        <v>408</v>
      </c>
      <c r="F73" s="71">
        <f t="shared" si="0"/>
        <v>1</v>
      </c>
      <c r="G73" s="9">
        <v>0</v>
      </c>
      <c r="H73" s="9">
        <v>0</v>
      </c>
      <c r="I73" s="9">
        <v>1</v>
      </c>
      <c r="J73" s="71">
        <f t="shared" si="1"/>
        <v>1</v>
      </c>
      <c r="K73" s="9"/>
      <c r="L73" s="9"/>
      <c r="M73" s="9"/>
      <c r="N73" s="71">
        <f t="shared" si="2"/>
        <v>0</v>
      </c>
      <c r="O73" s="372" t="s">
        <v>77</v>
      </c>
      <c r="P73" s="373"/>
      <c r="Q73" s="1">
        <v>22</v>
      </c>
      <c r="R73" s="1"/>
      <c r="S73" s="46"/>
      <c r="T73" s="49">
        <f t="shared" si="7"/>
        <v>0</v>
      </c>
      <c r="U73" s="49">
        <f t="shared" si="8"/>
        <v>0</v>
      </c>
      <c r="V73" s="3"/>
      <c r="W73" s="3"/>
      <c r="X73" s="3"/>
      <c r="Y73" s="2"/>
    </row>
    <row r="74" spans="1:25" ht="38.25" customHeight="1" x14ac:dyDescent="0.2">
      <c r="A74" s="9">
        <v>65</v>
      </c>
      <c r="B74" s="2" t="s">
        <v>595</v>
      </c>
      <c r="C74" s="9" t="s">
        <v>592</v>
      </c>
      <c r="D74" s="9" t="s">
        <v>596</v>
      </c>
      <c r="E74" s="9" t="s">
        <v>436</v>
      </c>
      <c r="F74" s="71">
        <f t="shared" si="0"/>
        <v>8</v>
      </c>
      <c r="G74" s="9">
        <v>2</v>
      </c>
      <c r="H74" s="9">
        <v>1</v>
      </c>
      <c r="I74" s="9">
        <v>5</v>
      </c>
      <c r="J74" s="71">
        <f t="shared" si="1"/>
        <v>8</v>
      </c>
      <c r="K74" s="9"/>
      <c r="L74" s="9"/>
      <c r="M74" s="9"/>
      <c r="N74" s="71">
        <f t="shared" si="2"/>
        <v>0</v>
      </c>
      <c r="O74" s="2" t="s">
        <v>8</v>
      </c>
      <c r="P74" s="42">
        <f>SUM(U87:U95)</f>
        <v>44</v>
      </c>
      <c r="Q74" s="1">
        <v>23</v>
      </c>
      <c r="R74" s="1"/>
      <c r="S74" s="46"/>
      <c r="T74" s="49">
        <f t="shared" si="7"/>
        <v>0</v>
      </c>
      <c r="U74" s="49">
        <f t="shared" si="8"/>
        <v>0</v>
      </c>
      <c r="V74" s="3"/>
      <c r="W74" s="3"/>
      <c r="X74" s="3"/>
      <c r="Y74" s="2"/>
    </row>
    <row r="75" spans="1:25" ht="38.25" customHeight="1" x14ac:dyDescent="0.2">
      <c r="A75" s="9">
        <v>66</v>
      </c>
      <c r="B75" s="2" t="s">
        <v>597</v>
      </c>
      <c r="C75" s="9" t="s">
        <v>598</v>
      </c>
      <c r="D75" s="9" t="s">
        <v>599</v>
      </c>
      <c r="E75" s="9" t="s">
        <v>399</v>
      </c>
      <c r="F75" s="71">
        <f t="shared" si="0"/>
        <v>2</v>
      </c>
      <c r="G75" s="9">
        <v>1</v>
      </c>
      <c r="H75" s="9">
        <v>0</v>
      </c>
      <c r="I75" s="9">
        <v>1</v>
      </c>
      <c r="J75" s="71">
        <f t="shared" si="1"/>
        <v>2</v>
      </c>
      <c r="K75" s="9"/>
      <c r="L75" s="9"/>
      <c r="M75" s="9"/>
      <c r="N75" s="71">
        <f t="shared" si="2"/>
        <v>0</v>
      </c>
      <c r="O75" s="2" t="s">
        <v>61</v>
      </c>
      <c r="P75" s="42">
        <f>SUM(X87:X95)</f>
        <v>12</v>
      </c>
      <c r="Q75" s="1">
        <v>24</v>
      </c>
      <c r="R75" s="1"/>
      <c r="S75" s="46"/>
      <c r="T75" s="49">
        <f t="shared" si="7"/>
        <v>0</v>
      </c>
      <c r="U75" s="49">
        <f t="shared" si="8"/>
        <v>0</v>
      </c>
      <c r="V75" s="3"/>
      <c r="W75" s="3"/>
      <c r="X75" s="3"/>
      <c r="Y75" s="2"/>
    </row>
    <row r="76" spans="1:25" ht="38.25" customHeight="1" x14ac:dyDescent="0.2">
      <c r="A76" s="9">
        <v>67</v>
      </c>
      <c r="B76" s="2" t="s">
        <v>600</v>
      </c>
      <c r="C76" s="9" t="s">
        <v>601</v>
      </c>
      <c r="D76" s="9" t="s">
        <v>553</v>
      </c>
      <c r="E76" s="9" t="s">
        <v>408</v>
      </c>
      <c r="F76" s="71">
        <f t="shared" si="0"/>
        <v>2</v>
      </c>
      <c r="G76" s="9">
        <v>1</v>
      </c>
      <c r="H76" s="9">
        <v>0</v>
      </c>
      <c r="I76" s="9">
        <v>1</v>
      </c>
      <c r="J76" s="71">
        <f t="shared" si="1"/>
        <v>2</v>
      </c>
      <c r="K76" s="9"/>
      <c r="L76" s="9"/>
      <c r="M76" s="9"/>
      <c r="N76" s="71">
        <f t="shared" si="2"/>
        <v>0</v>
      </c>
      <c r="O76" s="72" t="s">
        <v>62</v>
      </c>
      <c r="P76" s="304">
        <f>P74/P75</f>
        <v>3.6666666666666665</v>
      </c>
      <c r="Q76" s="363" t="s">
        <v>19</v>
      </c>
      <c r="R76" s="364"/>
      <c r="S76" s="365"/>
      <c r="T76" s="346">
        <f>SUM(T52:T75)</f>
        <v>70</v>
      </c>
      <c r="U76" s="346">
        <f>SUM(U52:U75)</f>
        <v>293</v>
      </c>
      <c r="V76" s="357">
        <f>COUNT(X52:X75)</f>
        <v>13</v>
      </c>
      <c r="W76" s="358"/>
      <c r="X76" s="358"/>
      <c r="Y76" s="359"/>
    </row>
    <row r="77" spans="1:25" ht="38.25" customHeight="1" x14ac:dyDescent="0.2">
      <c r="A77" s="9">
        <v>68</v>
      </c>
      <c r="B77" s="2"/>
      <c r="C77" s="9"/>
      <c r="D77" s="9"/>
      <c r="E77" s="9"/>
      <c r="F77" s="71">
        <f t="shared" si="0"/>
        <v>0</v>
      </c>
      <c r="G77" s="9"/>
      <c r="H77" s="9"/>
      <c r="I77" s="9"/>
      <c r="J77" s="71">
        <f t="shared" si="1"/>
        <v>0</v>
      </c>
      <c r="K77" s="9"/>
      <c r="L77" s="9"/>
      <c r="M77" s="9"/>
      <c r="N77" s="71">
        <f t="shared" si="2"/>
        <v>0</v>
      </c>
      <c r="O77" s="2"/>
      <c r="P77" s="42"/>
      <c r="Q77" s="367" t="s">
        <v>148</v>
      </c>
      <c r="R77" s="368"/>
      <c r="S77" s="368"/>
      <c r="T77" s="368"/>
      <c r="U77" s="368"/>
      <c r="V77" s="368"/>
      <c r="W77" s="368"/>
      <c r="X77" s="368"/>
      <c r="Y77" s="369"/>
    </row>
    <row r="78" spans="1:25" ht="38.25" customHeight="1" x14ac:dyDescent="0.2">
      <c r="A78" s="9">
        <v>69</v>
      </c>
      <c r="B78" s="2"/>
      <c r="C78" s="9"/>
      <c r="D78" s="9"/>
      <c r="E78" s="9"/>
      <c r="F78" s="71">
        <f t="shared" si="0"/>
        <v>0</v>
      </c>
      <c r="G78" s="9"/>
      <c r="H78" s="9"/>
      <c r="I78" s="9"/>
      <c r="J78" s="71">
        <f t="shared" si="1"/>
        <v>0</v>
      </c>
      <c r="K78" s="9"/>
      <c r="L78" s="9"/>
      <c r="M78" s="9"/>
      <c r="N78" s="71">
        <f t="shared" si="2"/>
        <v>0</v>
      </c>
      <c r="O78" s="422" t="s">
        <v>79</v>
      </c>
      <c r="P78" s="422"/>
      <c r="Q78" s="1">
        <v>1</v>
      </c>
      <c r="R78" s="1" t="s">
        <v>417</v>
      </c>
      <c r="S78" s="46">
        <v>969435</v>
      </c>
      <c r="T78" s="49">
        <f t="shared" si="7"/>
        <v>4</v>
      </c>
      <c r="U78" s="49">
        <f>SUMIFS($F$10:$F$565,$E$10:$E$565,R78)</f>
        <v>17</v>
      </c>
      <c r="V78" s="3" t="s">
        <v>53</v>
      </c>
      <c r="W78" s="3"/>
      <c r="X78" s="3">
        <v>12</v>
      </c>
      <c r="Y78" s="2">
        <v>12</v>
      </c>
    </row>
    <row r="79" spans="1:25" ht="38.25" customHeight="1" x14ac:dyDescent="0.2">
      <c r="A79" s="9">
        <v>70</v>
      </c>
      <c r="B79" s="2"/>
      <c r="C79" s="9"/>
      <c r="D79" s="9"/>
      <c r="E79" s="9"/>
      <c r="F79" s="71">
        <f t="shared" si="0"/>
        <v>0</v>
      </c>
      <c r="G79" s="9"/>
      <c r="H79" s="9"/>
      <c r="I79" s="9"/>
      <c r="J79" s="71">
        <f t="shared" si="1"/>
        <v>0</v>
      </c>
      <c r="K79" s="9"/>
      <c r="L79" s="9"/>
      <c r="M79" s="9"/>
      <c r="N79" s="71">
        <f t="shared" si="2"/>
        <v>0</v>
      </c>
      <c r="O79" s="71" t="s">
        <v>80</v>
      </c>
      <c r="P79" s="71" t="s">
        <v>81</v>
      </c>
      <c r="Q79" s="1">
        <v>2</v>
      </c>
      <c r="R79" s="1" t="s">
        <v>419</v>
      </c>
      <c r="S79" s="46">
        <v>954816</v>
      </c>
      <c r="T79" s="49">
        <f t="shared" si="7"/>
        <v>5</v>
      </c>
      <c r="U79" s="49">
        <f t="shared" si="8"/>
        <v>21</v>
      </c>
      <c r="V79" s="3" t="s">
        <v>53</v>
      </c>
      <c r="W79" s="3"/>
      <c r="X79" s="3">
        <v>12</v>
      </c>
      <c r="Y79" s="2">
        <v>12</v>
      </c>
    </row>
    <row r="80" spans="1:25" ht="38.25" customHeight="1" x14ac:dyDescent="0.2">
      <c r="A80" s="9">
        <v>71</v>
      </c>
      <c r="B80" s="2"/>
      <c r="C80" s="9"/>
      <c r="D80" s="9"/>
      <c r="E80" s="9"/>
      <c r="F80" s="71">
        <f t="shared" si="0"/>
        <v>0</v>
      </c>
      <c r="G80" s="9"/>
      <c r="H80" s="9"/>
      <c r="I80" s="9"/>
      <c r="J80" s="71">
        <f t="shared" si="1"/>
        <v>0</v>
      </c>
      <c r="K80" s="9"/>
      <c r="L80" s="9"/>
      <c r="M80" s="9"/>
      <c r="N80" s="71">
        <f t="shared" si="2"/>
        <v>0</v>
      </c>
      <c r="O80" s="11" t="s">
        <v>82</v>
      </c>
      <c r="P80" s="144">
        <v>40</v>
      </c>
      <c r="Q80" s="1">
        <v>3</v>
      </c>
      <c r="R80" s="1" t="s">
        <v>418</v>
      </c>
      <c r="S80" s="46">
        <v>953657</v>
      </c>
      <c r="T80" s="49">
        <f t="shared" si="7"/>
        <v>4</v>
      </c>
      <c r="U80" s="49">
        <f t="shared" si="8"/>
        <v>18</v>
      </c>
      <c r="V80" s="3" t="s">
        <v>53</v>
      </c>
      <c r="W80" s="3"/>
      <c r="X80" s="3">
        <v>12</v>
      </c>
      <c r="Y80" s="2">
        <v>12</v>
      </c>
    </row>
    <row r="81" spans="1:25" ht="38.25" customHeight="1" x14ac:dyDescent="0.2">
      <c r="A81" s="9">
        <v>72</v>
      </c>
      <c r="B81" s="2"/>
      <c r="C81" s="9"/>
      <c r="D81" s="9"/>
      <c r="E81" s="9"/>
      <c r="F81" s="71">
        <f t="shared" si="0"/>
        <v>0</v>
      </c>
      <c r="G81" s="9"/>
      <c r="H81" s="9"/>
      <c r="I81" s="9"/>
      <c r="J81" s="71">
        <f t="shared" si="1"/>
        <v>0</v>
      </c>
      <c r="K81" s="9"/>
      <c r="L81" s="9"/>
      <c r="M81" s="9"/>
      <c r="N81" s="71">
        <f t="shared" si="2"/>
        <v>0</v>
      </c>
      <c r="O81" s="11" t="s">
        <v>83</v>
      </c>
      <c r="P81" s="144">
        <v>40</v>
      </c>
      <c r="Q81" s="1">
        <v>4</v>
      </c>
      <c r="R81" s="1" t="s">
        <v>420</v>
      </c>
      <c r="S81" s="46">
        <v>904878</v>
      </c>
      <c r="T81" s="49">
        <f t="shared" si="7"/>
        <v>5</v>
      </c>
      <c r="U81" s="49">
        <f t="shared" si="8"/>
        <v>22</v>
      </c>
      <c r="V81" s="3" t="s">
        <v>53</v>
      </c>
      <c r="W81" s="3"/>
      <c r="X81" s="3">
        <v>12</v>
      </c>
      <c r="Y81" s="2">
        <v>12</v>
      </c>
    </row>
    <row r="82" spans="1:25" ht="38.25" customHeight="1" x14ac:dyDescent="0.2">
      <c r="A82" s="9">
        <v>73</v>
      </c>
      <c r="B82" s="2"/>
      <c r="C82" s="9"/>
      <c r="D82" s="9"/>
      <c r="E82" s="9"/>
      <c r="F82" s="71">
        <f t="shared" si="0"/>
        <v>0</v>
      </c>
      <c r="G82" s="9"/>
      <c r="H82" s="9"/>
      <c r="I82" s="9"/>
      <c r="J82" s="71">
        <f t="shared" si="1"/>
        <v>0</v>
      </c>
      <c r="K82" s="9"/>
      <c r="L82" s="9"/>
      <c r="M82" s="9"/>
      <c r="N82" s="71">
        <f t="shared" si="2"/>
        <v>0</v>
      </c>
      <c r="O82" s="11" t="s">
        <v>84</v>
      </c>
      <c r="P82" s="348">
        <v>20</v>
      </c>
      <c r="Q82" s="1">
        <v>5</v>
      </c>
      <c r="R82" s="1"/>
      <c r="S82" s="46"/>
      <c r="T82" s="49">
        <f t="shared" si="7"/>
        <v>0</v>
      </c>
      <c r="U82" s="49">
        <f t="shared" si="8"/>
        <v>0</v>
      </c>
      <c r="V82" s="3" t="s">
        <v>53</v>
      </c>
      <c r="W82" s="3"/>
      <c r="X82" s="3">
        <v>3</v>
      </c>
      <c r="Y82" s="2">
        <v>3</v>
      </c>
    </row>
    <row r="83" spans="1:25" ht="38.25" customHeight="1" x14ac:dyDescent="0.2">
      <c r="A83" s="9">
        <v>74</v>
      </c>
      <c r="B83" s="2"/>
      <c r="C83" s="9"/>
      <c r="D83" s="9"/>
      <c r="E83" s="9"/>
      <c r="F83" s="71">
        <f t="shared" si="0"/>
        <v>0</v>
      </c>
      <c r="G83" s="9"/>
      <c r="H83" s="9"/>
      <c r="I83" s="9"/>
      <c r="J83" s="71">
        <f t="shared" si="1"/>
        <v>0</v>
      </c>
      <c r="K83" s="9"/>
      <c r="L83" s="9"/>
      <c r="M83" s="9"/>
      <c r="N83" s="71">
        <f t="shared" si="2"/>
        <v>0</v>
      </c>
      <c r="O83" s="42" t="s">
        <v>85</v>
      </c>
      <c r="P83" s="144">
        <v>0</v>
      </c>
      <c r="Q83" s="1">
        <v>6</v>
      </c>
      <c r="R83" s="1"/>
      <c r="S83" s="46"/>
      <c r="T83" s="49">
        <f t="shared" si="7"/>
        <v>0</v>
      </c>
      <c r="U83" s="49">
        <f t="shared" si="8"/>
        <v>0</v>
      </c>
      <c r="V83" s="3" t="s">
        <v>53</v>
      </c>
      <c r="W83" s="3"/>
      <c r="X83" s="3">
        <v>3</v>
      </c>
      <c r="Y83" s="2">
        <v>3</v>
      </c>
    </row>
    <row r="84" spans="1:25" ht="38.25" customHeight="1" x14ac:dyDescent="0.2">
      <c r="A84" s="9">
        <v>75</v>
      </c>
      <c r="B84" s="2"/>
      <c r="C84" s="9"/>
      <c r="D84" s="9"/>
      <c r="E84" s="9"/>
      <c r="F84" s="71">
        <f t="shared" si="0"/>
        <v>0</v>
      </c>
      <c r="G84" s="9"/>
      <c r="H84" s="9"/>
      <c r="I84" s="9"/>
      <c r="J84" s="71">
        <f t="shared" si="1"/>
        <v>0</v>
      </c>
      <c r="K84" s="9"/>
      <c r="L84" s="9"/>
      <c r="M84" s="9"/>
      <c r="N84" s="71">
        <f t="shared" si="2"/>
        <v>0</v>
      </c>
      <c r="O84" s="42" t="s">
        <v>37</v>
      </c>
      <c r="P84" s="144">
        <v>20</v>
      </c>
      <c r="Q84" s="1">
        <v>7</v>
      </c>
      <c r="R84" s="1"/>
      <c r="S84" s="46"/>
      <c r="T84" s="49">
        <f t="shared" si="7"/>
        <v>0</v>
      </c>
      <c r="U84" s="49">
        <f t="shared" si="8"/>
        <v>0</v>
      </c>
      <c r="V84" s="3"/>
      <c r="W84" s="3"/>
      <c r="X84" s="3"/>
      <c r="Y84" s="2"/>
    </row>
    <row r="85" spans="1:25" ht="38.25" customHeight="1" x14ac:dyDescent="0.2">
      <c r="A85" s="9">
        <v>76</v>
      </c>
      <c r="B85" s="2"/>
      <c r="C85" s="9"/>
      <c r="D85" s="9"/>
      <c r="E85" s="9"/>
      <c r="F85" s="71">
        <f t="shared" si="0"/>
        <v>0</v>
      </c>
      <c r="G85" s="9"/>
      <c r="H85" s="9"/>
      <c r="I85" s="9"/>
      <c r="J85" s="71">
        <f t="shared" si="1"/>
        <v>0</v>
      </c>
      <c r="K85" s="9"/>
      <c r="L85" s="9"/>
      <c r="M85" s="9"/>
      <c r="N85" s="71">
        <f t="shared" si="2"/>
        <v>0</v>
      </c>
      <c r="O85" s="42" t="s">
        <v>86</v>
      </c>
      <c r="P85" s="144">
        <v>50</v>
      </c>
      <c r="Q85" s="356" t="s">
        <v>19</v>
      </c>
      <c r="R85" s="356"/>
      <c r="S85" s="356"/>
      <c r="T85" s="347">
        <f>SUM(T78:T84)</f>
        <v>18</v>
      </c>
      <c r="U85" s="347">
        <f>SUM(U78:U84)</f>
        <v>78</v>
      </c>
      <c r="V85" s="366">
        <f>COUNT(X78:X84)</f>
        <v>6</v>
      </c>
      <c r="W85" s="366"/>
      <c r="X85" s="366"/>
      <c r="Y85" s="366"/>
    </row>
    <row r="86" spans="1:25" ht="38.25" customHeight="1" x14ac:dyDescent="0.2">
      <c r="A86" s="9">
        <v>77</v>
      </c>
      <c r="B86" s="2"/>
      <c r="C86" s="9"/>
      <c r="D86" s="9"/>
      <c r="E86" s="9"/>
      <c r="F86" s="71">
        <f t="shared" si="0"/>
        <v>0</v>
      </c>
      <c r="G86" s="9"/>
      <c r="H86" s="9"/>
      <c r="I86" s="9"/>
      <c r="J86" s="71">
        <f t="shared" si="1"/>
        <v>0</v>
      </c>
      <c r="K86" s="9"/>
      <c r="L86" s="9"/>
      <c r="M86" s="9"/>
      <c r="N86" s="71">
        <f t="shared" si="2"/>
        <v>0</v>
      </c>
      <c r="O86" s="42" t="s">
        <v>87</v>
      </c>
      <c r="P86" s="144">
        <v>0</v>
      </c>
      <c r="Q86" s="363" t="s">
        <v>149</v>
      </c>
      <c r="R86" s="364"/>
      <c r="S86" s="364"/>
      <c r="T86" s="364"/>
      <c r="U86" s="364"/>
      <c r="V86" s="364"/>
      <c r="W86" s="364"/>
      <c r="X86" s="364"/>
      <c r="Y86" s="365"/>
    </row>
    <row r="87" spans="1:25" ht="38.25" customHeight="1" x14ac:dyDescent="0.2">
      <c r="A87" s="9">
        <v>78</v>
      </c>
      <c r="B87" s="2"/>
      <c r="C87" s="9"/>
      <c r="D87" s="9"/>
      <c r="E87" s="9"/>
      <c r="F87" s="71">
        <f t="shared" si="0"/>
        <v>0</v>
      </c>
      <c r="G87" s="9"/>
      <c r="H87" s="9"/>
      <c r="I87" s="9"/>
      <c r="J87" s="71">
        <f t="shared" si="1"/>
        <v>0</v>
      </c>
      <c r="K87" s="9"/>
      <c r="L87" s="9"/>
      <c r="M87" s="9"/>
      <c r="N87" s="71">
        <f t="shared" si="2"/>
        <v>0</v>
      </c>
      <c r="O87" s="336" t="s">
        <v>89</v>
      </c>
      <c r="P87" s="42">
        <f>SUM(P80:P86)</f>
        <v>170</v>
      </c>
      <c r="Q87" s="1">
        <v>1</v>
      </c>
      <c r="R87" s="1" t="s">
        <v>416</v>
      </c>
      <c r="S87" s="46">
        <v>914055</v>
      </c>
      <c r="T87" s="49">
        <f>COUNTIF($E$10:$E$565,R87)</f>
        <v>7</v>
      </c>
      <c r="U87" s="49">
        <f>SUMIFS($F$10:$F$565,$E$10:$E$565,R87)</f>
        <v>44</v>
      </c>
      <c r="V87" s="3" t="s">
        <v>55</v>
      </c>
      <c r="W87" s="3"/>
      <c r="X87" s="3">
        <v>12</v>
      </c>
      <c r="Y87" s="2">
        <v>12</v>
      </c>
    </row>
    <row r="88" spans="1:25" ht="38.25" customHeight="1" x14ac:dyDescent="0.2">
      <c r="A88" s="9">
        <v>79</v>
      </c>
      <c r="B88" s="2"/>
      <c r="C88" s="9"/>
      <c r="D88" s="9"/>
      <c r="E88" s="9"/>
      <c r="F88" s="71">
        <f t="shared" si="0"/>
        <v>0</v>
      </c>
      <c r="G88" s="9"/>
      <c r="H88" s="9"/>
      <c r="I88" s="9"/>
      <c r="J88" s="71">
        <f t="shared" si="1"/>
        <v>0</v>
      </c>
      <c r="K88" s="9"/>
      <c r="L88" s="9"/>
      <c r="M88" s="9"/>
      <c r="N88" s="71">
        <f t="shared" si="2"/>
        <v>0</v>
      </c>
      <c r="O88" s="336" t="s">
        <v>90</v>
      </c>
      <c r="P88" s="42">
        <f>P89-P87</f>
        <v>830</v>
      </c>
      <c r="Q88" s="1">
        <v>2</v>
      </c>
      <c r="R88" s="1"/>
      <c r="S88" s="46"/>
      <c r="T88" s="49">
        <f t="shared" ref="T88:T95" si="9">COUNTIF($E$10:$E$565,R88)</f>
        <v>0</v>
      </c>
      <c r="U88" s="49">
        <f t="shared" ref="U88:U95" si="10">SUMIFS($F$10:$F$565,$E$10:$E$565,R88)</f>
        <v>0</v>
      </c>
      <c r="V88" s="3"/>
      <c r="W88" s="3"/>
      <c r="X88" s="3"/>
      <c r="Y88" s="2"/>
    </row>
    <row r="89" spans="1:25" ht="38.25" customHeight="1" x14ac:dyDescent="0.2">
      <c r="A89" s="9">
        <v>80</v>
      </c>
      <c r="B89" s="2"/>
      <c r="C89" s="9"/>
      <c r="D89" s="9"/>
      <c r="E89" s="9"/>
      <c r="F89" s="71">
        <f t="shared" si="0"/>
        <v>0</v>
      </c>
      <c r="G89" s="9"/>
      <c r="H89" s="9"/>
      <c r="I89" s="9"/>
      <c r="J89" s="71">
        <f t="shared" si="1"/>
        <v>0</v>
      </c>
      <c r="K89" s="9"/>
      <c r="L89" s="9"/>
      <c r="M89" s="9"/>
      <c r="N89" s="71">
        <f t="shared" si="2"/>
        <v>0</v>
      </c>
      <c r="O89" s="336" t="s">
        <v>91</v>
      </c>
      <c r="P89" s="42">
        <f>P21*2</f>
        <v>1000</v>
      </c>
      <c r="Q89" s="1">
        <v>3</v>
      </c>
      <c r="R89" s="1"/>
      <c r="S89" s="46"/>
      <c r="T89" s="49">
        <f t="shared" si="9"/>
        <v>0</v>
      </c>
      <c r="U89" s="49">
        <f t="shared" si="10"/>
        <v>0</v>
      </c>
      <c r="V89" s="3"/>
      <c r="W89" s="3"/>
      <c r="X89" s="3"/>
      <c r="Y89" s="2"/>
    </row>
    <row r="90" spans="1:25" ht="38.25" customHeight="1" x14ac:dyDescent="0.2">
      <c r="A90" s="9">
        <v>81</v>
      </c>
      <c r="B90" s="2"/>
      <c r="C90" s="9"/>
      <c r="D90" s="9"/>
      <c r="E90" s="9"/>
      <c r="F90" s="71">
        <f t="shared" si="0"/>
        <v>0</v>
      </c>
      <c r="G90" s="9"/>
      <c r="H90" s="9"/>
      <c r="I90" s="9"/>
      <c r="J90" s="71">
        <f t="shared" si="1"/>
        <v>0</v>
      </c>
      <c r="K90" s="9"/>
      <c r="L90" s="9"/>
      <c r="M90" s="9"/>
      <c r="N90" s="71">
        <f t="shared" si="2"/>
        <v>0</v>
      </c>
      <c r="O90" s="336" t="s">
        <v>92</v>
      </c>
      <c r="P90" s="294">
        <f>P88/P89</f>
        <v>0.83</v>
      </c>
      <c r="Q90" s="1">
        <v>4</v>
      </c>
      <c r="R90" s="1"/>
      <c r="S90" s="46"/>
      <c r="T90" s="49">
        <f t="shared" si="9"/>
        <v>0</v>
      </c>
      <c r="U90" s="49">
        <f t="shared" si="10"/>
        <v>0</v>
      </c>
      <c r="V90" s="3"/>
      <c r="W90" s="3"/>
      <c r="X90" s="3"/>
      <c r="Y90" s="2"/>
    </row>
    <row r="91" spans="1:25" ht="38.25" customHeight="1" x14ac:dyDescent="0.2">
      <c r="A91" s="9">
        <v>82</v>
      </c>
      <c r="B91" s="2"/>
      <c r="C91" s="9"/>
      <c r="D91" s="9"/>
      <c r="E91" s="9"/>
      <c r="F91" s="71">
        <f t="shared" si="0"/>
        <v>0</v>
      </c>
      <c r="G91" s="9"/>
      <c r="H91" s="9"/>
      <c r="I91" s="9"/>
      <c r="J91" s="71">
        <f t="shared" si="1"/>
        <v>0</v>
      </c>
      <c r="K91" s="9"/>
      <c r="L91" s="9"/>
      <c r="M91" s="9"/>
      <c r="N91" s="71">
        <f t="shared" si="2"/>
        <v>0</v>
      </c>
      <c r="O91" s="336" t="s">
        <v>93</v>
      </c>
      <c r="P91" s="294">
        <f>P87/P89</f>
        <v>0.17</v>
      </c>
      <c r="Q91" s="1">
        <v>5</v>
      </c>
      <c r="R91" s="1"/>
      <c r="S91" s="46"/>
      <c r="T91" s="49">
        <f t="shared" si="9"/>
        <v>0</v>
      </c>
      <c r="U91" s="49">
        <f t="shared" si="10"/>
        <v>0</v>
      </c>
      <c r="V91" s="3"/>
      <c r="W91" s="3"/>
      <c r="X91" s="3"/>
      <c r="Y91" s="2"/>
    </row>
    <row r="92" spans="1:25" ht="38.25" customHeight="1" x14ac:dyDescent="0.2">
      <c r="A92" s="9">
        <v>83</v>
      </c>
      <c r="B92" s="2"/>
      <c r="C92" s="9"/>
      <c r="D92" s="9"/>
      <c r="E92" s="9"/>
      <c r="F92" s="71">
        <f t="shared" si="0"/>
        <v>0</v>
      </c>
      <c r="G92" s="9"/>
      <c r="H92" s="9"/>
      <c r="I92" s="9"/>
      <c r="J92" s="71">
        <f t="shared" si="1"/>
        <v>0</v>
      </c>
      <c r="K92" s="9"/>
      <c r="L92" s="9"/>
      <c r="M92" s="9"/>
      <c r="N92" s="71">
        <f t="shared" si="2"/>
        <v>0</v>
      </c>
      <c r="O92" s="2"/>
      <c r="P92" s="42"/>
      <c r="Q92" s="1">
        <v>6</v>
      </c>
      <c r="R92" s="1"/>
      <c r="S92" s="46"/>
      <c r="T92" s="49">
        <f t="shared" si="9"/>
        <v>0</v>
      </c>
      <c r="U92" s="49">
        <f t="shared" si="10"/>
        <v>0</v>
      </c>
      <c r="V92" s="3"/>
      <c r="W92" s="3"/>
      <c r="X92" s="3"/>
      <c r="Y92" s="2"/>
    </row>
    <row r="93" spans="1:25" ht="38.25" customHeight="1" x14ac:dyDescent="0.2">
      <c r="A93" s="9">
        <v>84</v>
      </c>
      <c r="B93" s="2"/>
      <c r="C93" s="9"/>
      <c r="D93" s="9"/>
      <c r="E93" s="9"/>
      <c r="F93" s="71">
        <f t="shared" si="0"/>
        <v>0</v>
      </c>
      <c r="G93" s="9"/>
      <c r="H93" s="9"/>
      <c r="I93" s="9"/>
      <c r="J93" s="71">
        <f t="shared" si="1"/>
        <v>0</v>
      </c>
      <c r="K93" s="9"/>
      <c r="L93" s="9"/>
      <c r="M93" s="9"/>
      <c r="N93" s="71">
        <f t="shared" si="2"/>
        <v>0</v>
      </c>
      <c r="O93" s="2"/>
      <c r="P93" s="42"/>
      <c r="Q93" s="1">
        <v>7</v>
      </c>
      <c r="R93" s="1"/>
      <c r="S93" s="46"/>
      <c r="T93" s="49">
        <f t="shared" si="9"/>
        <v>0</v>
      </c>
      <c r="U93" s="49">
        <f t="shared" si="10"/>
        <v>0</v>
      </c>
      <c r="V93" s="3"/>
      <c r="W93" s="3"/>
      <c r="X93" s="3"/>
      <c r="Y93" s="2"/>
    </row>
    <row r="94" spans="1:25" ht="38.25" customHeight="1" x14ac:dyDescent="0.2">
      <c r="A94" s="9">
        <v>85</v>
      </c>
      <c r="B94" s="2"/>
      <c r="C94" s="9"/>
      <c r="D94" s="9"/>
      <c r="E94" s="9"/>
      <c r="F94" s="71">
        <f t="shared" si="0"/>
        <v>0</v>
      </c>
      <c r="G94" s="9"/>
      <c r="H94" s="9"/>
      <c r="I94" s="9"/>
      <c r="J94" s="71">
        <f t="shared" si="1"/>
        <v>0</v>
      </c>
      <c r="K94" s="9"/>
      <c r="L94" s="9"/>
      <c r="M94" s="9"/>
      <c r="N94" s="71">
        <f t="shared" si="2"/>
        <v>0</v>
      </c>
      <c r="O94" s="72"/>
      <c r="P94" s="73"/>
      <c r="Q94" s="1">
        <v>8</v>
      </c>
      <c r="R94" s="1"/>
      <c r="S94" s="46"/>
      <c r="T94" s="49">
        <f t="shared" si="9"/>
        <v>0</v>
      </c>
      <c r="U94" s="49">
        <f t="shared" si="10"/>
        <v>0</v>
      </c>
      <c r="V94" s="3"/>
      <c r="W94" s="3"/>
      <c r="X94" s="3"/>
      <c r="Y94" s="2"/>
    </row>
    <row r="95" spans="1:25" ht="38.25" customHeight="1" x14ac:dyDescent="0.2">
      <c r="A95" s="9">
        <v>86</v>
      </c>
      <c r="B95" s="2"/>
      <c r="C95" s="9"/>
      <c r="D95" s="9"/>
      <c r="E95" s="9"/>
      <c r="F95" s="71">
        <f t="shared" si="0"/>
        <v>0</v>
      </c>
      <c r="G95" s="9"/>
      <c r="H95" s="9"/>
      <c r="I95" s="9"/>
      <c r="J95" s="71">
        <f t="shared" si="1"/>
        <v>0</v>
      </c>
      <c r="K95" s="9"/>
      <c r="L95" s="9"/>
      <c r="M95" s="9"/>
      <c r="N95" s="71">
        <f t="shared" si="2"/>
        <v>0</v>
      </c>
      <c r="O95" s="2"/>
      <c r="P95" s="2"/>
      <c r="Q95" s="1">
        <v>9</v>
      </c>
      <c r="R95" s="1"/>
      <c r="S95" s="46"/>
      <c r="T95" s="49">
        <f t="shared" si="9"/>
        <v>0</v>
      </c>
      <c r="U95" s="49">
        <f t="shared" si="10"/>
        <v>0</v>
      </c>
      <c r="V95" s="3"/>
      <c r="W95" s="3"/>
      <c r="X95" s="3"/>
      <c r="Y95" s="2"/>
    </row>
    <row r="96" spans="1:25" ht="38.25" customHeight="1" x14ac:dyDescent="0.2">
      <c r="A96" s="9">
        <v>87</v>
      </c>
      <c r="B96" s="2"/>
      <c r="C96" s="9"/>
      <c r="D96" s="9"/>
      <c r="E96" s="9"/>
      <c r="F96" s="71">
        <f t="shared" si="0"/>
        <v>0</v>
      </c>
      <c r="G96" s="9"/>
      <c r="H96" s="9"/>
      <c r="I96" s="9"/>
      <c r="J96" s="71">
        <f t="shared" si="1"/>
        <v>0</v>
      </c>
      <c r="K96" s="9"/>
      <c r="L96" s="9"/>
      <c r="M96" s="9"/>
      <c r="N96" s="71">
        <f t="shared" si="2"/>
        <v>0</v>
      </c>
      <c r="O96" s="426" t="s">
        <v>94</v>
      </c>
      <c r="P96" s="414"/>
      <c r="Q96" s="356" t="s">
        <v>19</v>
      </c>
      <c r="R96" s="356"/>
      <c r="S96" s="356"/>
      <c r="T96" s="347">
        <f>SUM(T87:T95)</f>
        <v>7</v>
      </c>
      <c r="U96" s="347">
        <f>SUM(U87:U95)</f>
        <v>44</v>
      </c>
      <c r="V96" s="366">
        <f>COUNT(X87:X95)</f>
        <v>1</v>
      </c>
      <c r="W96" s="366"/>
      <c r="X96" s="366"/>
      <c r="Y96" s="366"/>
    </row>
    <row r="97" spans="1:25" ht="38.25" customHeight="1" x14ac:dyDescent="0.2">
      <c r="A97" s="9">
        <v>88</v>
      </c>
      <c r="B97" s="2"/>
      <c r="C97" s="9"/>
      <c r="D97" s="9"/>
      <c r="E97" s="9"/>
      <c r="F97" s="71">
        <f t="shared" si="0"/>
        <v>0</v>
      </c>
      <c r="G97" s="9"/>
      <c r="H97" s="9"/>
      <c r="I97" s="9"/>
      <c r="J97" s="71">
        <f t="shared" si="1"/>
        <v>0</v>
      </c>
      <c r="K97" s="9"/>
      <c r="L97" s="9"/>
      <c r="M97" s="9"/>
      <c r="N97" s="71">
        <f t="shared" si="2"/>
        <v>0</v>
      </c>
      <c r="O97" s="374" t="s">
        <v>95</v>
      </c>
      <c r="P97" s="375"/>
      <c r="Q97" s="356" t="s">
        <v>96</v>
      </c>
      <c r="R97" s="356"/>
      <c r="S97" s="356"/>
      <c r="T97" s="337">
        <f>SUM(T96+T85+T76+T50+T24)</f>
        <v>207</v>
      </c>
      <c r="U97" s="337">
        <f>SUM(U24+U50+U85+U96+U76)</f>
        <v>878</v>
      </c>
      <c r="V97" s="427">
        <f>SUM(V24+V50+V76+V96+V85)</f>
        <v>45</v>
      </c>
      <c r="W97" s="427"/>
      <c r="X97" s="427"/>
      <c r="Y97" s="427"/>
    </row>
    <row r="98" spans="1:25" ht="38.25" customHeight="1" x14ac:dyDescent="0.2">
      <c r="A98" s="9">
        <v>89</v>
      </c>
      <c r="B98" s="2"/>
      <c r="C98" s="9"/>
      <c r="D98" s="9"/>
      <c r="E98" s="9"/>
      <c r="F98" s="71">
        <f t="shared" si="0"/>
        <v>0</v>
      </c>
      <c r="G98" s="9"/>
      <c r="H98" s="9"/>
      <c r="I98" s="9"/>
      <c r="J98" s="71">
        <f t="shared" si="1"/>
        <v>0</v>
      </c>
      <c r="K98" s="9"/>
      <c r="L98" s="9"/>
      <c r="M98" s="9"/>
      <c r="N98" s="71">
        <f t="shared" si="2"/>
        <v>0</v>
      </c>
      <c r="O98" s="144" t="s">
        <v>81</v>
      </c>
      <c r="P98" s="2">
        <v>45</v>
      </c>
      <c r="Q98" s="1"/>
      <c r="R98" s="1"/>
      <c r="S98" s="46"/>
      <c r="T98" s="49"/>
      <c r="U98" s="49"/>
      <c r="V98" s="3"/>
      <c r="W98" s="3"/>
      <c r="X98" s="3"/>
      <c r="Y98" s="2"/>
    </row>
    <row r="99" spans="1:25" ht="38.25" customHeight="1" x14ac:dyDescent="0.2">
      <c r="A99" s="9">
        <v>90</v>
      </c>
      <c r="B99" s="2"/>
      <c r="C99" s="9"/>
      <c r="D99" s="9"/>
      <c r="E99" s="9"/>
      <c r="F99" s="71">
        <f t="shared" si="0"/>
        <v>0</v>
      </c>
      <c r="G99" s="9"/>
      <c r="H99" s="9"/>
      <c r="I99" s="9"/>
      <c r="J99" s="71">
        <f t="shared" si="1"/>
        <v>0</v>
      </c>
      <c r="K99" s="9"/>
      <c r="L99" s="9"/>
      <c r="M99" s="9"/>
      <c r="N99" s="71">
        <f t="shared" si="2"/>
        <v>0</v>
      </c>
      <c r="O99" s="144" t="s">
        <v>97</v>
      </c>
      <c r="P99" s="2">
        <f>45*12</f>
        <v>540</v>
      </c>
      <c r="Q99" s="1"/>
      <c r="R99" s="1"/>
      <c r="S99" s="46"/>
      <c r="T99" s="49"/>
      <c r="U99" s="49"/>
      <c r="V99" s="3"/>
      <c r="W99" s="3"/>
      <c r="X99" s="3"/>
      <c r="Y99" s="2"/>
    </row>
    <row r="100" spans="1:25" ht="38.25" customHeight="1" x14ac:dyDescent="0.2">
      <c r="A100" s="9">
        <v>91</v>
      </c>
      <c r="B100" s="2"/>
      <c r="C100" s="9"/>
      <c r="D100" s="9"/>
      <c r="E100" s="9"/>
      <c r="F100" s="71">
        <f t="shared" si="0"/>
        <v>0</v>
      </c>
      <c r="G100" s="9"/>
      <c r="H100" s="9"/>
      <c r="I100" s="9"/>
      <c r="J100" s="71">
        <f t="shared" si="1"/>
        <v>0</v>
      </c>
      <c r="K100" s="9"/>
      <c r="L100" s="9"/>
      <c r="M100" s="9"/>
      <c r="N100" s="71">
        <f t="shared" si="2"/>
        <v>0</v>
      </c>
      <c r="O100" s="374" t="s">
        <v>98</v>
      </c>
      <c r="P100" s="375"/>
      <c r="Q100" s="1"/>
      <c r="R100" s="1"/>
      <c r="S100" s="46"/>
      <c r="T100" s="49"/>
      <c r="U100" s="49"/>
      <c r="V100" s="3"/>
      <c r="W100" s="3"/>
      <c r="X100" s="3"/>
      <c r="Y100" s="2"/>
    </row>
    <row r="101" spans="1:25" ht="38.25" customHeight="1" x14ac:dyDescent="0.2">
      <c r="A101" s="9">
        <v>92</v>
      </c>
      <c r="B101" s="2"/>
      <c r="C101" s="9"/>
      <c r="D101" s="9"/>
      <c r="E101" s="9"/>
      <c r="F101" s="71">
        <f t="shared" si="0"/>
        <v>0</v>
      </c>
      <c r="G101" s="9"/>
      <c r="H101" s="9"/>
      <c r="I101" s="9"/>
      <c r="J101" s="71">
        <f t="shared" si="1"/>
        <v>0</v>
      </c>
      <c r="K101" s="9"/>
      <c r="L101" s="9"/>
      <c r="M101" s="9"/>
      <c r="N101" s="71">
        <f t="shared" si="2"/>
        <v>0</v>
      </c>
      <c r="O101" s="144" t="s">
        <v>81</v>
      </c>
      <c r="P101" s="2">
        <v>50</v>
      </c>
      <c r="Q101" s="1"/>
      <c r="R101" s="1"/>
      <c r="S101" s="46"/>
      <c r="T101" s="49"/>
      <c r="U101" s="49"/>
      <c r="V101" s="3"/>
      <c r="W101" s="3"/>
      <c r="X101" s="3"/>
      <c r="Y101" s="2"/>
    </row>
    <row r="102" spans="1:25" ht="38.25" customHeight="1" x14ac:dyDescent="0.2">
      <c r="A102" s="9">
        <v>93</v>
      </c>
      <c r="B102" s="2"/>
      <c r="C102" s="9"/>
      <c r="D102" s="9"/>
      <c r="E102" s="9"/>
      <c r="F102" s="71">
        <f t="shared" si="0"/>
        <v>0</v>
      </c>
      <c r="G102" s="9"/>
      <c r="H102" s="9"/>
      <c r="I102" s="9"/>
      <c r="J102" s="71">
        <f t="shared" si="1"/>
        <v>0</v>
      </c>
      <c r="K102" s="9"/>
      <c r="L102" s="9"/>
      <c r="M102" s="9"/>
      <c r="N102" s="71">
        <f t="shared" si="2"/>
        <v>0</v>
      </c>
      <c r="O102" s="144" t="s">
        <v>97</v>
      </c>
      <c r="P102" s="2">
        <v>600</v>
      </c>
      <c r="Q102" s="1"/>
      <c r="R102" s="1"/>
      <c r="S102" s="46"/>
      <c r="T102" s="49"/>
      <c r="U102" s="49"/>
      <c r="V102" s="3"/>
      <c r="W102" s="3"/>
      <c r="X102" s="3"/>
      <c r="Y102" s="2"/>
    </row>
    <row r="103" spans="1:25" ht="38.25" customHeight="1" x14ac:dyDescent="0.2">
      <c r="A103" s="9">
        <v>94</v>
      </c>
      <c r="B103" s="2"/>
      <c r="C103" s="9"/>
      <c r="D103" s="9"/>
      <c r="E103" s="9"/>
      <c r="F103" s="71">
        <f t="shared" si="0"/>
        <v>0</v>
      </c>
      <c r="G103" s="9"/>
      <c r="H103" s="9"/>
      <c r="I103" s="9"/>
      <c r="J103" s="71">
        <f t="shared" si="1"/>
        <v>0</v>
      </c>
      <c r="K103" s="9"/>
      <c r="L103" s="9"/>
      <c r="M103" s="9"/>
      <c r="N103" s="71">
        <f t="shared" si="2"/>
        <v>0</v>
      </c>
      <c r="O103" s="374" t="s">
        <v>99</v>
      </c>
      <c r="P103" s="375"/>
      <c r="Q103" s="1"/>
      <c r="R103" s="1"/>
      <c r="S103" s="46"/>
      <c r="T103" s="49"/>
      <c r="U103" s="49"/>
      <c r="V103" s="3"/>
      <c r="W103" s="3"/>
      <c r="X103" s="3"/>
      <c r="Y103" s="2"/>
    </row>
    <row r="104" spans="1:25" ht="38.25" customHeight="1" x14ac:dyDescent="0.2">
      <c r="A104" s="9">
        <v>95</v>
      </c>
      <c r="B104" s="2"/>
      <c r="C104" s="9"/>
      <c r="D104" s="9"/>
      <c r="E104" s="9"/>
      <c r="F104" s="71">
        <f t="shared" si="0"/>
        <v>0</v>
      </c>
      <c r="G104" s="9"/>
      <c r="H104" s="9"/>
      <c r="I104" s="9"/>
      <c r="J104" s="71">
        <f t="shared" si="1"/>
        <v>0</v>
      </c>
      <c r="K104" s="9"/>
      <c r="L104" s="9"/>
      <c r="M104" s="9"/>
      <c r="N104" s="71">
        <f t="shared" si="2"/>
        <v>0</v>
      </c>
      <c r="O104" s="144" t="s">
        <v>81</v>
      </c>
      <c r="P104" s="2">
        <v>10</v>
      </c>
      <c r="Q104" s="1"/>
      <c r="R104" s="1"/>
      <c r="S104" s="46"/>
      <c r="T104" s="49"/>
      <c r="U104" s="49"/>
      <c r="V104" s="3"/>
      <c r="W104" s="3"/>
      <c r="X104" s="3"/>
      <c r="Y104" s="2"/>
    </row>
    <row r="105" spans="1:25" ht="38.25" customHeight="1" x14ac:dyDescent="0.2">
      <c r="A105" s="9">
        <v>96</v>
      </c>
      <c r="B105" s="2"/>
      <c r="C105" s="9"/>
      <c r="D105" s="9"/>
      <c r="E105" s="9"/>
      <c r="F105" s="71">
        <f t="shared" si="0"/>
        <v>0</v>
      </c>
      <c r="G105" s="9"/>
      <c r="H105" s="9"/>
      <c r="I105" s="9"/>
      <c r="J105" s="71">
        <f t="shared" si="1"/>
        <v>0</v>
      </c>
      <c r="K105" s="9"/>
      <c r="L105" s="9"/>
      <c r="M105" s="9"/>
      <c r="N105" s="71">
        <f t="shared" si="2"/>
        <v>0</v>
      </c>
      <c r="O105" s="144" t="s">
        <v>97</v>
      </c>
      <c r="P105" s="2">
        <v>120</v>
      </c>
      <c r="Q105" s="1"/>
      <c r="R105" s="1"/>
      <c r="S105" s="46"/>
      <c r="T105" s="49"/>
      <c r="U105" s="49"/>
      <c r="V105" s="3"/>
      <c r="W105" s="3"/>
      <c r="X105" s="3"/>
      <c r="Y105" s="2"/>
    </row>
    <row r="106" spans="1:25" ht="38.25" customHeight="1" x14ac:dyDescent="0.2">
      <c r="A106" s="9">
        <v>97</v>
      </c>
      <c r="B106" s="2"/>
      <c r="C106" s="9"/>
      <c r="D106" s="9"/>
      <c r="E106" s="9"/>
      <c r="F106" s="71">
        <f t="shared" si="0"/>
        <v>0</v>
      </c>
      <c r="G106" s="9"/>
      <c r="H106" s="9"/>
      <c r="I106" s="9"/>
      <c r="J106" s="71">
        <f t="shared" si="1"/>
        <v>0</v>
      </c>
      <c r="K106" s="9"/>
      <c r="L106" s="9"/>
      <c r="M106" s="9"/>
      <c r="N106" s="71">
        <f t="shared" si="2"/>
        <v>0</v>
      </c>
      <c r="O106" s="374" t="s">
        <v>100</v>
      </c>
      <c r="P106" s="375"/>
      <c r="Q106" s="1"/>
      <c r="R106" s="1"/>
      <c r="S106" s="46"/>
      <c r="T106" s="49"/>
      <c r="U106" s="49"/>
      <c r="V106" s="3"/>
      <c r="W106" s="3"/>
      <c r="X106" s="3"/>
      <c r="Y106" s="2"/>
    </row>
    <row r="107" spans="1:25" ht="38.25" customHeight="1" x14ac:dyDescent="0.2">
      <c r="A107" s="9">
        <v>98</v>
      </c>
      <c r="B107" s="2"/>
      <c r="C107" s="9"/>
      <c r="D107" s="9"/>
      <c r="E107" s="9"/>
      <c r="F107" s="71">
        <f t="shared" si="0"/>
        <v>0</v>
      </c>
      <c r="G107" s="9"/>
      <c r="H107" s="9"/>
      <c r="I107" s="9"/>
      <c r="J107" s="71">
        <f t="shared" si="1"/>
        <v>0</v>
      </c>
      <c r="K107" s="9"/>
      <c r="L107" s="9"/>
      <c r="M107" s="9"/>
      <c r="N107" s="71">
        <f t="shared" si="2"/>
        <v>0</v>
      </c>
      <c r="O107" s="2" t="s">
        <v>101</v>
      </c>
      <c r="P107" s="42">
        <f>P98*2</f>
        <v>90</v>
      </c>
      <c r="Q107" s="1"/>
      <c r="R107" s="1"/>
      <c r="S107" s="46"/>
      <c r="T107" s="49"/>
      <c r="U107" s="49"/>
      <c r="V107" s="3"/>
      <c r="W107" s="3"/>
      <c r="X107" s="3"/>
      <c r="Y107" s="2"/>
    </row>
    <row r="108" spans="1:25" ht="38.25" customHeight="1" x14ac:dyDescent="0.2">
      <c r="A108" s="9">
        <v>99</v>
      </c>
      <c r="B108" s="2"/>
      <c r="C108" s="9"/>
      <c r="D108" s="9"/>
      <c r="E108" s="9"/>
      <c r="F108" s="71">
        <f t="shared" si="0"/>
        <v>0</v>
      </c>
      <c r="G108" s="9"/>
      <c r="H108" s="9"/>
      <c r="I108" s="9"/>
      <c r="J108" s="71">
        <f t="shared" si="1"/>
        <v>0</v>
      </c>
      <c r="K108" s="9"/>
      <c r="L108" s="9"/>
      <c r="M108" s="9"/>
      <c r="N108" s="71">
        <f t="shared" si="2"/>
        <v>0</v>
      </c>
      <c r="O108" s="2" t="s">
        <v>102</v>
      </c>
      <c r="P108" s="42">
        <f>'FLO - DR &amp; Loaders'!G16</f>
        <v>10</v>
      </c>
      <c r="Q108" s="1"/>
      <c r="R108" s="1"/>
      <c r="S108" s="46"/>
      <c r="T108" s="49"/>
      <c r="U108" s="49"/>
      <c r="V108" s="3"/>
      <c r="W108" s="3"/>
      <c r="X108" s="3"/>
      <c r="Y108" s="2"/>
    </row>
    <row r="109" spans="1:25" ht="38.25" customHeight="1" x14ac:dyDescent="0.2">
      <c r="A109" s="9">
        <v>100</v>
      </c>
      <c r="B109" s="2"/>
      <c r="C109" s="9"/>
      <c r="D109" s="9"/>
      <c r="E109" s="9"/>
      <c r="F109" s="71">
        <f t="shared" si="0"/>
        <v>0</v>
      </c>
      <c r="G109" s="9"/>
      <c r="H109" s="9"/>
      <c r="I109" s="9"/>
      <c r="J109" s="71">
        <f t="shared" si="1"/>
        <v>0</v>
      </c>
      <c r="K109" s="9"/>
      <c r="L109" s="9"/>
      <c r="M109" s="9"/>
      <c r="N109" s="71">
        <f t="shared" si="2"/>
        <v>0</v>
      </c>
      <c r="O109" s="2" t="s">
        <v>85</v>
      </c>
      <c r="P109" s="42">
        <f>'FLO - DR &amp; Loaders'!G14</f>
        <v>18</v>
      </c>
      <c r="Q109" s="1"/>
      <c r="R109" s="1"/>
      <c r="S109" s="46"/>
      <c r="T109" s="49"/>
      <c r="U109" s="49"/>
      <c r="V109" s="3"/>
      <c r="W109" s="3"/>
      <c r="X109" s="3"/>
      <c r="Y109" s="2"/>
    </row>
    <row r="110" spans="1:25" ht="38.25" customHeight="1" x14ac:dyDescent="0.2">
      <c r="A110" s="423" t="s">
        <v>150</v>
      </c>
      <c r="B110" s="424"/>
      <c r="C110" s="424"/>
      <c r="D110" s="424"/>
      <c r="E110" s="424"/>
      <c r="F110" s="424"/>
      <c r="G110" s="424"/>
      <c r="H110" s="424"/>
      <c r="I110" s="424"/>
      <c r="J110" s="424"/>
      <c r="K110" s="424"/>
      <c r="L110" s="424"/>
      <c r="M110" s="424"/>
      <c r="N110" s="425"/>
      <c r="O110" s="2" t="s">
        <v>104</v>
      </c>
      <c r="P110" s="42">
        <f>'FLO - DR &amp; Loaders'!G20</f>
        <v>6</v>
      </c>
      <c r="Q110" s="1"/>
      <c r="R110" s="1"/>
      <c r="S110" s="46"/>
      <c r="T110" s="49"/>
      <c r="U110" s="49"/>
      <c r="V110" s="3"/>
      <c r="W110" s="3"/>
      <c r="X110" s="3"/>
      <c r="Y110" s="2"/>
    </row>
    <row r="111" spans="1:25" ht="38.25" customHeight="1" x14ac:dyDescent="0.2">
      <c r="A111" s="9">
        <v>1</v>
      </c>
      <c r="B111" s="2" t="s">
        <v>602</v>
      </c>
      <c r="C111" s="9" t="s">
        <v>603</v>
      </c>
      <c r="D111" s="9" t="s">
        <v>448</v>
      </c>
      <c r="E111" s="9" t="s">
        <v>433</v>
      </c>
      <c r="F111" s="71">
        <f>J111+N111</f>
        <v>5</v>
      </c>
      <c r="G111" s="9">
        <v>3</v>
      </c>
      <c r="H111" s="9">
        <v>0</v>
      </c>
      <c r="I111" s="9">
        <v>2</v>
      </c>
      <c r="J111" s="71">
        <f t="shared" si="1"/>
        <v>5</v>
      </c>
      <c r="K111" s="9"/>
      <c r="L111" s="9"/>
      <c r="M111" s="9"/>
      <c r="N111" s="71">
        <f t="shared" si="2"/>
        <v>0</v>
      </c>
      <c r="O111" s="2" t="s">
        <v>37</v>
      </c>
      <c r="P111" s="42">
        <f>'FLO - DR &amp; Loaders'!G15</f>
        <v>4</v>
      </c>
      <c r="Q111" s="1"/>
      <c r="R111" s="1"/>
      <c r="S111" s="46"/>
      <c r="T111" s="49"/>
      <c r="U111" s="49"/>
      <c r="V111" s="3"/>
      <c r="W111" s="3"/>
      <c r="X111" s="3"/>
      <c r="Y111" s="2"/>
    </row>
    <row r="112" spans="1:25" ht="38.25" customHeight="1" x14ac:dyDescent="0.2">
      <c r="A112" s="9">
        <v>2</v>
      </c>
      <c r="B112" s="2" t="s">
        <v>604</v>
      </c>
      <c r="C112" s="9" t="s">
        <v>605</v>
      </c>
      <c r="D112" s="9" t="s">
        <v>461</v>
      </c>
      <c r="E112" s="9" t="s">
        <v>419</v>
      </c>
      <c r="F112" s="71">
        <f t="shared" ref="F112:F175" si="11">J112+N112</f>
        <v>1</v>
      </c>
      <c r="G112" s="9">
        <v>0</v>
      </c>
      <c r="H112" s="9">
        <v>0</v>
      </c>
      <c r="I112" s="9">
        <v>1</v>
      </c>
      <c r="J112" s="71">
        <f t="shared" si="1"/>
        <v>1</v>
      </c>
      <c r="K112" s="9"/>
      <c r="L112" s="9"/>
      <c r="M112" s="9"/>
      <c r="N112" s="71">
        <f t="shared" si="2"/>
        <v>0</v>
      </c>
      <c r="O112" s="2" t="s">
        <v>105</v>
      </c>
      <c r="P112" s="42">
        <f>'FLO - DR &amp; Loaders'!G13</f>
        <v>12</v>
      </c>
      <c r="Q112" s="1"/>
      <c r="R112" s="1"/>
      <c r="S112" s="46"/>
      <c r="T112" s="49"/>
      <c r="U112" s="49"/>
      <c r="V112" s="3"/>
      <c r="W112" s="3"/>
      <c r="X112" s="3"/>
      <c r="Y112" s="2"/>
    </row>
    <row r="113" spans="1:25" ht="38.25" customHeight="1" x14ac:dyDescent="0.2">
      <c r="A113" s="9">
        <v>3</v>
      </c>
      <c r="B113" s="2" t="s">
        <v>606</v>
      </c>
      <c r="C113" s="9" t="s">
        <v>605</v>
      </c>
      <c r="D113" s="9" t="s">
        <v>439</v>
      </c>
      <c r="E113" s="9" t="s">
        <v>433</v>
      </c>
      <c r="F113" s="71">
        <f t="shared" si="11"/>
        <v>5</v>
      </c>
      <c r="G113" s="9">
        <v>3</v>
      </c>
      <c r="H113" s="9">
        <v>0</v>
      </c>
      <c r="I113" s="9">
        <v>2</v>
      </c>
      <c r="J113" s="71">
        <f t="shared" si="1"/>
        <v>5</v>
      </c>
      <c r="K113" s="9"/>
      <c r="L113" s="9"/>
      <c r="M113" s="9"/>
      <c r="N113" s="71">
        <f t="shared" si="2"/>
        <v>0</v>
      </c>
      <c r="O113" s="2" t="s">
        <v>33</v>
      </c>
      <c r="P113" s="42">
        <f>'FLO - DR &amp; Loaders'!G18</f>
        <v>2</v>
      </c>
      <c r="Q113" s="1"/>
      <c r="R113" s="1"/>
      <c r="S113" s="46"/>
      <c r="T113" s="49"/>
      <c r="U113" s="49"/>
      <c r="V113" s="3"/>
      <c r="W113" s="3"/>
      <c r="X113" s="3"/>
      <c r="Y113" s="2"/>
    </row>
    <row r="114" spans="1:25" ht="38.25" customHeight="1" x14ac:dyDescent="0.2">
      <c r="A114" s="9">
        <v>4</v>
      </c>
      <c r="B114" s="2" t="s">
        <v>607</v>
      </c>
      <c r="C114" s="9" t="s">
        <v>608</v>
      </c>
      <c r="D114" s="9" t="s">
        <v>487</v>
      </c>
      <c r="E114" s="9" t="s">
        <v>414</v>
      </c>
      <c r="F114" s="71">
        <f t="shared" si="11"/>
        <v>5</v>
      </c>
      <c r="G114" s="9">
        <v>1</v>
      </c>
      <c r="H114" s="9">
        <v>0</v>
      </c>
      <c r="I114" s="9">
        <v>4</v>
      </c>
      <c r="J114" s="71">
        <f t="shared" si="1"/>
        <v>5</v>
      </c>
      <c r="K114" s="9"/>
      <c r="L114" s="9"/>
      <c r="M114" s="9"/>
      <c r="N114" s="71">
        <f t="shared" si="2"/>
        <v>0</v>
      </c>
      <c r="O114" s="2" t="s">
        <v>106</v>
      </c>
      <c r="P114" s="42">
        <f>'FLO - DR &amp; Loaders'!G19</f>
        <v>2</v>
      </c>
      <c r="Q114" s="1"/>
      <c r="R114" s="1"/>
      <c r="S114" s="46"/>
      <c r="T114" s="49"/>
      <c r="U114" s="49"/>
      <c r="V114" s="3"/>
      <c r="W114" s="3"/>
      <c r="X114" s="3"/>
      <c r="Y114" s="2"/>
    </row>
    <row r="115" spans="1:25" ht="38.25" customHeight="1" x14ac:dyDescent="0.2">
      <c r="A115" s="9">
        <v>5</v>
      </c>
      <c r="B115" s="2" t="s">
        <v>609</v>
      </c>
      <c r="C115" s="9" t="s">
        <v>610</v>
      </c>
      <c r="D115" s="9" t="s">
        <v>611</v>
      </c>
      <c r="E115" s="9" t="s">
        <v>416</v>
      </c>
      <c r="F115" s="71">
        <f t="shared" si="11"/>
        <v>6</v>
      </c>
      <c r="G115" s="9">
        <v>5</v>
      </c>
      <c r="H115" s="9">
        <v>1</v>
      </c>
      <c r="I115" s="9">
        <v>0</v>
      </c>
      <c r="J115" s="71">
        <f t="shared" si="1"/>
        <v>6</v>
      </c>
      <c r="K115" s="9"/>
      <c r="L115" s="9"/>
      <c r="M115" s="9"/>
      <c r="N115" s="71">
        <f t="shared" si="2"/>
        <v>0</v>
      </c>
      <c r="O115" s="2" t="s">
        <v>151</v>
      </c>
      <c r="P115" s="42">
        <f>'FLO - DR &amp; Loaders'!G17</f>
        <v>6</v>
      </c>
      <c r="Q115" s="1"/>
      <c r="R115" s="1"/>
      <c r="S115" s="46"/>
      <c r="T115" s="49"/>
      <c r="U115" s="49"/>
      <c r="V115" s="3"/>
      <c r="W115" s="3"/>
      <c r="X115" s="3"/>
      <c r="Y115" s="2"/>
    </row>
    <row r="116" spans="1:25" ht="38.25" customHeight="1" x14ac:dyDescent="0.2">
      <c r="A116" s="9">
        <v>6</v>
      </c>
      <c r="B116" s="2" t="s">
        <v>612</v>
      </c>
      <c r="C116" s="9" t="s">
        <v>613</v>
      </c>
      <c r="D116" s="9" t="s">
        <v>614</v>
      </c>
      <c r="E116" s="9" t="s">
        <v>432</v>
      </c>
      <c r="F116" s="71">
        <f t="shared" si="11"/>
        <v>3</v>
      </c>
      <c r="G116" s="9">
        <v>2</v>
      </c>
      <c r="H116" s="9">
        <v>0</v>
      </c>
      <c r="I116" s="9">
        <v>1</v>
      </c>
      <c r="J116" s="71">
        <f t="shared" si="1"/>
        <v>3</v>
      </c>
      <c r="K116" s="9"/>
      <c r="L116" s="9"/>
      <c r="M116" s="9"/>
      <c r="N116" s="71">
        <f t="shared" si="2"/>
        <v>0</v>
      </c>
      <c r="O116" s="2"/>
      <c r="P116" s="2"/>
      <c r="Q116" s="1"/>
      <c r="R116" s="1"/>
      <c r="S116" s="46"/>
      <c r="T116" s="49"/>
      <c r="U116" s="49"/>
      <c r="V116" s="3"/>
      <c r="W116" s="3"/>
      <c r="X116" s="3"/>
      <c r="Y116" s="2"/>
    </row>
    <row r="117" spans="1:25" ht="38.25" customHeight="1" x14ac:dyDescent="0.2">
      <c r="A117" s="9">
        <v>7</v>
      </c>
      <c r="B117" s="2" t="s">
        <v>615</v>
      </c>
      <c r="C117" s="9" t="s">
        <v>613</v>
      </c>
      <c r="D117" s="9" t="s">
        <v>616</v>
      </c>
      <c r="E117" s="9" t="s">
        <v>413</v>
      </c>
      <c r="F117" s="71">
        <f t="shared" si="11"/>
        <v>2</v>
      </c>
      <c r="G117" s="9">
        <v>0</v>
      </c>
      <c r="H117" s="9">
        <v>1</v>
      </c>
      <c r="I117" s="9">
        <v>1</v>
      </c>
      <c r="J117" s="71">
        <f t="shared" si="1"/>
        <v>2</v>
      </c>
      <c r="K117" s="9"/>
      <c r="L117" s="9"/>
      <c r="M117" s="9"/>
      <c r="N117" s="71">
        <f t="shared" si="2"/>
        <v>0</v>
      </c>
      <c r="O117" s="2" t="s">
        <v>108</v>
      </c>
      <c r="P117" s="42">
        <f>SUM(P107:P116)</f>
        <v>150</v>
      </c>
      <c r="Q117" s="1"/>
      <c r="R117" s="1"/>
      <c r="S117" s="46"/>
      <c r="T117" s="49"/>
      <c r="U117" s="49"/>
      <c r="V117" s="3"/>
      <c r="W117" s="3"/>
      <c r="X117" s="3"/>
      <c r="Y117" s="2"/>
    </row>
    <row r="118" spans="1:25" ht="38.25" customHeight="1" x14ac:dyDescent="0.2">
      <c r="A118" s="9">
        <v>8</v>
      </c>
      <c r="B118" s="2" t="s">
        <v>617</v>
      </c>
      <c r="C118" s="9" t="s">
        <v>613</v>
      </c>
      <c r="D118" s="9" t="s">
        <v>618</v>
      </c>
      <c r="E118" s="9" t="s">
        <v>413</v>
      </c>
      <c r="F118" s="71">
        <f t="shared" si="11"/>
        <v>8</v>
      </c>
      <c r="G118" s="9">
        <v>4</v>
      </c>
      <c r="H118" s="9">
        <v>1</v>
      </c>
      <c r="I118" s="9">
        <v>3</v>
      </c>
      <c r="J118" s="71">
        <f t="shared" si="1"/>
        <v>8</v>
      </c>
      <c r="K118" s="9"/>
      <c r="L118" s="9"/>
      <c r="M118" s="9"/>
      <c r="N118" s="71">
        <f t="shared" si="2"/>
        <v>0</v>
      </c>
      <c r="O118" s="2" t="s">
        <v>61</v>
      </c>
      <c r="P118" s="42">
        <f>SUM(P107:P116)*12</f>
        <v>1800</v>
      </c>
      <c r="Q118" s="1"/>
      <c r="R118" s="1"/>
      <c r="S118" s="46"/>
      <c r="T118" s="49"/>
      <c r="U118" s="49"/>
      <c r="V118" s="3"/>
      <c r="W118" s="3"/>
      <c r="X118" s="3"/>
      <c r="Y118" s="2"/>
    </row>
    <row r="119" spans="1:25" ht="38.25" customHeight="1" x14ac:dyDescent="0.2">
      <c r="A119" s="9">
        <v>9</v>
      </c>
      <c r="B119" s="2" t="s">
        <v>619</v>
      </c>
      <c r="C119" s="9" t="s">
        <v>613</v>
      </c>
      <c r="D119" s="9" t="s">
        <v>620</v>
      </c>
      <c r="E119" s="9" t="s">
        <v>432</v>
      </c>
      <c r="F119" s="71">
        <f t="shared" si="11"/>
        <v>4</v>
      </c>
      <c r="G119" s="9">
        <v>2</v>
      </c>
      <c r="H119" s="9">
        <v>0</v>
      </c>
      <c r="I119" s="9">
        <v>2</v>
      </c>
      <c r="J119" s="71">
        <f t="shared" si="1"/>
        <v>4</v>
      </c>
      <c r="K119" s="9"/>
      <c r="L119" s="9"/>
      <c r="M119" s="9"/>
      <c r="N119" s="71">
        <f t="shared" si="2"/>
        <v>0</v>
      </c>
      <c r="O119" s="2"/>
      <c r="P119" s="2"/>
      <c r="Q119" s="1"/>
      <c r="R119" s="1"/>
      <c r="S119" s="46"/>
      <c r="T119" s="49"/>
      <c r="U119" s="49"/>
      <c r="V119" s="3"/>
      <c r="W119" s="3"/>
      <c r="X119" s="3"/>
      <c r="Y119" s="2"/>
    </row>
    <row r="120" spans="1:25" ht="38.25" customHeight="1" x14ac:dyDescent="0.2">
      <c r="A120" s="9">
        <v>10</v>
      </c>
      <c r="B120" s="2" t="s">
        <v>621</v>
      </c>
      <c r="C120" s="9" t="s">
        <v>613</v>
      </c>
      <c r="D120" s="9" t="s">
        <v>622</v>
      </c>
      <c r="E120" s="9" t="s">
        <v>413</v>
      </c>
      <c r="F120" s="71">
        <f t="shared" si="11"/>
        <v>2</v>
      </c>
      <c r="G120" s="9">
        <v>0</v>
      </c>
      <c r="H120" s="9">
        <v>0</v>
      </c>
      <c r="I120" s="9">
        <v>2</v>
      </c>
      <c r="J120" s="71">
        <f t="shared" si="1"/>
        <v>2</v>
      </c>
      <c r="K120" s="9"/>
      <c r="L120" s="9"/>
      <c r="M120" s="9"/>
      <c r="N120" s="71">
        <f t="shared" si="2"/>
        <v>0</v>
      </c>
      <c r="O120" s="414" t="s">
        <v>109</v>
      </c>
      <c r="P120" s="414"/>
      <c r="Q120" s="1"/>
      <c r="R120" s="1"/>
      <c r="S120" s="46"/>
      <c r="T120" s="49"/>
      <c r="U120" s="49"/>
      <c r="V120" s="3"/>
      <c r="W120" s="3"/>
      <c r="X120" s="3"/>
      <c r="Y120" s="2"/>
    </row>
    <row r="121" spans="1:25" ht="38.25" customHeight="1" x14ac:dyDescent="0.2">
      <c r="A121" s="9">
        <v>11</v>
      </c>
      <c r="B121" s="2" t="s">
        <v>623</v>
      </c>
      <c r="C121" s="9" t="s">
        <v>624</v>
      </c>
      <c r="D121" s="9" t="s">
        <v>625</v>
      </c>
      <c r="E121" s="9" t="s">
        <v>429</v>
      </c>
      <c r="F121" s="71">
        <f t="shared" si="11"/>
        <v>4</v>
      </c>
      <c r="G121" s="9">
        <v>2</v>
      </c>
      <c r="H121" s="9">
        <v>1</v>
      </c>
      <c r="I121" s="9">
        <v>1</v>
      </c>
      <c r="J121" s="71">
        <f t="shared" si="1"/>
        <v>4</v>
      </c>
      <c r="K121" s="9"/>
      <c r="L121" s="9"/>
      <c r="M121" s="9"/>
      <c r="N121" s="71">
        <f t="shared" si="2"/>
        <v>0</v>
      </c>
      <c r="O121" s="374" t="s">
        <v>95</v>
      </c>
      <c r="P121" s="375"/>
      <c r="Q121" s="1"/>
      <c r="R121" s="1"/>
      <c r="S121" s="46"/>
      <c r="T121" s="49"/>
      <c r="U121" s="49"/>
      <c r="V121" s="3"/>
      <c r="W121" s="3"/>
      <c r="X121" s="3"/>
      <c r="Y121" s="2"/>
    </row>
    <row r="122" spans="1:25" ht="38.25" customHeight="1" x14ac:dyDescent="0.2">
      <c r="A122" s="9">
        <v>12</v>
      </c>
      <c r="B122" s="2" t="s">
        <v>626</v>
      </c>
      <c r="C122" s="9" t="s">
        <v>627</v>
      </c>
      <c r="D122" s="9" t="s">
        <v>628</v>
      </c>
      <c r="E122" s="9" t="s">
        <v>405</v>
      </c>
      <c r="F122" s="71">
        <f t="shared" si="11"/>
        <v>2</v>
      </c>
      <c r="G122" s="9">
        <v>1</v>
      </c>
      <c r="H122" s="9">
        <v>0</v>
      </c>
      <c r="I122" s="9">
        <v>1</v>
      </c>
      <c r="J122" s="71">
        <f t="shared" si="1"/>
        <v>2</v>
      </c>
      <c r="K122" s="9"/>
      <c r="L122" s="9"/>
      <c r="M122" s="9"/>
      <c r="N122" s="71">
        <f t="shared" si="2"/>
        <v>0</v>
      </c>
      <c r="O122" s="2" t="s">
        <v>81</v>
      </c>
      <c r="P122" s="42">
        <f>COUNT(X11:X24,X26:X85)</f>
        <v>44</v>
      </c>
      <c r="Q122" s="1"/>
      <c r="R122" s="1"/>
      <c r="S122" s="46"/>
      <c r="T122" s="49"/>
      <c r="U122" s="49"/>
      <c r="V122" s="3"/>
      <c r="W122" s="3"/>
      <c r="X122" s="3"/>
      <c r="Y122" s="2"/>
    </row>
    <row r="123" spans="1:25" ht="38.25" customHeight="1" x14ac:dyDescent="0.2">
      <c r="A123" s="9">
        <v>13</v>
      </c>
      <c r="B123" s="2" t="s">
        <v>629</v>
      </c>
      <c r="C123" s="9" t="s">
        <v>627</v>
      </c>
      <c r="D123" s="9" t="s">
        <v>630</v>
      </c>
      <c r="E123" s="9" t="s">
        <v>405</v>
      </c>
      <c r="F123" s="71">
        <f t="shared" si="11"/>
        <v>7</v>
      </c>
      <c r="G123" s="9">
        <v>2</v>
      </c>
      <c r="H123" s="9">
        <v>1</v>
      </c>
      <c r="I123" s="9">
        <v>4</v>
      </c>
      <c r="J123" s="71">
        <f t="shared" si="1"/>
        <v>7</v>
      </c>
      <c r="K123" s="9"/>
      <c r="L123" s="9"/>
      <c r="M123" s="9"/>
      <c r="N123" s="71">
        <f t="shared" si="2"/>
        <v>0</v>
      </c>
      <c r="O123" s="2" t="s">
        <v>97</v>
      </c>
      <c r="P123" s="42">
        <f>P41</f>
        <v>891</v>
      </c>
      <c r="Q123" s="1"/>
      <c r="R123" s="1"/>
      <c r="S123" s="46"/>
      <c r="T123" s="49"/>
      <c r="U123" s="49"/>
      <c r="V123" s="3"/>
      <c r="W123" s="3"/>
      <c r="X123" s="3"/>
      <c r="Y123" s="2"/>
    </row>
    <row r="124" spans="1:25" ht="38.25" customHeight="1" x14ac:dyDescent="0.2">
      <c r="A124" s="9">
        <v>14</v>
      </c>
      <c r="B124" s="2" t="s">
        <v>631</v>
      </c>
      <c r="C124" s="9" t="s">
        <v>632</v>
      </c>
      <c r="D124" s="9" t="s">
        <v>633</v>
      </c>
      <c r="E124" s="9" t="s">
        <v>426</v>
      </c>
      <c r="F124" s="71">
        <f t="shared" si="11"/>
        <v>6</v>
      </c>
      <c r="G124" s="9">
        <v>2</v>
      </c>
      <c r="H124" s="9">
        <v>0</v>
      </c>
      <c r="I124" s="9">
        <v>4</v>
      </c>
      <c r="J124" s="71">
        <f t="shared" si="1"/>
        <v>6</v>
      </c>
      <c r="K124" s="9"/>
      <c r="L124" s="9"/>
      <c r="M124" s="9"/>
      <c r="N124" s="71">
        <f t="shared" si="2"/>
        <v>0</v>
      </c>
      <c r="O124" s="374" t="s">
        <v>98</v>
      </c>
      <c r="P124" s="375"/>
      <c r="Q124" s="1"/>
      <c r="R124" s="1"/>
      <c r="S124" s="46"/>
      <c r="T124" s="49"/>
      <c r="U124" s="49"/>
      <c r="V124" s="3"/>
      <c r="W124" s="3"/>
      <c r="X124" s="3"/>
      <c r="Y124" s="2"/>
    </row>
    <row r="125" spans="1:25" ht="38.25" customHeight="1" x14ac:dyDescent="0.2">
      <c r="A125" s="9">
        <v>15</v>
      </c>
      <c r="B125" s="2" t="s">
        <v>634</v>
      </c>
      <c r="C125" s="9" t="s">
        <v>632</v>
      </c>
      <c r="D125" s="9" t="s">
        <v>446</v>
      </c>
      <c r="E125" s="9" t="s">
        <v>433</v>
      </c>
      <c r="F125" s="71">
        <f t="shared" si="11"/>
        <v>8</v>
      </c>
      <c r="G125" s="9">
        <v>4</v>
      </c>
      <c r="H125" s="9">
        <v>1</v>
      </c>
      <c r="I125" s="9">
        <v>3</v>
      </c>
      <c r="J125" s="71">
        <f t="shared" ref="J125:J188" si="12">G125+H125+I125</f>
        <v>8</v>
      </c>
      <c r="K125" s="9"/>
      <c r="L125" s="9"/>
      <c r="M125" s="9"/>
      <c r="N125" s="71">
        <f t="shared" ref="N125:N188" si="13">K125+L125+M125</f>
        <v>0</v>
      </c>
      <c r="O125" s="144" t="s">
        <v>81</v>
      </c>
      <c r="P125" s="2">
        <v>52</v>
      </c>
      <c r="Q125" s="1"/>
      <c r="R125" s="1"/>
      <c r="S125" s="46"/>
      <c r="T125" s="49"/>
      <c r="U125" s="49"/>
      <c r="V125" s="3"/>
      <c r="W125" s="3"/>
      <c r="X125" s="3"/>
      <c r="Y125" s="2"/>
    </row>
    <row r="126" spans="1:25" ht="38.25" customHeight="1" x14ac:dyDescent="0.2">
      <c r="A126" s="9">
        <v>16</v>
      </c>
      <c r="B126" s="2" t="s">
        <v>635</v>
      </c>
      <c r="C126" s="9" t="s">
        <v>632</v>
      </c>
      <c r="D126" s="9" t="s">
        <v>505</v>
      </c>
      <c r="E126" s="9" t="s">
        <v>426</v>
      </c>
      <c r="F126" s="71">
        <f t="shared" si="11"/>
        <v>5</v>
      </c>
      <c r="G126" s="9">
        <v>1</v>
      </c>
      <c r="H126" s="9">
        <v>1</v>
      </c>
      <c r="I126" s="9">
        <v>3</v>
      </c>
      <c r="J126" s="71">
        <f t="shared" si="12"/>
        <v>5</v>
      </c>
      <c r="K126" s="9"/>
      <c r="L126" s="9"/>
      <c r="M126" s="9"/>
      <c r="N126" s="71">
        <f t="shared" si="13"/>
        <v>0</v>
      </c>
      <c r="O126" s="144" t="s">
        <v>97</v>
      </c>
      <c r="P126" s="2">
        <f>573+32</f>
        <v>605</v>
      </c>
      <c r="Q126" s="1"/>
      <c r="R126" s="1"/>
      <c r="S126" s="46"/>
      <c r="T126" s="49"/>
      <c r="U126" s="49"/>
      <c r="V126" s="3"/>
      <c r="W126" s="3"/>
      <c r="X126" s="3"/>
      <c r="Y126" s="2"/>
    </row>
    <row r="127" spans="1:25" ht="38.25" customHeight="1" x14ac:dyDescent="0.2">
      <c r="A127" s="9">
        <v>17</v>
      </c>
      <c r="B127" s="2" t="s">
        <v>636</v>
      </c>
      <c r="C127" s="9" t="s">
        <v>637</v>
      </c>
      <c r="D127" s="9" t="s">
        <v>525</v>
      </c>
      <c r="E127" s="9" t="s">
        <v>416</v>
      </c>
      <c r="F127" s="71">
        <f t="shared" si="11"/>
        <v>4</v>
      </c>
      <c r="G127" s="9">
        <v>0</v>
      </c>
      <c r="H127" s="9">
        <v>0</v>
      </c>
      <c r="I127" s="9">
        <v>4</v>
      </c>
      <c r="J127" s="71">
        <f t="shared" si="12"/>
        <v>4</v>
      </c>
      <c r="K127" s="9"/>
      <c r="L127" s="9"/>
      <c r="M127" s="9"/>
      <c r="N127" s="71">
        <f t="shared" si="13"/>
        <v>0</v>
      </c>
      <c r="O127" s="374" t="s">
        <v>99</v>
      </c>
      <c r="P127" s="375"/>
      <c r="Q127" s="1"/>
      <c r="R127" s="1"/>
      <c r="S127" s="46"/>
      <c r="T127" s="49"/>
      <c r="U127" s="49"/>
      <c r="V127" s="3"/>
      <c r="W127" s="3"/>
      <c r="X127" s="3"/>
      <c r="Y127" s="2"/>
    </row>
    <row r="128" spans="1:25" ht="38.25" customHeight="1" x14ac:dyDescent="0.2">
      <c r="A128" s="9">
        <v>18</v>
      </c>
      <c r="B128" s="2" t="s">
        <v>638</v>
      </c>
      <c r="C128" s="9" t="s">
        <v>639</v>
      </c>
      <c r="D128" s="9" t="s">
        <v>539</v>
      </c>
      <c r="E128" s="9" t="s">
        <v>417</v>
      </c>
      <c r="F128" s="71">
        <f t="shared" si="11"/>
        <v>4</v>
      </c>
      <c r="G128" s="9">
        <v>2</v>
      </c>
      <c r="H128" s="9">
        <v>1</v>
      </c>
      <c r="I128" s="9">
        <v>1</v>
      </c>
      <c r="J128" s="71">
        <f t="shared" si="12"/>
        <v>4</v>
      </c>
      <c r="K128" s="9"/>
      <c r="L128" s="9"/>
      <c r="M128" s="9"/>
      <c r="N128" s="71">
        <f t="shared" si="13"/>
        <v>0</v>
      </c>
      <c r="O128" s="144" t="s">
        <v>81</v>
      </c>
      <c r="P128" s="2">
        <v>12</v>
      </c>
      <c r="Q128" s="1"/>
      <c r="R128" s="1"/>
      <c r="S128" s="46"/>
      <c r="T128" s="49"/>
      <c r="U128" s="49"/>
      <c r="V128" s="3"/>
      <c r="W128" s="3"/>
      <c r="X128" s="3"/>
      <c r="Y128" s="2"/>
    </row>
    <row r="129" spans="1:25" ht="38.25" customHeight="1" x14ac:dyDescent="0.2">
      <c r="A129" s="9">
        <v>19</v>
      </c>
      <c r="B129" s="2" t="s">
        <v>640</v>
      </c>
      <c r="C129" s="9" t="s">
        <v>639</v>
      </c>
      <c r="D129" s="9" t="s">
        <v>469</v>
      </c>
      <c r="E129" s="9" t="s">
        <v>433</v>
      </c>
      <c r="F129" s="71">
        <f t="shared" si="11"/>
        <v>8</v>
      </c>
      <c r="G129" s="9">
        <v>6</v>
      </c>
      <c r="H129" s="9">
        <v>0</v>
      </c>
      <c r="I129" s="9">
        <v>2</v>
      </c>
      <c r="J129" s="71">
        <f t="shared" si="12"/>
        <v>8</v>
      </c>
      <c r="K129" s="9"/>
      <c r="L129" s="9"/>
      <c r="M129" s="9"/>
      <c r="N129" s="71">
        <f t="shared" si="13"/>
        <v>0</v>
      </c>
      <c r="O129" s="144" t="s">
        <v>97</v>
      </c>
      <c r="P129" s="2">
        <v>144</v>
      </c>
      <c r="Q129" s="1"/>
      <c r="R129" s="1"/>
      <c r="S129" s="46"/>
      <c r="T129" s="49"/>
      <c r="U129" s="49"/>
      <c r="V129" s="3"/>
      <c r="W129" s="3"/>
      <c r="X129" s="3"/>
      <c r="Y129" s="2"/>
    </row>
    <row r="130" spans="1:25" ht="38.25" customHeight="1" x14ac:dyDescent="0.2">
      <c r="A130" s="9">
        <v>20</v>
      </c>
      <c r="B130" s="2" t="s">
        <v>641</v>
      </c>
      <c r="C130" s="9" t="s">
        <v>642</v>
      </c>
      <c r="D130" s="9" t="s">
        <v>643</v>
      </c>
      <c r="E130" s="9" t="s">
        <v>407</v>
      </c>
      <c r="F130" s="71">
        <f t="shared" si="11"/>
        <v>12</v>
      </c>
      <c r="G130" s="9">
        <v>11</v>
      </c>
      <c r="H130" s="9">
        <v>0</v>
      </c>
      <c r="I130" s="9">
        <v>1</v>
      </c>
      <c r="J130" s="71">
        <f t="shared" si="12"/>
        <v>12</v>
      </c>
      <c r="K130" s="9"/>
      <c r="L130" s="9"/>
      <c r="M130" s="9"/>
      <c r="N130" s="71">
        <f t="shared" si="13"/>
        <v>0</v>
      </c>
      <c r="O130" s="374" t="s">
        <v>100</v>
      </c>
      <c r="P130" s="375"/>
      <c r="Q130" s="1"/>
      <c r="R130" s="1"/>
      <c r="S130" s="46"/>
      <c r="T130" s="49"/>
      <c r="U130" s="49"/>
      <c r="V130" s="3"/>
      <c r="W130" s="3"/>
      <c r="X130" s="3"/>
      <c r="Y130" s="2"/>
    </row>
    <row r="131" spans="1:25" ht="38.25" customHeight="1" x14ac:dyDescent="0.2">
      <c r="A131" s="9">
        <v>21</v>
      </c>
      <c r="B131" s="2" t="s">
        <v>644</v>
      </c>
      <c r="C131" s="9" t="s">
        <v>642</v>
      </c>
      <c r="D131" s="9" t="s">
        <v>645</v>
      </c>
      <c r="E131" s="9" t="s">
        <v>407</v>
      </c>
      <c r="F131" s="71">
        <f t="shared" si="11"/>
        <v>3</v>
      </c>
      <c r="G131" s="9">
        <v>2</v>
      </c>
      <c r="H131" s="9">
        <v>0</v>
      </c>
      <c r="I131" s="9">
        <v>1</v>
      </c>
      <c r="J131" s="71">
        <f t="shared" si="12"/>
        <v>3</v>
      </c>
      <c r="K131" s="9"/>
      <c r="L131" s="9"/>
      <c r="M131" s="9"/>
      <c r="N131" s="71">
        <f t="shared" si="13"/>
        <v>0</v>
      </c>
      <c r="O131" s="144" t="s">
        <v>101</v>
      </c>
      <c r="P131" s="2">
        <v>90</v>
      </c>
      <c r="Q131" s="1"/>
      <c r="R131" s="1"/>
      <c r="S131" s="46"/>
      <c r="T131" s="49"/>
      <c r="U131" s="49"/>
      <c r="V131" s="3"/>
      <c r="W131" s="3"/>
      <c r="X131" s="3"/>
      <c r="Y131" s="2"/>
    </row>
    <row r="132" spans="1:25" ht="38.25" customHeight="1" x14ac:dyDescent="0.2">
      <c r="A132" s="9">
        <v>22</v>
      </c>
      <c r="B132" s="2" t="s">
        <v>646</v>
      </c>
      <c r="C132" s="9" t="s">
        <v>647</v>
      </c>
      <c r="D132" s="9" t="s">
        <v>648</v>
      </c>
      <c r="E132" s="9" t="s">
        <v>407</v>
      </c>
      <c r="F132" s="71">
        <f t="shared" si="11"/>
        <v>6</v>
      </c>
      <c r="G132" s="9">
        <v>2</v>
      </c>
      <c r="H132" s="9">
        <v>3</v>
      </c>
      <c r="I132" s="9">
        <v>1</v>
      </c>
      <c r="J132" s="71">
        <f t="shared" si="12"/>
        <v>6</v>
      </c>
      <c r="K132" s="9"/>
      <c r="L132" s="9"/>
      <c r="M132" s="9"/>
      <c r="N132" s="71">
        <f t="shared" si="13"/>
        <v>0</v>
      </c>
      <c r="O132" s="144" t="s">
        <v>102</v>
      </c>
      <c r="P132" s="2">
        <v>14</v>
      </c>
      <c r="Q132" s="1"/>
      <c r="R132" s="1"/>
      <c r="S132" s="46"/>
      <c r="T132" s="49"/>
      <c r="U132" s="49"/>
      <c r="V132" s="3"/>
      <c r="W132" s="3"/>
      <c r="X132" s="3"/>
      <c r="Y132" s="2"/>
    </row>
    <row r="133" spans="1:25" ht="38.25" customHeight="1" x14ac:dyDescent="0.2">
      <c r="A133" s="9">
        <v>23</v>
      </c>
      <c r="B133" s="2" t="s">
        <v>649</v>
      </c>
      <c r="C133" s="9" t="s">
        <v>650</v>
      </c>
      <c r="D133" s="9" t="s">
        <v>651</v>
      </c>
      <c r="E133" s="9" t="s">
        <v>414</v>
      </c>
      <c r="F133" s="71">
        <f t="shared" si="11"/>
        <v>3</v>
      </c>
      <c r="G133" s="9">
        <v>1</v>
      </c>
      <c r="H133" s="9">
        <v>1</v>
      </c>
      <c r="I133" s="9">
        <v>1</v>
      </c>
      <c r="J133" s="71">
        <f t="shared" si="12"/>
        <v>3</v>
      </c>
      <c r="K133" s="9"/>
      <c r="L133" s="9"/>
      <c r="M133" s="9"/>
      <c r="N133" s="71">
        <f t="shared" si="13"/>
        <v>0</v>
      </c>
      <c r="O133" s="144" t="s">
        <v>110</v>
      </c>
      <c r="P133" s="2">
        <v>0</v>
      </c>
      <c r="Q133" s="1"/>
      <c r="R133" s="1"/>
      <c r="S133" s="46"/>
      <c r="T133" s="49"/>
      <c r="U133" s="49"/>
      <c r="V133" s="3"/>
      <c r="W133" s="3"/>
      <c r="X133" s="3"/>
      <c r="Y133" s="2"/>
    </row>
    <row r="134" spans="1:25" ht="38.25" customHeight="1" x14ac:dyDescent="0.2">
      <c r="A134" s="9">
        <v>24</v>
      </c>
      <c r="B134" s="2" t="s">
        <v>652</v>
      </c>
      <c r="C134" s="9" t="s">
        <v>650</v>
      </c>
      <c r="D134" s="9" t="s">
        <v>653</v>
      </c>
      <c r="E134" s="9" t="s">
        <v>654</v>
      </c>
      <c r="F134" s="71">
        <f t="shared" si="11"/>
        <v>0</v>
      </c>
      <c r="G134" s="9">
        <v>0</v>
      </c>
      <c r="H134" s="9">
        <v>0</v>
      </c>
      <c r="I134" s="9">
        <v>0</v>
      </c>
      <c r="J134" s="71">
        <f t="shared" si="12"/>
        <v>0</v>
      </c>
      <c r="K134" s="9"/>
      <c r="L134" s="9"/>
      <c r="M134" s="9"/>
      <c r="N134" s="71">
        <f t="shared" si="13"/>
        <v>0</v>
      </c>
      <c r="O134" s="144" t="s">
        <v>111</v>
      </c>
      <c r="P134" s="2">
        <v>5</v>
      </c>
      <c r="Q134" s="1"/>
      <c r="R134" s="1"/>
      <c r="S134" s="46"/>
      <c r="T134" s="49"/>
      <c r="U134" s="49"/>
      <c r="V134" s="3"/>
      <c r="W134" s="3"/>
      <c r="X134" s="3"/>
      <c r="Y134" s="2"/>
    </row>
    <row r="135" spans="1:25" ht="38.25" customHeight="1" x14ac:dyDescent="0.2">
      <c r="A135" s="9">
        <v>25</v>
      </c>
      <c r="B135" s="2" t="s">
        <v>655</v>
      </c>
      <c r="C135" s="9" t="s">
        <v>656</v>
      </c>
      <c r="D135" s="9" t="s">
        <v>657</v>
      </c>
      <c r="E135" s="9" t="s">
        <v>420</v>
      </c>
      <c r="F135" s="71">
        <f t="shared" si="11"/>
        <v>8</v>
      </c>
      <c r="G135" s="9">
        <v>5</v>
      </c>
      <c r="H135" s="9">
        <v>0</v>
      </c>
      <c r="I135" s="9">
        <v>3</v>
      </c>
      <c r="J135" s="71">
        <f t="shared" si="12"/>
        <v>8</v>
      </c>
      <c r="K135" s="9"/>
      <c r="L135" s="9"/>
      <c r="M135" s="9"/>
      <c r="N135" s="71">
        <f t="shared" si="13"/>
        <v>0</v>
      </c>
      <c r="O135" s="144" t="s">
        <v>37</v>
      </c>
      <c r="P135" s="2">
        <v>10</v>
      </c>
      <c r="Q135" s="1"/>
      <c r="R135" s="1"/>
      <c r="S135" s="46"/>
      <c r="T135" s="49"/>
      <c r="U135" s="49"/>
      <c r="V135" s="3"/>
      <c r="W135" s="3"/>
      <c r="X135" s="3"/>
      <c r="Y135" s="2"/>
    </row>
    <row r="136" spans="1:25" ht="38.25" customHeight="1" x14ac:dyDescent="0.2">
      <c r="A136" s="9">
        <v>26</v>
      </c>
      <c r="B136" s="2" t="s">
        <v>658</v>
      </c>
      <c r="C136" s="9" t="s">
        <v>656</v>
      </c>
      <c r="D136" s="9" t="s">
        <v>659</v>
      </c>
      <c r="E136" s="9" t="s">
        <v>435</v>
      </c>
      <c r="F136" s="71">
        <f t="shared" si="11"/>
        <v>2</v>
      </c>
      <c r="G136" s="9">
        <v>1</v>
      </c>
      <c r="H136" s="9">
        <v>1</v>
      </c>
      <c r="I136" s="9">
        <v>0</v>
      </c>
      <c r="J136" s="71">
        <f t="shared" si="12"/>
        <v>2</v>
      </c>
      <c r="K136" s="9"/>
      <c r="L136" s="9"/>
      <c r="M136" s="9"/>
      <c r="N136" s="71">
        <f t="shared" si="13"/>
        <v>0</v>
      </c>
      <c r="O136" s="144" t="s">
        <v>105</v>
      </c>
      <c r="P136" s="2">
        <v>24</v>
      </c>
      <c r="Q136" s="1"/>
      <c r="R136" s="1"/>
      <c r="S136" s="46"/>
      <c r="T136" s="49"/>
      <c r="U136" s="49"/>
      <c r="V136" s="3"/>
      <c r="W136" s="3"/>
      <c r="X136" s="3"/>
      <c r="Y136" s="2"/>
    </row>
    <row r="137" spans="1:25" ht="38.25" customHeight="1" x14ac:dyDescent="0.2">
      <c r="A137" s="9">
        <v>27</v>
      </c>
      <c r="B137" s="2" t="s">
        <v>660</v>
      </c>
      <c r="C137" s="9" t="s">
        <v>656</v>
      </c>
      <c r="D137" s="9" t="s">
        <v>532</v>
      </c>
      <c r="E137" s="9" t="s">
        <v>417</v>
      </c>
      <c r="F137" s="71">
        <f t="shared" si="11"/>
        <v>3</v>
      </c>
      <c r="G137" s="9">
        <v>1</v>
      </c>
      <c r="H137" s="9">
        <v>0</v>
      </c>
      <c r="I137" s="9">
        <v>2</v>
      </c>
      <c r="J137" s="71">
        <f t="shared" si="12"/>
        <v>3</v>
      </c>
      <c r="K137" s="9"/>
      <c r="L137" s="9"/>
      <c r="M137" s="9"/>
      <c r="N137" s="71">
        <f t="shared" si="13"/>
        <v>0</v>
      </c>
      <c r="O137" s="144" t="s">
        <v>33</v>
      </c>
      <c r="P137" s="2">
        <v>2</v>
      </c>
      <c r="Q137" s="1"/>
      <c r="R137" s="1"/>
      <c r="S137" s="46"/>
      <c r="T137" s="49"/>
      <c r="U137" s="49"/>
      <c r="V137" s="3"/>
      <c r="W137" s="3"/>
      <c r="X137" s="3"/>
      <c r="Y137" s="2"/>
    </row>
    <row r="138" spans="1:25" ht="38.25" customHeight="1" x14ac:dyDescent="0.2">
      <c r="A138" s="9">
        <v>28</v>
      </c>
      <c r="B138" s="2" t="s">
        <v>661</v>
      </c>
      <c r="C138" s="9" t="s">
        <v>662</v>
      </c>
      <c r="D138" s="9" t="s">
        <v>663</v>
      </c>
      <c r="E138" s="9" t="s">
        <v>405</v>
      </c>
      <c r="F138" s="71">
        <f t="shared" si="11"/>
        <v>5</v>
      </c>
      <c r="G138" s="9">
        <v>1</v>
      </c>
      <c r="H138" s="9">
        <v>0</v>
      </c>
      <c r="I138" s="9">
        <v>4</v>
      </c>
      <c r="J138" s="71">
        <f t="shared" si="12"/>
        <v>5</v>
      </c>
      <c r="K138" s="9"/>
      <c r="L138" s="9"/>
      <c r="M138" s="9"/>
      <c r="N138" s="71">
        <f t="shared" si="13"/>
        <v>0</v>
      </c>
      <c r="O138" s="144" t="s">
        <v>106</v>
      </c>
      <c r="P138" s="2">
        <v>5</v>
      </c>
      <c r="Q138" s="1"/>
      <c r="R138" s="1"/>
      <c r="S138" s="46"/>
      <c r="T138" s="49"/>
      <c r="U138" s="49"/>
      <c r="V138" s="3"/>
      <c r="W138" s="3"/>
      <c r="X138" s="3"/>
      <c r="Y138" s="2"/>
    </row>
    <row r="139" spans="1:25" ht="38.25" customHeight="1" x14ac:dyDescent="0.2">
      <c r="A139" s="9">
        <v>29</v>
      </c>
      <c r="B139" s="2" t="s">
        <v>664</v>
      </c>
      <c r="C139" s="9" t="s">
        <v>662</v>
      </c>
      <c r="D139" s="9" t="s">
        <v>665</v>
      </c>
      <c r="E139" s="9" t="s">
        <v>413</v>
      </c>
      <c r="F139" s="71">
        <f t="shared" si="11"/>
        <v>1</v>
      </c>
      <c r="G139" s="9">
        <v>0</v>
      </c>
      <c r="H139" s="9">
        <v>0</v>
      </c>
      <c r="I139" s="9">
        <v>1</v>
      </c>
      <c r="J139" s="71">
        <f t="shared" si="12"/>
        <v>1</v>
      </c>
      <c r="K139" s="9"/>
      <c r="L139" s="9"/>
      <c r="M139" s="9"/>
      <c r="N139" s="71">
        <f t="shared" si="13"/>
        <v>0</v>
      </c>
      <c r="O139" s="144" t="s">
        <v>112</v>
      </c>
      <c r="P139" s="2">
        <v>2</v>
      </c>
      <c r="Q139" s="1"/>
      <c r="R139" s="1"/>
      <c r="S139" s="46"/>
      <c r="T139" s="49"/>
      <c r="U139" s="49"/>
      <c r="V139" s="3"/>
      <c r="W139" s="3"/>
      <c r="X139" s="3"/>
      <c r="Y139" s="2"/>
    </row>
    <row r="140" spans="1:25" ht="38.25" customHeight="1" x14ac:dyDescent="0.2">
      <c r="A140" s="9">
        <v>30</v>
      </c>
      <c r="B140" s="2" t="s">
        <v>666</v>
      </c>
      <c r="C140" s="9" t="s">
        <v>667</v>
      </c>
      <c r="D140" s="9" t="s">
        <v>668</v>
      </c>
      <c r="E140" s="9" t="s">
        <v>411</v>
      </c>
      <c r="F140" s="71">
        <f t="shared" si="11"/>
        <v>1</v>
      </c>
      <c r="G140" s="9">
        <v>0</v>
      </c>
      <c r="H140" s="9">
        <v>0</v>
      </c>
      <c r="I140" s="9">
        <v>1</v>
      </c>
      <c r="J140" s="71">
        <f t="shared" si="12"/>
        <v>1</v>
      </c>
      <c r="K140" s="9"/>
      <c r="L140" s="9"/>
      <c r="M140" s="9"/>
      <c r="N140" s="71">
        <f t="shared" si="13"/>
        <v>0</v>
      </c>
      <c r="O140" s="144" t="s">
        <v>113</v>
      </c>
      <c r="P140" s="2">
        <v>3</v>
      </c>
      <c r="Q140" s="1"/>
      <c r="R140" s="1"/>
      <c r="S140" s="46"/>
      <c r="T140" s="49"/>
      <c r="U140" s="49"/>
      <c r="V140" s="3"/>
      <c r="W140" s="3"/>
      <c r="X140" s="3"/>
      <c r="Y140" s="2"/>
    </row>
    <row r="141" spans="1:25" ht="38.25" customHeight="1" x14ac:dyDescent="0.2">
      <c r="A141" s="9">
        <v>31</v>
      </c>
      <c r="B141" s="2" t="s">
        <v>669</v>
      </c>
      <c r="C141" s="9" t="s">
        <v>667</v>
      </c>
      <c r="D141" s="9" t="s">
        <v>670</v>
      </c>
      <c r="E141" s="9" t="s">
        <v>401</v>
      </c>
      <c r="F141" s="71">
        <f t="shared" si="11"/>
        <v>5</v>
      </c>
      <c r="G141" s="9">
        <v>4</v>
      </c>
      <c r="H141" s="9">
        <v>0</v>
      </c>
      <c r="I141" s="9">
        <v>1</v>
      </c>
      <c r="J141" s="71">
        <f t="shared" si="12"/>
        <v>5</v>
      </c>
      <c r="K141" s="9"/>
      <c r="L141" s="9"/>
      <c r="M141" s="9"/>
      <c r="N141" s="71">
        <f t="shared" si="13"/>
        <v>0</v>
      </c>
      <c r="O141" s="2" t="s">
        <v>108</v>
      </c>
      <c r="P141" s="42">
        <f>SUM(P131:P140)</f>
        <v>155</v>
      </c>
      <c r="Q141" s="1"/>
      <c r="R141" s="1"/>
      <c r="S141" s="46"/>
      <c r="T141" s="49"/>
      <c r="U141" s="49"/>
      <c r="V141" s="3"/>
      <c r="W141" s="3"/>
      <c r="X141" s="3"/>
      <c r="Y141" s="2"/>
    </row>
    <row r="142" spans="1:25" ht="38.25" customHeight="1" x14ac:dyDescent="0.2">
      <c r="A142" s="9">
        <v>32</v>
      </c>
      <c r="B142" s="2" t="s">
        <v>671</v>
      </c>
      <c r="C142" s="9" t="s">
        <v>667</v>
      </c>
      <c r="D142" s="9" t="s">
        <v>672</v>
      </c>
      <c r="E142" s="9" t="s">
        <v>411</v>
      </c>
      <c r="F142" s="71">
        <f t="shared" si="11"/>
        <v>4</v>
      </c>
      <c r="G142" s="9">
        <v>1</v>
      </c>
      <c r="H142" s="9">
        <v>0</v>
      </c>
      <c r="I142" s="9">
        <v>3</v>
      </c>
      <c r="J142" s="71">
        <f t="shared" si="12"/>
        <v>4</v>
      </c>
      <c r="K142" s="9"/>
      <c r="L142" s="9"/>
      <c r="M142" s="9"/>
      <c r="N142" s="71">
        <f t="shared" si="13"/>
        <v>0</v>
      </c>
      <c r="O142" s="144" t="s">
        <v>61</v>
      </c>
      <c r="P142" s="2">
        <f>1080+168+60+120+288+24+60+24+36</f>
        <v>1860</v>
      </c>
      <c r="Q142" s="1"/>
      <c r="R142" s="1"/>
      <c r="S142" s="46"/>
      <c r="T142" s="49"/>
      <c r="U142" s="49"/>
      <c r="V142" s="3"/>
      <c r="W142" s="3"/>
      <c r="X142" s="3"/>
      <c r="Y142" s="2"/>
    </row>
    <row r="143" spans="1:25" ht="38.25" customHeight="1" x14ac:dyDescent="0.2">
      <c r="A143" s="9">
        <v>33</v>
      </c>
      <c r="B143" s="2" t="s">
        <v>673</v>
      </c>
      <c r="C143" s="9" t="s">
        <v>667</v>
      </c>
      <c r="D143" s="9" t="s">
        <v>674</v>
      </c>
      <c r="E143" s="9" t="s">
        <v>409</v>
      </c>
      <c r="F143" s="71">
        <f t="shared" si="11"/>
        <v>2</v>
      </c>
      <c r="G143" s="9">
        <v>2</v>
      </c>
      <c r="H143" s="9">
        <v>0</v>
      </c>
      <c r="I143" s="9">
        <v>0</v>
      </c>
      <c r="J143" s="71">
        <f t="shared" si="12"/>
        <v>2</v>
      </c>
      <c r="K143" s="9"/>
      <c r="L143" s="9"/>
      <c r="M143" s="9"/>
      <c r="N143" s="71">
        <f t="shared" si="13"/>
        <v>0</v>
      </c>
      <c r="O143" s="2"/>
      <c r="P143" s="2"/>
      <c r="Q143" s="1"/>
      <c r="R143" s="1"/>
      <c r="S143" s="46"/>
      <c r="T143" s="49"/>
      <c r="U143" s="49"/>
      <c r="V143" s="3"/>
      <c r="W143" s="3"/>
      <c r="X143" s="3"/>
      <c r="Y143" s="2"/>
    </row>
    <row r="144" spans="1:25" ht="38.25" customHeight="1" x14ac:dyDescent="0.2">
      <c r="A144" s="9">
        <v>34</v>
      </c>
      <c r="B144" s="2" t="s">
        <v>675</v>
      </c>
      <c r="C144" s="9" t="s">
        <v>667</v>
      </c>
      <c r="D144" s="9" t="s">
        <v>676</v>
      </c>
      <c r="E144" s="9" t="s">
        <v>406</v>
      </c>
      <c r="F144" s="71">
        <f t="shared" si="11"/>
        <v>7</v>
      </c>
      <c r="G144" s="9">
        <v>2</v>
      </c>
      <c r="H144" s="9">
        <v>0</v>
      </c>
      <c r="I144" s="9">
        <v>5</v>
      </c>
      <c r="J144" s="71">
        <f t="shared" si="12"/>
        <v>7</v>
      </c>
      <c r="K144" s="9"/>
      <c r="L144" s="9"/>
      <c r="M144" s="9"/>
      <c r="N144" s="71">
        <f t="shared" si="13"/>
        <v>0</v>
      </c>
      <c r="O144" s="414" t="s">
        <v>114</v>
      </c>
      <c r="P144" s="414"/>
      <c r="Q144" s="1"/>
      <c r="R144" s="1"/>
      <c r="S144" s="46"/>
      <c r="T144" s="49"/>
      <c r="U144" s="49"/>
      <c r="V144" s="3"/>
      <c r="W144" s="3"/>
      <c r="X144" s="3"/>
      <c r="Y144" s="2"/>
    </row>
    <row r="145" spans="1:25" ht="38.25" customHeight="1" x14ac:dyDescent="0.2">
      <c r="A145" s="9">
        <v>35</v>
      </c>
      <c r="B145" s="2" t="s">
        <v>677</v>
      </c>
      <c r="C145" s="9" t="s">
        <v>678</v>
      </c>
      <c r="D145" s="9" t="s">
        <v>679</v>
      </c>
      <c r="E145" s="9" t="s">
        <v>405</v>
      </c>
      <c r="F145" s="71">
        <f t="shared" si="11"/>
        <v>7</v>
      </c>
      <c r="G145" s="9">
        <v>3</v>
      </c>
      <c r="H145" s="9">
        <v>0</v>
      </c>
      <c r="I145" s="9">
        <v>4</v>
      </c>
      <c r="J145" s="71">
        <f t="shared" si="12"/>
        <v>7</v>
      </c>
      <c r="K145" s="9"/>
      <c r="L145" s="9"/>
      <c r="M145" s="9"/>
      <c r="N145" s="71">
        <f t="shared" si="13"/>
        <v>0</v>
      </c>
      <c r="O145" s="144" t="s">
        <v>115</v>
      </c>
      <c r="P145" s="2">
        <v>1</v>
      </c>
      <c r="Q145" s="1"/>
      <c r="R145" s="1"/>
      <c r="S145" s="46"/>
      <c r="T145" s="49"/>
      <c r="U145" s="49"/>
      <c r="V145" s="3"/>
      <c r="W145" s="3"/>
      <c r="X145" s="3"/>
      <c r="Y145" s="2"/>
    </row>
    <row r="146" spans="1:25" ht="38.25" customHeight="1" x14ac:dyDescent="0.2">
      <c r="A146" s="9">
        <v>36</v>
      </c>
      <c r="B146" s="2" t="s">
        <v>680</v>
      </c>
      <c r="C146" s="9" t="s">
        <v>681</v>
      </c>
      <c r="D146" s="9" t="s">
        <v>682</v>
      </c>
      <c r="E146" s="9" t="s">
        <v>402</v>
      </c>
      <c r="F146" s="71">
        <f t="shared" si="11"/>
        <v>2</v>
      </c>
      <c r="G146" s="9">
        <v>0</v>
      </c>
      <c r="H146" s="9">
        <v>0</v>
      </c>
      <c r="I146" s="9">
        <v>2</v>
      </c>
      <c r="J146" s="71">
        <f t="shared" si="12"/>
        <v>2</v>
      </c>
      <c r="K146" s="9"/>
      <c r="L146" s="9"/>
      <c r="M146" s="9"/>
      <c r="N146" s="71">
        <f t="shared" si="13"/>
        <v>0</v>
      </c>
      <c r="O146" s="144" t="s">
        <v>97</v>
      </c>
      <c r="P146" s="2">
        <v>12</v>
      </c>
      <c r="Q146" s="1"/>
      <c r="R146" s="1"/>
      <c r="S146" s="46"/>
      <c r="T146" s="49"/>
      <c r="U146" s="49"/>
      <c r="V146" s="3"/>
      <c r="W146" s="3"/>
      <c r="X146" s="3"/>
      <c r="Y146" s="2"/>
    </row>
    <row r="147" spans="1:25" ht="38.25" customHeight="1" x14ac:dyDescent="0.2">
      <c r="A147" s="9">
        <v>37</v>
      </c>
      <c r="B147" s="2" t="s">
        <v>683</v>
      </c>
      <c r="C147" s="9" t="s">
        <v>681</v>
      </c>
      <c r="D147" s="9" t="s">
        <v>482</v>
      </c>
      <c r="E147" s="9" t="s">
        <v>427</v>
      </c>
      <c r="F147" s="71">
        <f t="shared" si="11"/>
        <v>9</v>
      </c>
      <c r="G147" s="9">
        <v>1</v>
      </c>
      <c r="H147" s="9">
        <v>0</v>
      </c>
      <c r="I147" s="9">
        <v>8</v>
      </c>
      <c r="J147" s="71">
        <f t="shared" si="12"/>
        <v>9</v>
      </c>
      <c r="K147" s="9"/>
      <c r="L147" s="9"/>
      <c r="M147" s="9"/>
      <c r="N147" s="71">
        <f t="shared" si="13"/>
        <v>0</v>
      </c>
      <c r="O147" s="144" t="s">
        <v>116</v>
      </c>
      <c r="P147" s="2">
        <v>182</v>
      </c>
      <c r="Q147" s="1"/>
      <c r="R147" s="1"/>
      <c r="S147" s="46"/>
      <c r="T147" s="49"/>
      <c r="U147" s="49"/>
      <c r="V147" s="3"/>
      <c r="W147" s="3"/>
      <c r="X147" s="3"/>
      <c r="Y147" s="2"/>
    </row>
    <row r="148" spans="1:25" ht="38.25" customHeight="1" x14ac:dyDescent="0.2">
      <c r="A148" s="9">
        <v>38</v>
      </c>
      <c r="B148" s="2" t="s">
        <v>684</v>
      </c>
      <c r="C148" s="9" t="s">
        <v>681</v>
      </c>
      <c r="D148" s="9" t="s">
        <v>685</v>
      </c>
      <c r="E148" s="9" t="s">
        <v>435</v>
      </c>
      <c r="F148" s="71">
        <f t="shared" si="11"/>
        <v>3</v>
      </c>
      <c r="G148" s="9">
        <v>0</v>
      </c>
      <c r="H148" s="9">
        <v>0</v>
      </c>
      <c r="I148" s="9">
        <v>3</v>
      </c>
      <c r="J148" s="71">
        <f t="shared" si="12"/>
        <v>3</v>
      </c>
      <c r="K148" s="9"/>
      <c r="L148" s="9"/>
      <c r="M148" s="9"/>
      <c r="N148" s="71">
        <f t="shared" si="13"/>
        <v>0</v>
      </c>
      <c r="O148" s="144" t="s">
        <v>117</v>
      </c>
      <c r="P148" s="2">
        <v>39</v>
      </c>
      <c r="Q148" s="1"/>
      <c r="R148" s="1"/>
      <c r="S148" s="46"/>
      <c r="T148" s="49"/>
      <c r="U148" s="49"/>
      <c r="V148" s="3"/>
      <c r="W148" s="3"/>
      <c r="X148" s="3"/>
      <c r="Y148" s="2"/>
    </row>
    <row r="149" spans="1:25" ht="38.25" customHeight="1" x14ac:dyDescent="0.2">
      <c r="A149" s="9">
        <v>39</v>
      </c>
      <c r="B149" s="2" t="s">
        <v>686</v>
      </c>
      <c r="C149" s="9" t="s">
        <v>681</v>
      </c>
      <c r="D149" s="9" t="s">
        <v>687</v>
      </c>
      <c r="E149" s="9" t="s">
        <v>417</v>
      </c>
      <c r="F149" s="71">
        <f t="shared" si="11"/>
        <v>6</v>
      </c>
      <c r="G149" s="9">
        <v>2</v>
      </c>
      <c r="H149" s="9">
        <v>1</v>
      </c>
      <c r="I149" s="9">
        <v>3</v>
      </c>
      <c r="J149" s="71">
        <f t="shared" si="12"/>
        <v>6</v>
      </c>
      <c r="K149" s="9"/>
      <c r="L149" s="9"/>
      <c r="M149" s="9"/>
      <c r="N149" s="71">
        <f t="shared" si="13"/>
        <v>0</v>
      </c>
      <c r="O149" s="2" t="s">
        <v>118</v>
      </c>
      <c r="P149" s="42">
        <f>P147-P148-P150</f>
        <v>97</v>
      </c>
      <c r="Q149" s="1"/>
      <c r="R149" s="1"/>
      <c r="S149" s="46"/>
      <c r="T149" s="49"/>
      <c r="U149" s="49"/>
      <c r="V149" s="3"/>
      <c r="W149" s="3"/>
      <c r="X149" s="3"/>
      <c r="Y149" s="2"/>
    </row>
    <row r="150" spans="1:25" ht="38.25" customHeight="1" x14ac:dyDescent="0.2">
      <c r="A150" s="9">
        <v>40</v>
      </c>
      <c r="B150" s="2" t="s">
        <v>688</v>
      </c>
      <c r="C150" s="9" t="s">
        <v>689</v>
      </c>
      <c r="D150" s="9" t="s">
        <v>690</v>
      </c>
      <c r="E150" s="9" t="s">
        <v>411</v>
      </c>
      <c r="F150" s="71">
        <f t="shared" si="11"/>
        <v>2</v>
      </c>
      <c r="G150" s="9">
        <v>1</v>
      </c>
      <c r="H150" s="9">
        <v>0</v>
      </c>
      <c r="I150" s="9">
        <v>1</v>
      </c>
      <c r="J150" s="71">
        <f t="shared" si="12"/>
        <v>2</v>
      </c>
      <c r="K150" s="9"/>
      <c r="L150" s="9"/>
      <c r="M150" s="9"/>
      <c r="N150" s="71">
        <f t="shared" si="13"/>
        <v>0</v>
      </c>
      <c r="O150" s="144" t="s">
        <v>119</v>
      </c>
      <c r="P150" s="2">
        <v>46</v>
      </c>
      <c r="Q150" s="1"/>
      <c r="R150" s="1"/>
      <c r="S150" s="46"/>
      <c r="T150" s="49"/>
      <c r="U150" s="49"/>
      <c r="V150" s="3"/>
      <c r="W150" s="3"/>
      <c r="X150" s="3"/>
      <c r="Y150" s="2"/>
    </row>
    <row r="151" spans="1:25" ht="38.25" customHeight="1" x14ac:dyDescent="0.2">
      <c r="A151" s="9">
        <v>41</v>
      </c>
      <c r="B151" s="2" t="s">
        <v>691</v>
      </c>
      <c r="C151" s="9" t="s">
        <v>692</v>
      </c>
      <c r="D151" s="9" t="s">
        <v>693</v>
      </c>
      <c r="E151" s="9" t="s">
        <v>427</v>
      </c>
      <c r="F151" s="71">
        <f t="shared" si="11"/>
        <v>7</v>
      </c>
      <c r="G151" s="9">
        <v>2</v>
      </c>
      <c r="H151" s="9">
        <v>0</v>
      </c>
      <c r="I151" s="9">
        <v>5</v>
      </c>
      <c r="J151" s="71">
        <f t="shared" si="12"/>
        <v>7</v>
      </c>
      <c r="K151" s="9"/>
      <c r="L151" s="9"/>
      <c r="M151" s="9"/>
      <c r="N151" s="71">
        <f t="shared" si="13"/>
        <v>0</v>
      </c>
      <c r="O151" s="72" t="s">
        <v>62</v>
      </c>
      <c r="P151" s="77">
        <f>P149/P146</f>
        <v>8.0833333333333339</v>
      </c>
      <c r="Q151" s="1"/>
      <c r="R151" s="1"/>
      <c r="S151" s="46"/>
      <c r="T151" s="49"/>
      <c r="U151" s="49"/>
      <c r="V151" s="3"/>
      <c r="W151" s="3"/>
      <c r="X151" s="3"/>
      <c r="Y151" s="2"/>
    </row>
    <row r="152" spans="1:25" ht="38.25" customHeight="1" x14ac:dyDescent="0.2">
      <c r="A152" s="9">
        <v>42</v>
      </c>
      <c r="B152" s="2" t="s">
        <v>694</v>
      </c>
      <c r="C152" s="9" t="s">
        <v>692</v>
      </c>
      <c r="D152" s="9" t="s">
        <v>695</v>
      </c>
      <c r="E152" s="9" t="s">
        <v>432</v>
      </c>
      <c r="F152" s="71">
        <f t="shared" si="11"/>
        <v>4</v>
      </c>
      <c r="G152" s="9">
        <v>2</v>
      </c>
      <c r="H152" s="9">
        <v>2</v>
      </c>
      <c r="I152" s="9">
        <v>0</v>
      </c>
      <c r="J152" s="71">
        <f t="shared" si="12"/>
        <v>4</v>
      </c>
      <c r="K152" s="9"/>
      <c r="L152" s="9"/>
      <c r="M152" s="9"/>
      <c r="N152" s="71">
        <f t="shared" si="13"/>
        <v>0</v>
      </c>
      <c r="O152" s="2"/>
      <c r="P152" s="2"/>
      <c r="Q152" s="1"/>
      <c r="R152" s="1"/>
      <c r="S152" s="46"/>
      <c r="T152" s="49"/>
      <c r="U152" s="49"/>
      <c r="V152" s="3"/>
      <c r="W152" s="3"/>
      <c r="X152" s="3"/>
      <c r="Y152" s="2"/>
    </row>
    <row r="153" spans="1:25" ht="38.25" customHeight="1" x14ac:dyDescent="0.2">
      <c r="A153" s="9">
        <v>43</v>
      </c>
      <c r="B153" s="2" t="s">
        <v>696</v>
      </c>
      <c r="C153" s="9" t="s">
        <v>692</v>
      </c>
      <c r="D153" s="9" t="s">
        <v>697</v>
      </c>
      <c r="E153" s="9" t="s">
        <v>413</v>
      </c>
      <c r="F153" s="71">
        <f t="shared" si="11"/>
        <v>4</v>
      </c>
      <c r="G153" s="9">
        <v>2</v>
      </c>
      <c r="H153" s="9">
        <v>0</v>
      </c>
      <c r="I153" s="9">
        <v>2</v>
      </c>
      <c r="J153" s="71">
        <f t="shared" si="12"/>
        <v>4</v>
      </c>
      <c r="K153" s="9"/>
      <c r="L153" s="9"/>
      <c r="M153" s="9"/>
      <c r="N153" s="71">
        <f t="shared" si="13"/>
        <v>0</v>
      </c>
      <c r="O153" s="152"/>
      <c r="P153" s="152"/>
      <c r="Q153" s="1"/>
      <c r="R153" s="1"/>
      <c r="S153" s="46"/>
      <c r="T153" s="49"/>
      <c r="U153" s="49"/>
      <c r="V153" s="3"/>
      <c r="W153" s="3"/>
      <c r="X153" s="3"/>
      <c r="Y153" s="2"/>
    </row>
    <row r="154" spans="1:25" ht="38.25" customHeight="1" x14ac:dyDescent="0.2">
      <c r="A154" s="9">
        <v>44</v>
      </c>
      <c r="B154" s="2" t="s">
        <v>698</v>
      </c>
      <c r="C154" s="9" t="s">
        <v>692</v>
      </c>
      <c r="D154" s="9" t="s">
        <v>699</v>
      </c>
      <c r="E154" s="9" t="s">
        <v>414</v>
      </c>
      <c r="F154" s="71">
        <f t="shared" si="11"/>
        <v>6</v>
      </c>
      <c r="G154" s="9">
        <v>3</v>
      </c>
      <c r="H154" s="9">
        <v>1</v>
      </c>
      <c r="I154" s="9">
        <v>2</v>
      </c>
      <c r="J154" s="71">
        <f t="shared" si="12"/>
        <v>6</v>
      </c>
      <c r="K154" s="9"/>
      <c r="L154" s="9"/>
      <c r="M154" s="9"/>
      <c r="N154" s="71">
        <f t="shared" si="13"/>
        <v>0</v>
      </c>
      <c r="O154" s="1"/>
      <c r="P154" s="1"/>
      <c r="Q154" s="1"/>
      <c r="R154" s="1"/>
      <c r="S154" s="46"/>
      <c r="T154" s="49"/>
      <c r="U154" s="49"/>
      <c r="V154" s="3"/>
      <c r="W154" s="3"/>
      <c r="X154" s="3"/>
      <c r="Y154" s="2"/>
    </row>
    <row r="155" spans="1:25" ht="38.25" customHeight="1" x14ac:dyDescent="0.2">
      <c r="A155" s="9">
        <v>45</v>
      </c>
      <c r="B155" s="2" t="s">
        <v>700</v>
      </c>
      <c r="C155" s="9" t="s">
        <v>692</v>
      </c>
      <c r="D155" s="9" t="s">
        <v>541</v>
      </c>
      <c r="E155" s="9" t="s">
        <v>426</v>
      </c>
      <c r="F155" s="71">
        <f t="shared" si="11"/>
        <v>3</v>
      </c>
      <c r="G155" s="9">
        <v>2</v>
      </c>
      <c r="H155" s="9">
        <v>1</v>
      </c>
      <c r="I155" s="9">
        <v>0</v>
      </c>
      <c r="J155" s="71">
        <f t="shared" si="12"/>
        <v>3</v>
      </c>
      <c r="K155" s="9"/>
      <c r="L155" s="9"/>
      <c r="M155" s="9"/>
      <c r="N155" s="71">
        <f t="shared" si="13"/>
        <v>0</v>
      </c>
      <c r="O155" s="1"/>
      <c r="P155" s="1"/>
      <c r="Q155" s="1"/>
      <c r="R155" s="1"/>
      <c r="S155" s="46"/>
      <c r="T155" s="49"/>
      <c r="U155" s="49"/>
      <c r="V155" s="3"/>
      <c r="W155" s="3"/>
      <c r="X155" s="3"/>
      <c r="Y155" s="2"/>
    </row>
    <row r="156" spans="1:25" ht="38.25" customHeight="1" x14ac:dyDescent="0.2">
      <c r="A156" s="9">
        <v>46</v>
      </c>
      <c r="B156" s="2" t="s">
        <v>701</v>
      </c>
      <c r="C156" s="9" t="s">
        <v>692</v>
      </c>
      <c r="D156" s="9" t="s">
        <v>702</v>
      </c>
      <c r="E156" s="9" t="s">
        <v>414</v>
      </c>
      <c r="F156" s="71">
        <f t="shared" si="11"/>
        <v>6</v>
      </c>
      <c r="G156" s="9">
        <v>2</v>
      </c>
      <c r="H156" s="9">
        <v>2</v>
      </c>
      <c r="I156" s="9">
        <v>2</v>
      </c>
      <c r="J156" s="71">
        <f t="shared" si="12"/>
        <v>6</v>
      </c>
      <c r="K156" s="9"/>
      <c r="L156" s="9"/>
      <c r="M156" s="9"/>
      <c r="N156" s="71">
        <f t="shared" si="13"/>
        <v>0</v>
      </c>
      <c r="O156" s="1"/>
      <c r="P156" s="1"/>
      <c r="Q156" s="1"/>
      <c r="R156" s="1"/>
      <c r="S156" s="46"/>
      <c r="T156" s="49"/>
      <c r="U156" s="49"/>
      <c r="V156" s="3"/>
      <c r="W156" s="3"/>
      <c r="X156" s="3"/>
      <c r="Y156" s="2"/>
    </row>
    <row r="157" spans="1:25" ht="38.25" customHeight="1" x14ac:dyDescent="0.2">
      <c r="A157" s="9">
        <v>47</v>
      </c>
      <c r="B157" s="2" t="s">
        <v>703</v>
      </c>
      <c r="C157" s="9" t="s">
        <v>704</v>
      </c>
      <c r="D157" s="9" t="s">
        <v>562</v>
      </c>
      <c r="E157" s="9" t="s">
        <v>418</v>
      </c>
      <c r="F157" s="71">
        <f t="shared" si="11"/>
        <v>3</v>
      </c>
      <c r="G157" s="9">
        <v>1</v>
      </c>
      <c r="H157" s="9">
        <v>1</v>
      </c>
      <c r="I157" s="9">
        <v>1</v>
      </c>
      <c r="J157" s="71">
        <f t="shared" si="12"/>
        <v>3</v>
      </c>
      <c r="K157" s="9"/>
      <c r="L157" s="9"/>
      <c r="M157" s="9"/>
      <c r="N157" s="71">
        <f t="shared" si="13"/>
        <v>0</v>
      </c>
      <c r="O157" s="1"/>
      <c r="P157" s="1"/>
      <c r="Q157" s="1"/>
      <c r="R157" s="1"/>
      <c r="S157" s="46"/>
      <c r="T157" s="49"/>
      <c r="U157" s="49"/>
      <c r="V157" s="3"/>
      <c r="W157" s="3"/>
      <c r="X157" s="3"/>
      <c r="Y157" s="2"/>
    </row>
    <row r="158" spans="1:25" ht="38.25" customHeight="1" x14ac:dyDescent="0.2">
      <c r="A158" s="9">
        <v>48</v>
      </c>
      <c r="B158" s="2" t="s">
        <v>705</v>
      </c>
      <c r="C158" s="9" t="s">
        <v>706</v>
      </c>
      <c r="D158" s="9" t="s">
        <v>707</v>
      </c>
      <c r="E158" s="9" t="s">
        <v>402</v>
      </c>
      <c r="F158" s="71">
        <f t="shared" si="11"/>
        <v>1</v>
      </c>
      <c r="G158" s="9">
        <v>1</v>
      </c>
      <c r="H158" s="9">
        <v>0</v>
      </c>
      <c r="I158" s="9">
        <v>0</v>
      </c>
      <c r="J158" s="71">
        <f t="shared" si="12"/>
        <v>1</v>
      </c>
      <c r="K158" s="9"/>
      <c r="L158" s="9"/>
      <c r="M158" s="9"/>
      <c r="N158" s="71">
        <f t="shared" si="13"/>
        <v>0</v>
      </c>
      <c r="O158" s="1"/>
      <c r="P158" s="11"/>
      <c r="Q158" s="1"/>
      <c r="R158" s="1"/>
      <c r="S158" s="46"/>
      <c r="T158" s="49"/>
      <c r="U158" s="49"/>
      <c r="V158" s="3"/>
      <c r="W158" s="3"/>
      <c r="X158" s="3"/>
      <c r="Y158" s="2"/>
    </row>
    <row r="159" spans="1:25" ht="38.25" customHeight="1" x14ac:dyDescent="0.2">
      <c r="A159" s="9">
        <v>49</v>
      </c>
      <c r="B159" s="2" t="s">
        <v>708</v>
      </c>
      <c r="C159" s="9" t="s">
        <v>706</v>
      </c>
      <c r="D159" s="9" t="s">
        <v>709</v>
      </c>
      <c r="E159" s="9" t="s">
        <v>424</v>
      </c>
      <c r="F159" s="71">
        <f t="shared" si="11"/>
        <v>10</v>
      </c>
      <c r="G159" s="9">
        <v>5</v>
      </c>
      <c r="H159" s="9">
        <v>1</v>
      </c>
      <c r="I159" s="9">
        <v>4</v>
      </c>
      <c r="J159" s="71">
        <f t="shared" si="12"/>
        <v>10</v>
      </c>
      <c r="K159" s="9"/>
      <c r="L159" s="9"/>
      <c r="M159" s="9"/>
      <c r="N159" s="71">
        <f t="shared" si="13"/>
        <v>0</v>
      </c>
      <c r="O159" s="372" t="s">
        <v>120</v>
      </c>
      <c r="P159" s="373"/>
      <c r="Q159" s="1"/>
      <c r="R159" s="1"/>
      <c r="S159" s="46"/>
      <c r="T159" s="49"/>
      <c r="U159" s="49"/>
      <c r="V159" s="3"/>
      <c r="W159" s="3"/>
      <c r="X159" s="3"/>
      <c r="Y159" s="2"/>
    </row>
    <row r="160" spans="1:25" ht="38.25" customHeight="1" x14ac:dyDescent="0.2">
      <c r="A160" s="9">
        <v>50</v>
      </c>
      <c r="B160" s="2" t="s">
        <v>710</v>
      </c>
      <c r="C160" s="9" t="s">
        <v>711</v>
      </c>
      <c r="D160" s="9" t="s">
        <v>712</v>
      </c>
      <c r="E160" s="9" t="s">
        <v>425</v>
      </c>
      <c r="F160" s="71">
        <f t="shared" si="11"/>
        <v>4</v>
      </c>
      <c r="G160" s="9">
        <v>4</v>
      </c>
      <c r="H160" s="9">
        <v>0</v>
      </c>
      <c r="I160" s="9">
        <v>0</v>
      </c>
      <c r="J160" s="71">
        <f t="shared" si="12"/>
        <v>4</v>
      </c>
      <c r="K160" s="9"/>
      <c r="L160" s="9"/>
      <c r="M160" s="9"/>
      <c r="N160" s="71">
        <f t="shared" si="13"/>
        <v>0</v>
      </c>
      <c r="O160" s="2" t="s">
        <v>121</v>
      </c>
      <c r="P160" s="42">
        <f>'Plan vs Advance'!F6</f>
        <v>314</v>
      </c>
      <c r="Q160" s="1"/>
      <c r="R160" s="1"/>
      <c r="S160" s="46"/>
      <c r="T160" s="49"/>
      <c r="U160" s="49"/>
      <c r="V160" s="3"/>
      <c r="W160" s="3"/>
      <c r="X160" s="3"/>
      <c r="Y160" s="2"/>
    </row>
    <row r="161" spans="1:25" ht="38.25" customHeight="1" x14ac:dyDescent="0.2">
      <c r="A161" s="9">
        <v>51</v>
      </c>
      <c r="B161" s="2" t="s">
        <v>713</v>
      </c>
      <c r="C161" s="9" t="s">
        <v>711</v>
      </c>
      <c r="D161" s="9" t="s">
        <v>714</v>
      </c>
      <c r="E161" s="9" t="s">
        <v>424</v>
      </c>
      <c r="F161" s="71">
        <f t="shared" si="11"/>
        <v>8</v>
      </c>
      <c r="G161" s="9">
        <v>7</v>
      </c>
      <c r="H161" s="9">
        <v>0</v>
      </c>
      <c r="I161" s="9">
        <v>1</v>
      </c>
      <c r="J161" s="71">
        <f t="shared" si="12"/>
        <v>8</v>
      </c>
      <c r="K161" s="9"/>
      <c r="L161" s="9"/>
      <c r="M161" s="9"/>
      <c r="N161" s="71">
        <f t="shared" si="13"/>
        <v>0</v>
      </c>
      <c r="O161" s="2" t="s">
        <v>123</v>
      </c>
      <c r="P161" s="42">
        <f>'Plan vs Advance'!F19</f>
        <v>145</v>
      </c>
      <c r="Q161" s="1"/>
      <c r="R161" s="1"/>
      <c r="S161" s="46"/>
      <c r="T161" s="49"/>
      <c r="U161" s="49"/>
      <c r="V161" s="3"/>
      <c r="W161" s="3"/>
      <c r="X161" s="3"/>
      <c r="Y161" s="2"/>
    </row>
    <row r="162" spans="1:25" ht="38.25" customHeight="1" x14ac:dyDescent="0.2">
      <c r="A162" s="9">
        <v>52</v>
      </c>
      <c r="B162" s="2" t="s">
        <v>715</v>
      </c>
      <c r="C162" s="9" t="s">
        <v>711</v>
      </c>
      <c r="D162" s="9" t="s">
        <v>716</v>
      </c>
      <c r="E162" s="9" t="s">
        <v>411</v>
      </c>
      <c r="F162" s="71">
        <f t="shared" si="11"/>
        <v>0</v>
      </c>
      <c r="G162" s="9">
        <v>0</v>
      </c>
      <c r="H162" s="9">
        <v>0</v>
      </c>
      <c r="I162" s="9">
        <v>0</v>
      </c>
      <c r="J162" s="71">
        <f t="shared" si="12"/>
        <v>0</v>
      </c>
      <c r="K162" s="9"/>
      <c r="L162" s="9"/>
      <c r="M162" s="9"/>
      <c r="N162" s="71">
        <f t="shared" si="13"/>
        <v>0</v>
      </c>
      <c r="O162" s="2" t="s">
        <v>19</v>
      </c>
      <c r="P162" s="42">
        <f>SUM(P160:P161)</f>
        <v>459</v>
      </c>
      <c r="Q162" s="1"/>
      <c r="R162" s="1"/>
      <c r="S162" s="46"/>
      <c r="T162" s="49"/>
      <c r="U162" s="49"/>
      <c r="V162" s="3"/>
      <c r="W162" s="3"/>
      <c r="X162" s="3"/>
      <c r="Y162" s="2"/>
    </row>
    <row r="163" spans="1:25" ht="38.25" customHeight="1" x14ac:dyDescent="0.2">
      <c r="A163" s="9">
        <v>53</v>
      </c>
      <c r="B163" s="2" t="s">
        <v>717</v>
      </c>
      <c r="C163" s="9" t="s">
        <v>711</v>
      </c>
      <c r="D163" s="9" t="s">
        <v>718</v>
      </c>
      <c r="E163" s="9" t="s">
        <v>411</v>
      </c>
      <c r="F163" s="71">
        <f t="shared" si="11"/>
        <v>1</v>
      </c>
      <c r="G163" s="9">
        <v>1</v>
      </c>
      <c r="H163" s="9">
        <v>0</v>
      </c>
      <c r="I163" s="9">
        <v>0</v>
      </c>
      <c r="J163" s="71">
        <f t="shared" si="12"/>
        <v>1</v>
      </c>
      <c r="K163" s="9"/>
      <c r="L163" s="9"/>
      <c r="M163" s="9"/>
      <c r="N163" s="71">
        <f t="shared" si="13"/>
        <v>0</v>
      </c>
      <c r="O163" s="372" t="s">
        <v>124</v>
      </c>
      <c r="P163" s="373"/>
      <c r="Q163" s="1"/>
      <c r="R163" s="1"/>
      <c r="S163" s="46"/>
      <c r="T163" s="49"/>
      <c r="U163" s="49"/>
      <c r="V163" s="3"/>
      <c r="W163" s="3"/>
      <c r="X163" s="3"/>
      <c r="Y163" s="2"/>
    </row>
    <row r="164" spans="1:25" ht="38.25" customHeight="1" x14ac:dyDescent="0.2">
      <c r="A164" s="9">
        <v>54</v>
      </c>
      <c r="B164" s="2" t="s">
        <v>719</v>
      </c>
      <c r="C164" s="9" t="s">
        <v>720</v>
      </c>
      <c r="D164" s="9" t="s">
        <v>596</v>
      </c>
      <c r="E164" s="9" t="s">
        <v>403</v>
      </c>
      <c r="F164" s="71">
        <f t="shared" si="11"/>
        <v>4</v>
      </c>
      <c r="G164" s="9">
        <v>2</v>
      </c>
      <c r="H164" s="9">
        <v>0</v>
      </c>
      <c r="I164" s="9">
        <v>2</v>
      </c>
      <c r="J164" s="71">
        <f t="shared" si="12"/>
        <v>4</v>
      </c>
      <c r="K164" s="9"/>
      <c r="L164" s="9"/>
      <c r="M164" s="9"/>
      <c r="N164" s="71">
        <f t="shared" si="13"/>
        <v>0</v>
      </c>
      <c r="O164" s="2" t="s">
        <v>121</v>
      </c>
      <c r="P164" s="42">
        <f>'Adv Report'!H82</f>
        <v>240</v>
      </c>
      <c r="Q164" s="1"/>
      <c r="R164" s="1"/>
      <c r="S164" s="46"/>
      <c r="T164" s="49"/>
      <c r="U164" s="49"/>
      <c r="V164" s="3"/>
      <c r="W164" s="3"/>
      <c r="X164" s="3"/>
      <c r="Y164" s="2"/>
    </row>
    <row r="165" spans="1:25" ht="38.25" customHeight="1" x14ac:dyDescent="0.2">
      <c r="A165" s="9">
        <v>55</v>
      </c>
      <c r="B165" s="2" t="s">
        <v>721</v>
      </c>
      <c r="C165" s="9" t="s">
        <v>720</v>
      </c>
      <c r="D165" s="9" t="s">
        <v>722</v>
      </c>
      <c r="E165" s="9" t="s">
        <v>419</v>
      </c>
      <c r="F165" s="71">
        <f t="shared" si="11"/>
        <v>2</v>
      </c>
      <c r="G165" s="9">
        <v>0</v>
      </c>
      <c r="H165" s="9">
        <v>0</v>
      </c>
      <c r="I165" s="9">
        <v>2</v>
      </c>
      <c r="J165" s="71">
        <f t="shared" si="12"/>
        <v>2</v>
      </c>
      <c r="K165" s="9"/>
      <c r="L165" s="9"/>
      <c r="M165" s="9"/>
      <c r="N165" s="71">
        <f t="shared" si="13"/>
        <v>0</v>
      </c>
      <c r="O165" s="2" t="s">
        <v>123</v>
      </c>
      <c r="P165" s="42">
        <f>'Adv Report'!V82</f>
        <v>63</v>
      </c>
      <c r="Q165" s="1"/>
      <c r="R165" s="1"/>
      <c r="S165" s="46"/>
      <c r="T165" s="49"/>
      <c r="U165" s="49"/>
      <c r="V165" s="3"/>
      <c r="W165" s="3"/>
      <c r="X165" s="3"/>
      <c r="Y165" s="2"/>
    </row>
    <row r="166" spans="1:25" ht="38.25" customHeight="1" x14ac:dyDescent="0.2">
      <c r="A166" s="9">
        <v>56</v>
      </c>
      <c r="B166" s="2" t="s">
        <v>723</v>
      </c>
      <c r="C166" s="9" t="s">
        <v>724</v>
      </c>
      <c r="D166" s="9" t="s">
        <v>725</v>
      </c>
      <c r="E166" s="9" t="s">
        <v>434</v>
      </c>
      <c r="F166" s="71">
        <f t="shared" si="11"/>
        <v>5</v>
      </c>
      <c r="G166" s="9">
        <v>2</v>
      </c>
      <c r="H166" s="9">
        <v>1</v>
      </c>
      <c r="I166" s="9">
        <v>2</v>
      </c>
      <c r="J166" s="71">
        <f t="shared" si="12"/>
        <v>5</v>
      </c>
      <c r="K166" s="9"/>
      <c r="L166" s="9"/>
      <c r="M166" s="9"/>
      <c r="N166" s="71">
        <f t="shared" si="13"/>
        <v>0</v>
      </c>
      <c r="O166" s="2" t="s">
        <v>19</v>
      </c>
      <c r="P166" s="42">
        <f>SUM(P164:P165)</f>
        <v>303</v>
      </c>
      <c r="Q166" s="1"/>
      <c r="R166" s="1"/>
      <c r="S166" s="46"/>
      <c r="T166" s="49"/>
      <c r="U166" s="49"/>
      <c r="V166" s="3"/>
      <c r="W166" s="3"/>
      <c r="X166" s="3"/>
      <c r="Y166" s="2"/>
    </row>
    <row r="167" spans="1:25" ht="38.25" customHeight="1" x14ac:dyDescent="0.2">
      <c r="A167" s="9">
        <v>57</v>
      </c>
      <c r="B167" s="2" t="s">
        <v>726</v>
      </c>
      <c r="C167" s="9" t="s">
        <v>724</v>
      </c>
      <c r="D167" s="9" t="s">
        <v>546</v>
      </c>
      <c r="E167" s="9" t="s">
        <v>654</v>
      </c>
      <c r="F167" s="71">
        <f t="shared" si="11"/>
        <v>0</v>
      </c>
      <c r="G167" s="9">
        <v>0</v>
      </c>
      <c r="H167" s="9">
        <v>0</v>
      </c>
      <c r="I167" s="9">
        <v>0</v>
      </c>
      <c r="J167" s="71">
        <f t="shared" si="12"/>
        <v>0</v>
      </c>
      <c r="K167" s="9"/>
      <c r="L167" s="9"/>
      <c r="M167" s="9"/>
      <c r="N167" s="71">
        <f t="shared" si="13"/>
        <v>0</v>
      </c>
      <c r="O167" s="372" t="s">
        <v>125</v>
      </c>
      <c r="P167" s="373"/>
      <c r="Q167" s="1"/>
      <c r="R167" s="1"/>
      <c r="S167" s="46"/>
      <c r="T167" s="49"/>
      <c r="U167" s="49"/>
      <c r="V167" s="3"/>
      <c r="W167" s="3"/>
      <c r="X167" s="3"/>
      <c r="Y167" s="2"/>
    </row>
    <row r="168" spans="1:25" ht="38.25" customHeight="1" x14ac:dyDescent="0.2">
      <c r="A168" s="9">
        <v>58</v>
      </c>
      <c r="B168" s="2" t="s">
        <v>727</v>
      </c>
      <c r="C168" s="9" t="s">
        <v>724</v>
      </c>
      <c r="D168" s="9" t="s">
        <v>576</v>
      </c>
      <c r="E168" s="9" t="s">
        <v>435</v>
      </c>
      <c r="F168" s="71">
        <f t="shared" si="11"/>
        <v>2</v>
      </c>
      <c r="G168" s="9">
        <v>2</v>
      </c>
      <c r="H168" s="9">
        <v>0</v>
      </c>
      <c r="I168" s="9">
        <v>0</v>
      </c>
      <c r="J168" s="71">
        <f t="shared" si="12"/>
        <v>2</v>
      </c>
      <c r="K168" s="9"/>
      <c r="L168" s="9"/>
      <c r="M168" s="9"/>
      <c r="N168" s="71">
        <f t="shared" si="13"/>
        <v>0</v>
      </c>
      <c r="O168" s="2" t="s">
        <v>121</v>
      </c>
      <c r="P168" s="42">
        <f>P160-P164</f>
        <v>74</v>
      </c>
      <c r="Q168" s="1"/>
      <c r="R168" s="1"/>
      <c r="S168" s="46"/>
      <c r="T168" s="49"/>
      <c r="U168" s="49"/>
      <c r="V168" s="3"/>
      <c r="W168" s="3"/>
      <c r="X168" s="3"/>
      <c r="Y168" s="2"/>
    </row>
    <row r="169" spans="1:25" ht="38.25" customHeight="1" x14ac:dyDescent="0.2">
      <c r="A169" s="9">
        <v>59</v>
      </c>
      <c r="B169" s="2" t="s">
        <v>728</v>
      </c>
      <c r="C169" s="9" t="s">
        <v>729</v>
      </c>
      <c r="D169" s="9" t="s">
        <v>527</v>
      </c>
      <c r="E169" s="9" t="s">
        <v>406</v>
      </c>
      <c r="F169" s="71">
        <f t="shared" si="11"/>
        <v>1</v>
      </c>
      <c r="G169" s="9">
        <v>1</v>
      </c>
      <c r="H169" s="9">
        <v>0</v>
      </c>
      <c r="I169" s="9">
        <v>0</v>
      </c>
      <c r="J169" s="71">
        <f t="shared" si="12"/>
        <v>1</v>
      </c>
      <c r="K169" s="9"/>
      <c r="L169" s="9"/>
      <c r="M169" s="9"/>
      <c r="N169" s="71">
        <f t="shared" si="13"/>
        <v>0</v>
      </c>
      <c r="O169" s="2" t="s">
        <v>123</v>
      </c>
      <c r="P169" s="42">
        <f>P161-P165</f>
        <v>82</v>
      </c>
      <c r="Q169" s="1"/>
      <c r="R169" s="1"/>
      <c r="S169" s="46"/>
      <c r="T169" s="49"/>
      <c r="U169" s="49"/>
      <c r="V169" s="3"/>
      <c r="W169" s="3"/>
      <c r="X169" s="3"/>
      <c r="Y169" s="2"/>
    </row>
    <row r="170" spans="1:25" ht="38.25" customHeight="1" x14ac:dyDescent="0.2">
      <c r="A170" s="9">
        <v>60</v>
      </c>
      <c r="B170" s="2" t="s">
        <v>730</v>
      </c>
      <c r="C170" s="9" t="s">
        <v>729</v>
      </c>
      <c r="D170" s="9" t="s">
        <v>731</v>
      </c>
      <c r="E170" s="9" t="s">
        <v>432</v>
      </c>
      <c r="F170" s="71">
        <f t="shared" si="11"/>
        <v>10</v>
      </c>
      <c r="G170" s="9">
        <v>2</v>
      </c>
      <c r="H170" s="9">
        <v>1</v>
      </c>
      <c r="I170" s="9">
        <v>7</v>
      </c>
      <c r="J170" s="71">
        <f t="shared" si="12"/>
        <v>10</v>
      </c>
      <c r="K170" s="9"/>
      <c r="L170" s="9"/>
      <c r="M170" s="9"/>
      <c r="N170" s="71">
        <f t="shared" si="13"/>
        <v>0</v>
      </c>
      <c r="O170" s="2" t="s">
        <v>19</v>
      </c>
      <c r="P170" s="42">
        <f>SUM(P168:P169)</f>
        <v>156</v>
      </c>
      <c r="Q170" s="1"/>
      <c r="R170" s="1"/>
      <c r="S170" s="46"/>
      <c r="T170" s="49"/>
      <c r="U170" s="49"/>
      <c r="V170" s="3"/>
      <c r="W170" s="3"/>
      <c r="X170" s="3"/>
      <c r="Y170" s="2"/>
    </row>
    <row r="171" spans="1:25" ht="38.25" customHeight="1" x14ac:dyDescent="0.2">
      <c r="A171" s="9">
        <v>61</v>
      </c>
      <c r="B171" s="2" t="s">
        <v>732</v>
      </c>
      <c r="C171" s="9" t="s">
        <v>729</v>
      </c>
      <c r="D171" s="9" t="s">
        <v>733</v>
      </c>
      <c r="E171" s="9" t="s">
        <v>401</v>
      </c>
      <c r="F171" s="71">
        <f t="shared" si="11"/>
        <v>4</v>
      </c>
      <c r="G171" s="9">
        <v>3</v>
      </c>
      <c r="H171" s="9">
        <v>1</v>
      </c>
      <c r="I171" s="9">
        <v>0</v>
      </c>
      <c r="J171" s="71">
        <f t="shared" si="12"/>
        <v>4</v>
      </c>
      <c r="K171" s="9"/>
      <c r="L171" s="9"/>
      <c r="M171" s="9"/>
      <c r="N171" s="71">
        <f t="shared" si="13"/>
        <v>0</v>
      </c>
      <c r="O171" s="372" t="s">
        <v>152</v>
      </c>
      <c r="P171" s="373"/>
      <c r="Q171" s="1"/>
      <c r="R171" s="1"/>
      <c r="S171" s="46"/>
      <c r="T171" s="49"/>
      <c r="U171" s="49"/>
      <c r="V171" s="3"/>
      <c r="W171" s="3"/>
      <c r="X171" s="3"/>
      <c r="Y171" s="2"/>
    </row>
    <row r="172" spans="1:25" ht="38.25" customHeight="1" x14ac:dyDescent="0.2">
      <c r="A172" s="9">
        <v>62</v>
      </c>
      <c r="B172" s="2" t="s">
        <v>734</v>
      </c>
      <c r="C172" s="9" t="s">
        <v>735</v>
      </c>
      <c r="D172" s="9" t="s">
        <v>549</v>
      </c>
      <c r="E172" s="9" t="s">
        <v>412</v>
      </c>
      <c r="F172" s="71">
        <f t="shared" si="11"/>
        <v>3</v>
      </c>
      <c r="G172" s="9">
        <v>2</v>
      </c>
      <c r="H172" s="9">
        <v>1</v>
      </c>
      <c r="I172" s="9">
        <v>0</v>
      </c>
      <c r="J172" s="71">
        <f t="shared" si="12"/>
        <v>3</v>
      </c>
      <c r="K172" s="9"/>
      <c r="L172" s="9"/>
      <c r="M172" s="9"/>
      <c r="N172" s="71">
        <f t="shared" si="13"/>
        <v>0</v>
      </c>
      <c r="O172" s="2" t="s">
        <v>153</v>
      </c>
      <c r="P172" s="42">
        <f>'Plan vs Advance'!F14</f>
        <v>74</v>
      </c>
      <c r="Q172" s="1"/>
      <c r="R172" s="1"/>
      <c r="S172" s="46"/>
      <c r="T172" s="49"/>
      <c r="U172" s="49"/>
      <c r="V172" s="3"/>
      <c r="W172" s="3"/>
      <c r="X172" s="3"/>
      <c r="Y172" s="2"/>
    </row>
    <row r="173" spans="1:25" ht="38.25" customHeight="1" x14ac:dyDescent="0.2">
      <c r="A173" s="9">
        <v>63</v>
      </c>
      <c r="B173" s="2" t="s">
        <v>736</v>
      </c>
      <c r="C173" s="9" t="s">
        <v>737</v>
      </c>
      <c r="D173" s="9" t="s">
        <v>579</v>
      </c>
      <c r="E173" s="9" t="s">
        <v>430</v>
      </c>
      <c r="F173" s="71">
        <f t="shared" si="11"/>
        <v>9</v>
      </c>
      <c r="G173" s="9">
        <v>5</v>
      </c>
      <c r="H173" s="9">
        <v>2</v>
      </c>
      <c r="I173" s="9">
        <v>2</v>
      </c>
      <c r="J173" s="71">
        <f t="shared" si="12"/>
        <v>9</v>
      </c>
      <c r="K173" s="9"/>
      <c r="L173" s="9"/>
      <c r="M173" s="9"/>
      <c r="N173" s="71">
        <f t="shared" si="13"/>
        <v>0</v>
      </c>
      <c r="O173" s="2" t="s">
        <v>154</v>
      </c>
      <c r="P173" s="42">
        <f>'Plan vs Advance'!F27</f>
        <v>82</v>
      </c>
      <c r="Q173" s="1"/>
      <c r="R173" s="1"/>
      <c r="S173" s="46"/>
      <c r="T173" s="49"/>
      <c r="U173" s="49"/>
      <c r="V173" s="3"/>
      <c r="W173" s="3"/>
      <c r="X173" s="3"/>
      <c r="Y173" s="2"/>
    </row>
    <row r="174" spans="1:25" ht="38.25" customHeight="1" x14ac:dyDescent="0.2">
      <c r="A174" s="9">
        <v>64</v>
      </c>
      <c r="B174" s="2" t="s">
        <v>738</v>
      </c>
      <c r="C174" s="9" t="s">
        <v>737</v>
      </c>
      <c r="D174" s="9" t="s">
        <v>739</v>
      </c>
      <c r="E174" s="9" t="s">
        <v>401</v>
      </c>
      <c r="F174" s="71">
        <f t="shared" si="11"/>
        <v>2</v>
      </c>
      <c r="G174" s="9">
        <v>2</v>
      </c>
      <c r="H174" s="9">
        <v>0</v>
      </c>
      <c r="I174" s="9">
        <v>0</v>
      </c>
      <c r="J174" s="71">
        <f t="shared" si="12"/>
        <v>2</v>
      </c>
      <c r="K174" s="9"/>
      <c r="L174" s="9"/>
      <c r="M174" s="9"/>
      <c r="N174" s="71">
        <f t="shared" si="13"/>
        <v>0</v>
      </c>
      <c r="O174" s="2" t="s">
        <v>19</v>
      </c>
      <c r="P174" s="42">
        <f>SUM(P172:P173)</f>
        <v>156</v>
      </c>
      <c r="Q174" s="1"/>
      <c r="R174" s="1"/>
      <c r="S174" s="46"/>
      <c r="T174" s="49"/>
      <c r="U174" s="49"/>
      <c r="V174" s="3"/>
      <c r="W174" s="3"/>
      <c r="X174" s="3"/>
      <c r="Y174" s="2"/>
    </row>
    <row r="175" spans="1:25" ht="38.25" customHeight="1" x14ac:dyDescent="0.2">
      <c r="A175" s="9">
        <v>65</v>
      </c>
      <c r="B175" s="2" t="s">
        <v>740</v>
      </c>
      <c r="C175" s="9" t="s">
        <v>737</v>
      </c>
      <c r="D175" s="9" t="s">
        <v>560</v>
      </c>
      <c r="E175" s="9" t="s">
        <v>418</v>
      </c>
      <c r="F175" s="71">
        <f t="shared" si="11"/>
        <v>7</v>
      </c>
      <c r="G175" s="9">
        <v>6</v>
      </c>
      <c r="H175" s="9">
        <v>0</v>
      </c>
      <c r="I175" s="9">
        <v>1</v>
      </c>
      <c r="J175" s="71">
        <f t="shared" si="12"/>
        <v>7</v>
      </c>
      <c r="K175" s="9"/>
      <c r="L175" s="9"/>
      <c r="M175" s="9"/>
      <c r="N175" s="71">
        <f t="shared" si="13"/>
        <v>0</v>
      </c>
      <c r="O175" s="372" t="s">
        <v>129</v>
      </c>
      <c r="P175" s="373"/>
      <c r="Q175" s="1"/>
      <c r="R175" s="1"/>
      <c r="S175" s="46"/>
      <c r="T175" s="49"/>
      <c r="U175" s="49"/>
      <c r="V175" s="3"/>
      <c r="W175" s="3"/>
      <c r="X175" s="3"/>
      <c r="Y175" s="2"/>
    </row>
    <row r="176" spans="1:25" ht="38.25" customHeight="1" x14ac:dyDescent="0.2">
      <c r="A176" s="9">
        <v>66</v>
      </c>
      <c r="B176" s="2" t="s">
        <v>741</v>
      </c>
      <c r="C176" s="9" t="s">
        <v>742</v>
      </c>
      <c r="D176" s="9" t="s">
        <v>574</v>
      </c>
      <c r="E176" s="9" t="s">
        <v>420</v>
      </c>
      <c r="F176" s="71">
        <f t="shared" ref="F176:F260" si="14">J176+N176</f>
        <v>1</v>
      </c>
      <c r="G176" s="9">
        <v>0</v>
      </c>
      <c r="H176" s="9">
        <v>0</v>
      </c>
      <c r="I176" s="9">
        <v>1</v>
      </c>
      <c r="J176" s="71">
        <f t="shared" si="12"/>
        <v>1</v>
      </c>
      <c r="K176" s="9"/>
      <c r="L176" s="9"/>
      <c r="M176" s="9"/>
      <c r="N176" s="71">
        <f t="shared" si="13"/>
        <v>0</v>
      </c>
      <c r="O176" s="2" t="s">
        <v>64</v>
      </c>
      <c r="P176" s="42">
        <f>P177+P178</f>
        <v>0</v>
      </c>
      <c r="Q176" s="1"/>
      <c r="R176" s="1"/>
      <c r="S176" s="46"/>
      <c r="T176" s="49"/>
      <c r="U176" s="49"/>
      <c r="V176" s="3"/>
      <c r="W176" s="3"/>
      <c r="X176" s="3"/>
      <c r="Y176" s="2"/>
    </row>
    <row r="177" spans="1:25" ht="38.25" customHeight="1" x14ac:dyDescent="0.2">
      <c r="A177" s="9">
        <v>67</v>
      </c>
      <c r="B177" s="2" t="s">
        <v>743</v>
      </c>
      <c r="C177" s="9" t="s">
        <v>744</v>
      </c>
      <c r="D177" s="9" t="s">
        <v>582</v>
      </c>
      <c r="E177" s="9" t="s">
        <v>409</v>
      </c>
      <c r="F177" s="71">
        <f t="shared" si="14"/>
        <v>14</v>
      </c>
      <c r="G177" s="9">
        <v>4</v>
      </c>
      <c r="H177" s="9">
        <v>0</v>
      </c>
      <c r="I177" s="9">
        <v>10</v>
      </c>
      <c r="J177" s="71">
        <f t="shared" si="12"/>
        <v>14</v>
      </c>
      <c r="K177" s="9"/>
      <c r="L177" s="9"/>
      <c r="M177" s="9"/>
      <c r="N177" s="71">
        <f t="shared" si="13"/>
        <v>0</v>
      </c>
      <c r="O177" s="2" t="s">
        <v>9</v>
      </c>
      <c r="P177" s="42">
        <f>'Plan vs Advance'!E32</f>
        <v>0</v>
      </c>
      <c r="Q177" s="1"/>
      <c r="R177" s="1"/>
      <c r="S177" s="46"/>
      <c r="T177" s="49"/>
      <c r="U177" s="49"/>
      <c r="V177" s="3"/>
      <c r="W177" s="3"/>
      <c r="X177" s="3"/>
      <c r="Y177" s="2"/>
    </row>
    <row r="178" spans="1:25" ht="38.25" customHeight="1" x14ac:dyDescent="0.2">
      <c r="A178" s="9">
        <v>68</v>
      </c>
      <c r="B178" s="2" t="s">
        <v>745</v>
      </c>
      <c r="C178" s="9" t="s">
        <v>744</v>
      </c>
      <c r="D178" s="9" t="s">
        <v>746</v>
      </c>
      <c r="E178" s="9" t="s">
        <v>411</v>
      </c>
      <c r="F178" s="71">
        <f t="shared" si="14"/>
        <v>1</v>
      </c>
      <c r="G178" s="9">
        <v>0</v>
      </c>
      <c r="H178" s="9">
        <v>0</v>
      </c>
      <c r="I178" s="9">
        <v>1</v>
      </c>
      <c r="J178" s="71">
        <f t="shared" si="12"/>
        <v>1</v>
      </c>
      <c r="K178" s="9"/>
      <c r="L178" s="9"/>
      <c r="M178" s="9"/>
      <c r="N178" s="71">
        <f t="shared" si="13"/>
        <v>0</v>
      </c>
      <c r="O178" s="2" t="s">
        <v>130</v>
      </c>
      <c r="P178" s="42">
        <f>'Plan vs Advance'!E37</f>
        <v>0</v>
      </c>
      <c r="Q178" s="1"/>
      <c r="R178" s="1"/>
      <c r="S178" s="46"/>
      <c r="T178" s="49"/>
      <c r="U178" s="49"/>
      <c r="V178" s="3"/>
      <c r="W178" s="3"/>
      <c r="X178" s="3"/>
      <c r="Y178" s="2"/>
    </row>
    <row r="179" spans="1:25" ht="38.25" customHeight="1" x14ac:dyDescent="0.2">
      <c r="A179" s="9">
        <v>69</v>
      </c>
      <c r="B179" s="2" t="s">
        <v>747</v>
      </c>
      <c r="C179" s="9" t="s">
        <v>748</v>
      </c>
      <c r="D179" s="9" t="s">
        <v>749</v>
      </c>
      <c r="E179" s="9" t="s">
        <v>420</v>
      </c>
      <c r="F179" s="71">
        <f t="shared" si="14"/>
        <v>4</v>
      </c>
      <c r="G179" s="9">
        <v>2</v>
      </c>
      <c r="H179" s="9">
        <v>0</v>
      </c>
      <c r="I179" s="9">
        <v>2</v>
      </c>
      <c r="J179" s="71">
        <f t="shared" si="12"/>
        <v>4</v>
      </c>
      <c r="K179" s="9"/>
      <c r="L179" s="9"/>
      <c r="M179" s="9"/>
      <c r="N179" s="71">
        <f t="shared" si="13"/>
        <v>0</v>
      </c>
      <c r="O179" s="372" t="s">
        <v>131</v>
      </c>
      <c r="P179" s="373"/>
      <c r="Q179" s="1"/>
      <c r="R179" s="1"/>
      <c r="S179" s="46"/>
      <c r="T179" s="49"/>
      <c r="U179" s="49"/>
      <c r="V179" s="3"/>
      <c r="W179" s="3"/>
      <c r="X179" s="3"/>
      <c r="Y179" s="2"/>
    </row>
    <row r="180" spans="1:25" ht="38.25" customHeight="1" x14ac:dyDescent="0.2">
      <c r="A180" s="9">
        <v>70</v>
      </c>
      <c r="B180" s="2" t="s">
        <v>750</v>
      </c>
      <c r="C180" s="9" t="s">
        <v>748</v>
      </c>
      <c r="D180" s="9" t="s">
        <v>525</v>
      </c>
      <c r="E180" s="9" t="s">
        <v>416</v>
      </c>
      <c r="F180" s="71">
        <f t="shared" si="14"/>
        <v>7</v>
      </c>
      <c r="G180" s="9">
        <v>2</v>
      </c>
      <c r="H180" s="9">
        <v>2</v>
      </c>
      <c r="I180" s="9">
        <v>3</v>
      </c>
      <c r="J180" s="71">
        <f t="shared" si="12"/>
        <v>7</v>
      </c>
      <c r="K180" s="9"/>
      <c r="L180" s="9"/>
      <c r="M180" s="9"/>
      <c r="N180" s="71">
        <f t="shared" si="13"/>
        <v>0</v>
      </c>
      <c r="O180" s="144" t="s">
        <v>132</v>
      </c>
      <c r="P180" s="2">
        <v>1273</v>
      </c>
      <c r="Q180" s="1"/>
      <c r="R180" s="1"/>
      <c r="S180" s="46"/>
      <c r="T180" s="49"/>
      <c r="U180" s="49"/>
      <c r="V180" s="3"/>
      <c r="W180" s="3"/>
      <c r="X180" s="3"/>
      <c r="Y180" s="2"/>
    </row>
    <row r="181" spans="1:25" ht="38.25" customHeight="1" x14ac:dyDescent="0.2">
      <c r="A181" s="9">
        <v>71</v>
      </c>
      <c r="B181" s="2" t="s">
        <v>751</v>
      </c>
      <c r="C181" s="9" t="s">
        <v>752</v>
      </c>
      <c r="D181" s="9" t="s">
        <v>753</v>
      </c>
      <c r="E181" s="9" t="s">
        <v>402</v>
      </c>
      <c r="F181" s="71">
        <f t="shared" si="14"/>
        <v>3</v>
      </c>
      <c r="G181" s="9">
        <v>2</v>
      </c>
      <c r="H181" s="9">
        <v>0</v>
      </c>
      <c r="I181" s="9">
        <v>1</v>
      </c>
      <c r="J181" s="71">
        <f t="shared" si="12"/>
        <v>3</v>
      </c>
      <c r="K181" s="9"/>
      <c r="L181" s="9"/>
      <c r="M181" s="9"/>
      <c r="N181" s="71">
        <f t="shared" si="13"/>
        <v>0</v>
      </c>
      <c r="O181" s="2" t="s">
        <v>133</v>
      </c>
      <c r="P181" s="42">
        <f>P180-P182</f>
        <v>1273</v>
      </c>
      <c r="Q181" s="1"/>
      <c r="R181" s="1"/>
      <c r="S181" s="46"/>
      <c r="T181" s="49"/>
      <c r="U181" s="49"/>
      <c r="V181" s="3"/>
      <c r="W181" s="3"/>
      <c r="X181" s="3"/>
      <c r="Y181" s="2"/>
    </row>
    <row r="182" spans="1:25" ht="38.25" customHeight="1" x14ac:dyDescent="0.2">
      <c r="A182" s="9">
        <v>72</v>
      </c>
      <c r="B182" s="2" t="s">
        <v>754</v>
      </c>
      <c r="C182" s="9" t="s">
        <v>752</v>
      </c>
      <c r="D182" s="9" t="s">
        <v>755</v>
      </c>
      <c r="E182" s="9" t="s">
        <v>427</v>
      </c>
      <c r="F182" s="71">
        <f t="shared" si="14"/>
        <v>3</v>
      </c>
      <c r="G182" s="9">
        <v>1</v>
      </c>
      <c r="H182" s="9">
        <v>0</v>
      </c>
      <c r="I182" s="9">
        <v>2</v>
      </c>
      <c r="J182" s="71">
        <f t="shared" si="12"/>
        <v>3</v>
      </c>
      <c r="K182" s="9"/>
      <c r="L182" s="9"/>
      <c r="M182" s="9"/>
      <c r="N182" s="71">
        <f t="shared" si="13"/>
        <v>0</v>
      </c>
      <c r="O182" s="144" t="s">
        <v>130</v>
      </c>
      <c r="P182" s="2">
        <v>0</v>
      </c>
      <c r="Q182" s="1"/>
      <c r="R182" s="1"/>
      <c r="S182" s="46"/>
      <c r="T182" s="49"/>
      <c r="U182" s="49"/>
      <c r="V182" s="3"/>
      <c r="W182" s="3"/>
      <c r="X182" s="3"/>
      <c r="Y182" s="2"/>
    </row>
    <row r="183" spans="1:25" ht="38.25" customHeight="1" x14ac:dyDescent="0.2">
      <c r="A183" s="9">
        <v>73</v>
      </c>
      <c r="B183" s="2" t="s">
        <v>756</v>
      </c>
      <c r="C183" s="9" t="s">
        <v>752</v>
      </c>
      <c r="D183" s="9" t="s">
        <v>757</v>
      </c>
      <c r="E183" s="9" t="s">
        <v>403</v>
      </c>
      <c r="F183" s="71">
        <f t="shared" si="14"/>
        <v>8</v>
      </c>
      <c r="G183" s="9">
        <v>4</v>
      </c>
      <c r="H183" s="9">
        <v>1</v>
      </c>
      <c r="I183" s="9">
        <v>3</v>
      </c>
      <c r="J183" s="71">
        <f t="shared" si="12"/>
        <v>8</v>
      </c>
      <c r="K183" s="9"/>
      <c r="L183" s="9"/>
      <c r="M183" s="9"/>
      <c r="N183" s="71">
        <f t="shared" si="13"/>
        <v>0</v>
      </c>
      <c r="O183" s="372" t="s">
        <v>134</v>
      </c>
      <c r="P183" s="373"/>
      <c r="Q183" s="1"/>
      <c r="R183" s="1"/>
      <c r="S183" s="46"/>
      <c r="T183" s="49"/>
      <c r="U183" s="49"/>
      <c r="V183" s="3"/>
      <c r="W183" s="3"/>
      <c r="X183" s="3"/>
      <c r="Y183" s="2"/>
    </row>
    <row r="184" spans="1:25" ht="38.25" customHeight="1" x14ac:dyDescent="0.2">
      <c r="A184" s="9">
        <v>74</v>
      </c>
      <c r="B184" s="2" t="s">
        <v>758</v>
      </c>
      <c r="C184" s="9" t="s">
        <v>759</v>
      </c>
      <c r="D184" s="9" t="s">
        <v>593</v>
      </c>
      <c r="E184" s="9" t="s">
        <v>412</v>
      </c>
      <c r="F184" s="71">
        <f t="shared" si="14"/>
        <v>3</v>
      </c>
      <c r="G184" s="9">
        <v>0</v>
      </c>
      <c r="H184" s="9">
        <v>0</v>
      </c>
      <c r="I184" s="9">
        <v>3</v>
      </c>
      <c r="J184" s="71">
        <f t="shared" si="12"/>
        <v>3</v>
      </c>
      <c r="K184" s="9"/>
      <c r="L184" s="9"/>
      <c r="M184" s="9"/>
      <c r="N184" s="71">
        <f t="shared" si="13"/>
        <v>0</v>
      </c>
      <c r="O184" s="144" t="s">
        <v>126</v>
      </c>
      <c r="P184" s="2">
        <f>34+44</f>
        <v>78</v>
      </c>
      <c r="Q184" s="1"/>
      <c r="R184" s="1"/>
      <c r="S184" s="46"/>
      <c r="T184" s="49"/>
      <c r="U184" s="49"/>
      <c r="V184" s="3"/>
      <c r="W184" s="3"/>
      <c r="X184" s="3"/>
      <c r="Y184" s="2"/>
    </row>
    <row r="185" spans="1:25" ht="38.25" customHeight="1" x14ac:dyDescent="0.2">
      <c r="A185" s="9">
        <v>75</v>
      </c>
      <c r="B185" s="2" t="s">
        <v>760</v>
      </c>
      <c r="C185" s="9" t="s">
        <v>759</v>
      </c>
      <c r="D185" s="9" t="s">
        <v>761</v>
      </c>
      <c r="E185" s="9" t="s">
        <v>402</v>
      </c>
      <c r="F185" s="71">
        <f t="shared" si="14"/>
        <v>5</v>
      </c>
      <c r="G185" s="9">
        <v>1</v>
      </c>
      <c r="H185" s="9">
        <v>0</v>
      </c>
      <c r="I185" s="9">
        <v>4</v>
      </c>
      <c r="J185" s="71">
        <f t="shared" si="12"/>
        <v>5</v>
      </c>
      <c r="K185" s="9"/>
      <c r="L185" s="9"/>
      <c r="M185" s="9"/>
      <c r="N185" s="71">
        <f t="shared" si="13"/>
        <v>0</v>
      </c>
      <c r="O185" s="144" t="s">
        <v>155</v>
      </c>
      <c r="P185" s="2">
        <v>306</v>
      </c>
      <c r="Q185" s="1"/>
      <c r="R185" s="1"/>
      <c r="S185" s="46"/>
      <c r="T185" s="49"/>
      <c r="U185" s="49"/>
      <c r="V185" s="3"/>
      <c r="W185" s="3"/>
      <c r="X185" s="3"/>
      <c r="Y185" s="2"/>
    </row>
    <row r="186" spans="1:25" ht="38.25" customHeight="1" x14ac:dyDescent="0.2">
      <c r="A186" s="9">
        <v>76</v>
      </c>
      <c r="B186" s="2" t="s">
        <v>762</v>
      </c>
      <c r="C186" s="9" t="s">
        <v>763</v>
      </c>
      <c r="D186" s="9" t="s">
        <v>510</v>
      </c>
      <c r="E186" s="9" t="s">
        <v>428</v>
      </c>
      <c r="F186" s="71">
        <f t="shared" si="14"/>
        <v>1</v>
      </c>
      <c r="G186" s="9">
        <v>1</v>
      </c>
      <c r="H186" s="9">
        <v>0</v>
      </c>
      <c r="I186" s="9">
        <v>0</v>
      </c>
      <c r="J186" s="71">
        <f t="shared" si="12"/>
        <v>1</v>
      </c>
      <c r="K186" s="9"/>
      <c r="L186" s="9"/>
      <c r="M186" s="9"/>
      <c r="N186" s="71">
        <f t="shared" si="13"/>
        <v>0</v>
      </c>
      <c r="O186" s="2" t="s">
        <v>137</v>
      </c>
      <c r="P186" s="42">
        <f>P166</f>
        <v>303</v>
      </c>
      <c r="Q186" s="1"/>
      <c r="R186" s="1"/>
      <c r="S186" s="46"/>
      <c r="T186" s="49"/>
      <c r="U186" s="49"/>
      <c r="V186" s="3"/>
      <c r="W186" s="3"/>
      <c r="X186" s="3"/>
      <c r="Y186" s="2"/>
    </row>
    <row r="187" spans="1:25" ht="38.25" customHeight="1" x14ac:dyDescent="0.2">
      <c r="A187" s="9">
        <v>77</v>
      </c>
      <c r="B187" s="2" t="s">
        <v>764</v>
      </c>
      <c r="C187" s="9" t="s">
        <v>765</v>
      </c>
      <c r="D187" s="9" t="s">
        <v>766</v>
      </c>
      <c r="E187" s="9" t="s">
        <v>419</v>
      </c>
      <c r="F187" s="71">
        <f t="shared" si="14"/>
        <v>7</v>
      </c>
      <c r="G187" s="9">
        <v>3</v>
      </c>
      <c r="H187" s="9">
        <v>0</v>
      </c>
      <c r="I187" s="9">
        <v>4</v>
      </c>
      <c r="J187" s="71">
        <f t="shared" si="12"/>
        <v>7</v>
      </c>
      <c r="K187" s="9"/>
      <c r="L187" s="9"/>
      <c r="M187" s="9"/>
      <c r="N187" s="71">
        <f t="shared" si="13"/>
        <v>0</v>
      </c>
      <c r="O187" s="144" t="s">
        <v>138</v>
      </c>
      <c r="P187" s="2">
        <v>0</v>
      </c>
      <c r="Q187" s="1"/>
      <c r="R187" s="1"/>
      <c r="S187" s="46"/>
      <c r="T187" s="49"/>
      <c r="U187" s="49"/>
      <c r="V187" s="3"/>
      <c r="W187" s="3"/>
      <c r="X187" s="3"/>
      <c r="Y187" s="2"/>
    </row>
    <row r="188" spans="1:25" ht="38.25" customHeight="1" x14ac:dyDescent="0.2">
      <c r="A188" s="9">
        <v>78</v>
      </c>
      <c r="B188" s="2" t="s">
        <v>767</v>
      </c>
      <c r="C188" s="9" t="s">
        <v>765</v>
      </c>
      <c r="D188" s="9" t="s">
        <v>768</v>
      </c>
      <c r="E188" s="9" t="s">
        <v>409</v>
      </c>
      <c r="F188" s="71">
        <f t="shared" si="14"/>
        <v>6</v>
      </c>
      <c r="G188" s="9">
        <v>2</v>
      </c>
      <c r="H188" s="9">
        <v>0</v>
      </c>
      <c r="I188" s="9">
        <v>4</v>
      </c>
      <c r="J188" s="71">
        <f t="shared" si="12"/>
        <v>6</v>
      </c>
      <c r="K188" s="9"/>
      <c r="L188" s="9"/>
      <c r="M188" s="9"/>
      <c r="N188" s="71">
        <f t="shared" si="13"/>
        <v>0</v>
      </c>
      <c r="O188" s="2" t="s">
        <v>19</v>
      </c>
      <c r="P188" s="42">
        <f>SUM(P184:P187)</f>
        <v>687</v>
      </c>
      <c r="Q188" s="1"/>
      <c r="R188" s="1"/>
      <c r="S188" s="46"/>
      <c r="T188" s="49"/>
      <c r="U188" s="49"/>
      <c r="V188" s="3"/>
      <c r="W188" s="3"/>
      <c r="X188" s="3"/>
      <c r="Y188" s="2"/>
    </row>
    <row r="189" spans="1:25" ht="38.25" customHeight="1" x14ac:dyDescent="0.2">
      <c r="A189" s="9">
        <v>79</v>
      </c>
      <c r="B189" s="2" t="s">
        <v>769</v>
      </c>
      <c r="C189" s="9" t="s">
        <v>770</v>
      </c>
      <c r="D189" s="9" t="s">
        <v>585</v>
      </c>
      <c r="E189" s="9" t="s">
        <v>435</v>
      </c>
      <c r="F189" s="71">
        <f t="shared" si="14"/>
        <v>2</v>
      </c>
      <c r="G189" s="9">
        <v>1</v>
      </c>
      <c r="H189" s="9">
        <v>1</v>
      </c>
      <c r="I189" s="9">
        <v>0</v>
      </c>
      <c r="J189" s="71">
        <f t="shared" ref="J189:J302" si="15">G189+H189+I189</f>
        <v>2</v>
      </c>
      <c r="K189" s="9"/>
      <c r="L189" s="9"/>
      <c r="M189" s="9"/>
      <c r="N189" s="71">
        <f t="shared" ref="N189:N302" si="16">K189+L189+M189</f>
        <v>0</v>
      </c>
      <c r="O189" s="2" t="s">
        <v>139</v>
      </c>
      <c r="P189" s="42">
        <f>P24</f>
        <v>891</v>
      </c>
      <c r="Q189" s="1"/>
      <c r="R189" s="1"/>
      <c r="S189" s="46"/>
      <c r="T189" s="49"/>
      <c r="U189" s="49"/>
      <c r="V189" s="3"/>
      <c r="W189" s="3"/>
      <c r="X189" s="3"/>
      <c r="Y189" s="2"/>
    </row>
    <row r="190" spans="1:25" ht="38.25" customHeight="1" x14ac:dyDescent="0.2">
      <c r="A190" s="9">
        <v>80</v>
      </c>
      <c r="B190" s="2" t="s">
        <v>771</v>
      </c>
      <c r="C190" s="9" t="s">
        <v>772</v>
      </c>
      <c r="D190" s="9" t="s">
        <v>534</v>
      </c>
      <c r="E190" s="9" t="s">
        <v>406</v>
      </c>
      <c r="F190" s="71">
        <f t="shared" si="14"/>
        <v>3</v>
      </c>
      <c r="G190" s="9">
        <v>1</v>
      </c>
      <c r="H190" s="9">
        <v>1</v>
      </c>
      <c r="I190" s="9">
        <v>1</v>
      </c>
      <c r="J190" s="71">
        <f t="shared" si="15"/>
        <v>3</v>
      </c>
      <c r="K190" s="9"/>
      <c r="L190" s="9"/>
      <c r="M190" s="9"/>
      <c r="N190" s="71">
        <f t="shared" si="16"/>
        <v>0</v>
      </c>
      <c r="O190" s="2" t="s">
        <v>140</v>
      </c>
      <c r="P190" s="42">
        <f>P189-P188</f>
        <v>204</v>
      </c>
      <c r="Q190" s="1"/>
      <c r="R190" s="1"/>
      <c r="S190" s="46"/>
      <c r="T190" s="49"/>
      <c r="U190" s="49"/>
      <c r="V190" s="3"/>
      <c r="W190" s="3"/>
      <c r="X190" s="3"/>
      <c r="Y190" s="2"/>
    </row>
    <row r="191" spans="1:25" ht="38.25" customHeight="1" x14ac:dyDescent="0.2">
      <c r="A191" s="9">
        <v>81</v>
      </c>
      <c r="B191" s="2" t="s">
        <v>773</v>
      </c>
      <c r="C191" s="9" t="s">
        <v>772</v>
      </c>
      <c r="D191" s="9" t="s">
        <v>774</v>
      </c>
      <c r="E191" s="9" t="s">
        <v>410</v>
      </c>
      <c r="F191" s="71">
        <f t="shared" si="14"/>
        <v>3</v>
      </c>
      <c r="G191" s="9">
        <v>1</v>
      </c>
      <c r="H191" s="9">
        <v>1</v>
      </c>
      <c r="I191" s="9">
        <v>1</v>
      </c>
      <c r="J191" s="71">
        <f t="shared" si="15"/>
        <v>3</v>
      </c>
      <c r="K191" s="9"/>
      <c r="L191" s="9"/>
      <c r="M191" s="9"/>
      <c r="N191" s="71">
        <f t="shared" si="16"/>
        <v>0</v>
      </c>
      <c r="O191" s="2" t="s">
        <v>141</v>
      </c>
      <c r="P191" s="83">
        <f>P190/P188</f>
        <v>0.29694323144104806</v>
      </c>
      <c r="Q191" s="1"/>
      <c r="R191" s="1"/>
      <c r="S191" s="46"/>
      <c r="T191" s="49"/>
      <c r="U191" s="49"/>
      <c r="V191" s="3"/>
      <c r="W191" s="3"/>
      <c r="X191" s="3"/>
      <c r="Y191" s="2"/>
    </row>
    <row r="192" spans="1:25" ht="38.25" customHeight="1" x14ac:dyDescent="0.2">
      <c r="A192" s="9">
        <v>82</v>
      </c>
      <c r="B192" s="2" t="s">
        <v>775</v>
      </c>
      <c r="C192" s="9" t="s">
        <v>772</v>
      </c>
      <c r="D192" s="9" t="s">
        <v>776</v>
      </c>
      <c r="E192" s="9" t="s">
        <v>410</v>
      </c>
      <c r="F192" s="71">
        <f t="shared" si="14"/>
        <v>2</v>
      </c>
      <c r="G192" s="9">
        <v>2</v>
      </c>
      <c r="H192" s="9">
        <v>0</v>
      </c>
      <c r="I192" s="9">
        <v>0</v>
      </c>
      <c r="J192" s="71">
        <f t="shared" si="15"/>
        <v>2</v>
      </c>
      <c r="K192" s="9"/>
      <c r="L192" s="9"/>
      <c r="M192" s="9"/>
      <c r="N192" s="71">
        <f t="shared" si="16"/>
        <v>0</v>
      </c>
      <c r="O192" s="2"/>
      <c r="P192" s="2"/>
      <c r="Q192" s="1"/>
      <c r="R192" s="1"/>
      <c r="S192" s="46"/>
      <c r="T192" s="49"/>
      <c r="U192" s="49"/>
      <c r="V192" s="3"/>
      <c r="W192" s="3"/>
      <c r="X192" s="3"/>
      <c r="Y192" s="2"/>
    </row>
    <row r="193" spans="1:25" ht="38.25" customHeight="1" x14ac:dyDescent="0.2">
      <c r="A193" s="9">
        <v>83</v>
      </c>
      <c r="B193" s="2" t="s">
        <v>777</v>
      </c>
      <c r="C193" s="9" t="s">
        <v>772</v>
      </c>
      <c r="D193" s="9" t="s">
        <v>477</v>
      </c>
      <c r="E193" s="9" t="s">
        <v>418</v>
      </c>
      <c r="F193" s="71">
        <f t="shared" si="14"/>
        <v>1</v>
      </c>
      <c r="G193" s="9">
        <v>1</v>
      </c>
      <c r="H193" s="9">
        <v>0</v>
      </c>
      <c r="I193" s="9">
        <v>0</v>
      </c>
      <c r="J193" s="71">
        <f t="shared" si="15"/>
        <v>1</v>
      </c>
      <c r="K193" s="9"/>
      <c r="L193" s="9"/>
      <c r="M193" s="9"/>
      <c r="N193" s="71">
        <f t="shared" si="16"/>
        <v>0</v>
      </c>
      <c r="O193" s="2"/>
      <c r="P193" s="2"/>
      <c r="Q193" s="1"/>
      <c r="R193" s="1"/>
      <c r="S193" s="46"/>
      <c r="T193" s="49"/>
      <c r="U193" s="49"/>
      <c r="V193" s="3"/>
      <c r="W193" s="3"/>
      <c r="X193" s="3"/>
      <c r="Y193" s="2"/>
    </row>
    <row r="194" spans="1:25" ht="38.25" customHeight="1" x14ac:dyDescent="0.2">
      <c r="A194" s="9">
        <v>84</v>
      </c>
      <c r="B194" s="2" t="s">
        <v>778</v>
      </c>
      <c r="C194" s="9" t="s">
        <v>779</v>
      </c>
      <c r="D194" s="9" t="s">
        <v>507</v>
      </c>
      <c r="E194" s="9" t="s">
        <v>409</v>
      </c>
      <c r="F194" s="71">
        <f t="shared" si="14"/>
        <v>4</v>
      </c>
      <c r="G194" s="9">
        <v>4</v>
      </c>
      <c r="H194" s="9">
        <v>0</v>
      </c>
      <c r="I194" s="9">
        <v>0</v>
      </c>
      <c r="J194" s="71">
        <f t="shared" si="15"/>
        <v>4</v>
      </c>
      <c r="K194" s="9"/>
      <c r="L194" s="9"/>
      <c r="M194" s="9"/>
      <c r="N194" s="71">
        <f t="shared" si="16"/>
        <v>0</v>
      </c>
      <c r="O194" s="2"/>
      <c r="P194" s="2"/>
      <c r="Q194" s="1"/>
      <c r="R194" s="1"/>
      <c r="S194" s="46"/>
      <c r="T194" s="49"/>
      <c r="U194" s="49"/>
      <c r="V194" s="3"/>
      <c r="W194" s="3"/>
      <c r="X194" s="3"/>
      <c r="Y194" s="2"/>
    </row>
    <row r="195" spans="1:25" ht="38.25" customHeight="1" x14ac:dyDescent="0.2">
      <c r="A195" s="9">
        <v>85</v>
      </c>
      <c r="B195" s="2" t="s">
        <v>780</v>
      </c>
      <c r="C195" s="9" t="s">
        <v>781</v>
      </c>
      <c r="D195" s="9" t="s">
        <v>782</v>
      </c>
      <c r="E195" s="9" t="s">
        <v>401</v>
      </c>
      <c r="F195" s="71">
        <f t="shared" si="14"/>
        <v>10</v>
      </c>
      <c r="G195" s="9">
        <v>6</v>
      </c>
      <c r="H195" s="9">
        <v>0</v>
      </c>
      <c r="I195" s="9">
        <v>4</v>
      </c>
      <c r="J195" s="71">
        <f t="shared" si="15"/>
        <v>10</v>
      </c>
      <c r="K195" s="9"/>
      <c r="L195" s="9"/>
      <c r="M195" s="9"/>
      <c r="N195" s="71">
        <f t="shared" si="16"/>
        <v>0</v>
      </c>
      <c r="O195" s="2"/>
      <c r="P195" s="2"/>
      <c r="Q195" s="1"/>
      <c r="R195" s="1"/>
      <c r="S195" s="46"/>
      <c r="T195" s="49"/>
      <c r="U195" s="49"/>
      <c r="V195" s="3"/>
      <c r="W195" s="3"/>
      <c r="X195" s="3"/>
      <c r="Y195" s="2"/>
    </row>
    <row r="196" spans="1:25" ht="38.25" customHeight="1" x14ac:dyDescent="0.2">
      <c r="A196" s="9">
        <v>86</v>
      </c>
      <c r="B196" s="2" t="s">
        <v>783</v>
      </c>
      <c r="C196" s="9" t="s">
        <v>781</v>
      </c>
      <c r="D196" s="9" t="s">
        <v>474</v>
      </c>
      <c r="E196" s="9" t="s">
        <v>434</v>
      </c>
      <c r="F196" s="71">
        <f t="shared" si="14"/>
        <v>6</v>
      </c>
      <c r="G196" s="9">
        <v>0</v>
      </c>
      <c r="H196" s="9">
        <v>2</v>
      </c>
      <c r="I196" s="9">
        <v>4</v>
      </c>
      <c r="J196" s="71">
        <f t="shared" si="15"/>
        <v>6</v>
      </c>
      <c r="K196" s="9"/>
      <c r="L196" s="9"/>
      <c r="M196" s="9"/>
      <c r="N196" s="71">
        <f t="shared" si="16"/>
        <v>0</v>
      </c>
      <c r="O196" s="2"/>
      <c r="P196" s="2"/>
      <c r="Q196" s="1"/>
      <c r="R196" s="1"/>
      <c r="S196" s="46"/>
      <c r="T196" s="49"/>
      <c r="U196" s="49"/>
      <c r="V196" s="3"/>
      <c r="W196" s="3"/>
      <c r="X196" s="3"/>
      <c r="Y196" s="2"/>
    </row>
    <row r="197" spans="1:25" ht="38.25" customHeight="1" x14ac:dyDescent="0.2">
      <c r="A197" s="9">
        <v>87</v>
      </c>
      <c r="B197" s="2" t="s">
        <v>784</v>
      </c>
      <c r="C197" s="9" t="s">
        <v>781</v>
      </c>
      <c r="D197" s="9" t="s">
        <v>785</v>
      </c>
      <c r="E197" s="9" t="s">
        <v>404</v>
      </c>
      <c r="F197" s="71">
        <f t="shared" si="14"/>
        <v>2</v>
      </c>
      <c r="G197" s="9">
        <v>1</v>
      </c>
      <c r="H197" s="9">
        <v>0</v>
      </c>
      <c r="I197" s="9">
        <v>1</v>
      </c>
      <c r="J197" s="71">
        <f t="shared" si="15"/>
        <v>2</v>
      </c>
      <c r="K197" s="9"/>
      <c r="L197" s="9"/>
      <c r="M197" s="9"/>
      <c r="N197" s="71">
        <f t="shared" si="16"/>
        <v>0</v>
      </c>
      <c r="O197" s="2"/>
      <c r="P197" s="2"/>
      <c r="Q197" s="1"/>
      <c r="R197" s="1"/>
      <c r="S197" s="46"/>
      <c r="T197" s="49"/>
      <c r="U197" s="49"/>
      <c r="V197" s="3"/>
      <c r="W197" s="3"/>
      <c r="X197" s="3"/>
      <c r="Y197" s="2"/>
    </row>
    <row r="198" spans="1:25" ht="38.25" customHeight="1" x14ac:dyDescent="0.2">
      <c r="A198" s="9">
        <v>88</v>
      </c>
      <c r="B198" s="2" t="s">
        <v>786</v>
      </c>
      <c r="C198" s="9" t="s">
        <v>781</v>
      </c>
      <c r="D198" s="9" t="s">
        <v>451</v>
      </c>
      <c r="E198" s="9" t="s">
        <v>399</v>
      </c>
      <c r="F198" s="71">
        <f t="shared" si="14"/>
        <v>4</v>
      </c>
      <c r="G198" s="9">
        <v>2</v>
      </c>
      <c r="H198" s="9">
        <v>1</v>
      </c>
      <c r="I198" s="9">
        <v>1</v>
      </c>
      <c r="J198" s="71">
        <f t="shared" si="15"/>
        <v>4</v>
      </c>
      <c r="K198" s="9"/>
      <c r="L198" s="9"/>
      <c r="M198" s="9"/>
      <c r="N198" s="71">
        <f t="shared" si="16"/>
        <v>0</v>
      </c>
      <c r="O198" s="2"/>
      <c r="P198" s="2"/>
      <c r="Q198" s="1"/>
      <c r="R198" s="1"/>
      <c r="S198" s="46"/>
      <c r="T198" s="49"/>
      <c r="U198" s="49"/>
      <c r="V198" s="3"/>
      <c r="W198" s="3"/>
      <c r="X198" s="3"/>
      <c r="Y198" s="2"/>
    </row>
    <row r="199" spans="1:25" ht="38.25" customHeight="1" x14ac:dyDescent="0.2">
      <c r="A199" s="9">
        <v>89</v>
      </c>
      <c r="B199" s="2" t="s">
        <v>787</v>
      </c>
      <c r="C199" s="9" t="s">
        <v>788</v>
      </c>
      <c r="D199" s="9" t="s">
        <v>515</v>
      </c>
      <c r="E199" s="9" t="s">
        <v>654</v>
      </c>
      <c r="F199" s="71">
        <f t="shared" si="14"/>
        <v>0</v>
      </c>
      <c r="G199" s="9">
        <v>0</v>
      </c>
      <c r="H199" s="9">
        <v>0</v>
      </c>
      <c r="I199" s="9">
        <v>0</v>
      </c>
      <c r="J199" s="71">
        <f t="shared" si="15"/>
        <v>0</v>
      </c>
      <c r="K199" s="9"/>
      <c r="L199" s="9"/>
      <c r="M199" s="9"/>
      <c r="N199" s="71">
        <f t="shared" si="16"/>
        <v>0</v>
      </c>
      <c r="O199" s="2"/>
      <c r="P199" s="2"/>
      <c r="Q199" s="1"/>
      <c r="R199" s="1"/>
      <c r="S199" s="46"/>
      <c r="T199" s="49"/>
      <c r="U199" s="49"/>
      <c r="V199" s="3"/>
      <c r="W199" s="3"/>
      <c r="X199" s="3"/>
      <c r="Y199" s="2"/>
    </row>
    <row r="200" spans="1:25" ht="38.25" customHeight="1" x14ac:dyDescent="0.2">
      <c r="A200" s="9">
        <v>90</v>
      </c>
      <c r="B200" s="2" t="s">
        <v>789</v>
      </c>
      <c r="C200" s="9" t="s">
        <v>790</v>
      </c>
      <c r="D200" s="9" t="s">
        <v>568</v>
      </c>
      <c r="E200" s="9" t="s">
        <v>399</v>
      </c>
      <c r="F200" s="71">
        <f t="shared" si="14"/>
        <v>3</v>
      </c>
      <c r="G200" s="9">
        <v>1</v>
      </c>
      <c r="H200" s="9">
        <v>1</v>
      </c>
      <c r="I200" s="9">
        <v>1</v>
      </c>
      <c r="J200" s="71">
        <f t="shared" si="15"/>
        <v>3</v>
      </c>
      <c r="K200" s="9"/>
      <c r="L200" s="9"/>
      <c r="M200" s="9"/>
      <c r="N200" s="71">
        <f t="shared" si="16"/>
        <v>0</v>
      </c>
      <c r="O200" s="2"/>
      <c r="P200" s="2"/>
      <c r="Q200" s="1"/>
      <c r="R200" s="1"/>
      <c r="S200" s="46"/>
      <c r="T200" s="49"/>
      <c r="U200" s="49"/>
      <c r="V200" s="3"/>
      <c r="W200" s="3"/>
      <c r="X200" s="3"/>
      <c r="Y200" s="2"/>
    </row>
    <row r="201" spans="1:25" ht="38.25" customHeight="1" x14ac:dyDescent="0.2">
      <c r="A201" s="9">
        <v>91</v>
      </c>
      <c r="B201" s="2" t="s">
        <v>791</v>
      </c>
      <c r="C201" s="9" t="s">
        <v>790</v>
      </c>
      <c r="D201" s="9" t="s">
        <v>792</v>
      </c>
      <c r="E201" s="9" t="s">
        <v>403</v>
      </c>
      <c r="F201" s="71">
        <f t="shared" si="14"/>
        <v>13</v>
      </c>
      <c r="G201" s="9">
        <v>8</v>
      </c>
      <c r="H201" s="9">
        <v>0</v>
      </c>
      <c r="I201" s="9">
        <v>5</v>
      </c>
      <c r="J201" s="71">
        <f t="shared" si="15"/>
        <v>13</v>
      </c>
      <c r="K201" s="9"/>
      <c r="L201" s="9"/>
      <c r="M201" s="9"/>
      <c r="N201" s="71">
        <f t="shared" si="16"/>
        <v>0</v>
      </c>
      <c r="O201" s="2"/>
      <c r="P201" s="2"/>
      <c r="Q201" s="1"/>
      <c r="R201" s="1"/>
      <c r="S201" s="46"/>
      <c r="T201" s="49"/>
      <c r="U201" s="49"/>
      <c r="V201" s="3"/>
      <c r="W201" s="3"/>
      <c r="X201" s="3"/>
      <c r="Y201" s="2"/>
    </row>
    <row r="202" spans="1:25" ht="38.25" customHeight="1" x14ac:dyDescent="0.2">
      <c r="A202" s="9">
        <v>92</v>
      </c>
      <c r="B202" s="2" t="s">
        <v>793</v>
      </c>
      <c r="C202" s="9" t="s">
        <v>790</v>
      </c>
      <c r="D202" s="9" t="s">
        <v>557</v>
      </c>
      <c r="E202" s="9" t="s">
        <v>428</v>
      </c>
      <c r="F202" s="71">
        <f t="shared" si="14"/>
        <v>4</v>
      </c>
      <c r="G202" s="9">
        <v>3</v>
      </c>
      <c r="H202" s="9">
        <v>0</v>
      </c>
      <c r="I202" s="9">
        <v>1</v>
      </c>
      <c r="J202" s="71">
        <f t="shared" si="15"/>
        <v>4</v>
      </c>
      <c r="K202" s="9"/>
      <c r="L202" s="9"/>
      <c r="M202" s="9"/>
      <c r="N202" s="71">
        <f t="shared" si="16"/>
        <v>0</v>
      </c>
      <c r="O202" s="2"/>
      <c r="P202" s="2"/>
      <c r="Q202" s="1"/>
      <c r="R202" s="1"/>
      <c r="S202" s="46"/>
      <c r="T202" s="49"/>
      <c r="U202" s="49"/>
      <c r="V202" s="3"/>
      <c r="W202" s="3"/>
      <c r="X202" s="3"/>
      <c r="Y202" s="2"/>
    </row>
    <row r="203" spans="1:25" ht="38.25" customHeight="1" x14ac:dyDescent="0.2">
      <c r="A203" s="9">
        <v>93</v>
      </c>
      <c r="B203" s="2" t="s">
        <v>794</v>
      </c>
      <c r="C203" s="9" t="s">
        <v>795</v>
      </c>
      <c r="D203" s="9" t="s">
        <v>796</v>
      </c>
      <c r="E203" s="9" t="s">
        <v>428</v>
      </c>
      <c r="F203" s="71">
        <f t="shared" si="14"/>
        <v>2</v>
      </c>
      <c r="G203" s="9">
        <v>2</v>
      </c>
      <c r="H203" s="9">
        <v>0</v>
      </c>
      <c r="I203" s="9">
        <v>0</v>
      </c>
      <c r="J203" s="71">
        <f t="shared" si="15"/>
        <v>2</v>
      </c>
      <c r="K203" s="9"/>
      <c r="L203" s="9"/>
      <c r="M203" s="9"/>
      <c r="N203" s="71">
        <f t="shared" si="16"/>
        <v>0</v>
      </c>
      <c r="O203" s="2"/>
      <c r="P203" s="2"/>
      <c r="Q203" s="1"/>
      <c r="R203" s="1"/>
      <c r="S203" s="46"/>
      <c r="T203" s="49"/>
      <c r="U203" s="49"/>
      <c r="V203" s="3"/>
      <c r="W203" s="3"/>
      <c r="X203" s="3"/>
      <c r="Y203" s="2"/>
    </row>
    <row r="204" spans="1:25" ht="38.25" customHeight="1" x14ac:dyDescent="0.2">
      <c r="A204" s="9">
        <v>94</v>
      </c>
      <c r="B204" s="2" t="s">
        <v>797</v>
      </c>
      <c r="C204" s="9" t="s">
        <v>798</v>
      </c>
      <c r="D204" s="9" t="s">
        <v>799</v>
      </c>
      <c r="E204" s="9" t="s">
        <v>425</v>
      </c>
      <c r="F204" s="71">
        <f t="shared" si="14"/>
        <v>1</v>
      </c>
      <c r="G204" s="9">
        <v>1</v>
      </c>
      <c r="H204" s="9">
        <v>0</v>
      </c>
      <c r="I204" s="9">
        <v>0</v>
      </c>
      <c r="J204" s="71">
        <f t="shared" si="15"/>
        <v>1</v>
      </c>
      <c r="K204" s="9"/>
      <c r="L204" s="9"/>
      <c r="M204" s="9"/>
      <c r="N204" s="71">
        <f t="shared" si="16"/>
        <v>0</v>
      </c>
      <c r="O204" s="2"/>
      <c r="P204" s="2"/>
      <c r="Q204" s="1"/>
      <c r="R204" s="1"/>
      <c r="S204" s="46"/>
      <c r="T204" s="49"/>
      <c r="U204" s="49"/>
      <c r="V204" s="3"/>
      <c r="W204" s="3"/>
      <c r="X204" s="3"/>
      <c r="Y204" s="2"/>
    </row>
    <row r="205" spans="1:25" ht="38.25" customHeight="1" x14ac:dyDescent="0.2">
      <c r="A205" s="9">
        <v>95</v>
      </c>
      <c r="B205" s="2" t="s">
        <v>800</v>
      </c>
      <c r="C205" s="9" t="s">
        <v>801</v>
      </c>
      <c r="D205" s="9" t="s">
        <v>599</v>
      </c>
      <c r="E205" s="9" t="s">
        <v>399</v>
      </c>
      <c r="F205" s="71">
        <f t="shared" si="14"/>
        <v>2</v>
      </c>
      <c r="G205" s="9">
        <v>1</v>
      </c>
      <c r="H205" s="9">
        <v>0</v>
      </c>
      <c r="I205" s="9">
        <v>1</v>
      </c>
      <c r="J205" s="71">
        <f t="shared" si="15"/>
        <v>2</v>
      </c>
      <c r="K205" s="9"/>
      <c r="L205" s="9"/>
      <c r="M205" s="9"/>
      <c r="N205" s="71">
        <f t="shared" si="16"/>
        <v>0</v>
      </c>
      <c r="O205" s="2"/>
      <c r="P205" s="2"/>
      <c r="Q205" s="1"/>
      <c r="R205" s="1"/>
      <c r="S205" s="46"/>
      <c r="T205" s="49"/>
      <c r="U205" s="49"/>
      <c r="V205" s="3"/>
      <c r="W205" s="3"/>
      <c r="X205" s="3"/>
      <c r="Y205" s="2"/>
    </row>
    <row r="206" spans="1:25" ht="38.25" customHeight="1" x14ac:dyDescent="0.2">
      <c r="A206" s="9">
        <v>96</v>
      </c>
      <c r="B206" s="2" t="s">
        <v>802</v>
      </c>
      <c r="C206" s="9" t="s">
        <v>803</v>
      </c>
      <c r="D206" s="9" t="s">
        <v>448</v>
      </c>
      <c r="E206" s="9" t="s">
        <v>409</v>
      </c>
      <c r="F206" s="71">
        <f t="shared" si="14"/>
        <v>5</v>
      </c>
      <c r="G206" s="9">
        <v>1</v>
      </c>
      <c r="H206" s="9">
        <v>0</v>
      </c>
      <c r="I206" s="9">
        <v>4</v>
      </c>
      <c r="J206" s="71">
        <f t="shared" si="15"/>
        <v>5</v>
      </c>
      <c r="K206" s="9"/>
      <c r="L206" s="9"/>
      <c r="M206" s="9"/>
      <c r="N206" s="71">
        <f t="shared" si="16"/>
        <v>0</v>
      </c>
      <c r="O206" s="2"/>
      <c r="P206" s="2"/>
      <c r="Q206" s="1"/>
      <c r="R206" s="1"/>
      <c r="S206" s="46"/>
      <c r="T206" s="49"/>
      <c r="U206" s="49"/>
      <c r="V206" s="3"/>
      <c r="W206" s="3"/>
      <c r="X206" s="3"/>
      <c r="Y206" s="2"/>
    </row>
    <row r="207" spans="1:25" ht="38.25" customHeight="1" x14ac:dyDescent="0.2">
      <c r="A207" s="9">
        <v>97</v>
      </c>
      <c r="B207" s="2" t="s">
        <v>804</v>
      </c>
      <c r="C207" s="9" t="s">
        <v>805</v>
      </c>
      <c r="D207" s="9" t="s">
        <v>806</v>
      </c>
      <c r="E207" s="9" t="s">
        <v>419</v>
      </c>
      <c r="F207" s="71">
        <f t="shared" si="14"/>
        <v>9</v>
      </c>
      <c r="G207" s="9">
        <v>6</v>
      </c>
      <c r="H207" s="9">
        <v>0</v>
      </c>
      <c r="I207" s="9">
        <v>3</v>
      </c>
      <c r="J207" s="71">
        <f t="shared" si="15"/>
        <v>9</v>
      </c>
      <c r="K207" s="9"/>
      <c r="L207" s="9"/>
      <c r="M207" s="9"/>
      <c r="N207" s="71">
        <f t="shared" si="16"/>
        <v>0</v>
      </c>
      <c r="O207" s="2"/>
      <c r="P207" s="2"/>
      <c r="Q207" s="1"/>
      <c r="R207" s="1"/>
      <c r="S207" s="46"/>
      <c r="T207" s="49"/>
      <c r="U207" s="49"/>
      <c r="V207" s="3"/>
      <c r="W207" s="3"/>
      <c r="X207" s="3"/>
      <c r="Y207" s="2"/>
    </row>
    <row r="208" spans="1:25" ht="38.25" customHeight="1" x14ac:dyDescent="0.2">
      <c r="A208" s="9">
        <v>98</v>
      </c>
      <c r="B208" s="2" t="s">
        <v>807</v>
      </c>
      <c r="C208" s="9" t="s">
        <v>808</v>
      </c>
      <c r="D208" s="9" t="s">
        <v>657</v>
      </c>
      <c r="E208" s="9" t="s">
        <v>420</v>
      </c>
      <c r="F208" s="71">
        <f t="shared" si="14"/>
        <v>9</v>
      </c>
      <c r="G208" s="9">
        <v>5</v>
      </c>
      <c r="H208" s="9">
        <v>2</v>
      </c>
      <c r="I208" s="9">
        <v>2</v>
      </c>
      <c r="J208" s="71">
        <f t="shared" si="15"/>
        <v>9</v>
      </c>
      <c r="K208" s="9"/>
      <c r="L208" s="9"/>
      <c r="M208" s="9"/>
      <c r="N208" s="71">
        <f t="shared" si="16"/>
        <v>0</v>
      </c>
      <c r="O208" s="2"/>
      <c r="P208" s="2"/>
      <c r="Q208" s="1"/>
      <c r="R208" s="1"/>
      <c r="S208" s="46"/>
      <c r="T208" s="49"/>
      <c r="U208" s="49"/>
      <c r="V208" s="3"/>
      <c r="W208" s="3"/>
      <c r="X208" s="3"/>
      <c r="Y208" s="2"/>
    </row>
    <row r="209" spans="1:25" ht="38.25" customHeight="1" x14ac:dyDescent="0.2">
      <c r="A209" s="9">
        <v>99</v>
      </c>
      <c r="B209" s="2" t="s">
        <v>809</v>
      </c>
      <c r="C209" s="9" t="s">
        <v>810</v>
      </c>
      <c r="D209" s="9" t="s">
        <v>525</v>
      </c>
      <c r="E209" s="9" t="s">
        <v>416</v>
      </c>
      <c r="F209" s="71">
        <f t="shared" si="14"/>
        <v>8</v>
      </c>
      <c r="G209" s="9">
        <v>6</v>
      </c>
      <c r="H209" s="9">
        <v>1</v>
      </c>
      <c r="I209" s="9">
        <v>1</v>
      </c>
      <c r="J209" s="71">
        <f t="shared" si="15"/>
        <v>8</v>
      </c>
      <c r="K209" s="9"/>
      <c r="L209" s="9"/>
      <c r="M209" s="9"/>
      <c r="N209" s="71">
        <f t="shared" si="16"/>
        <v>0</v>
      </c>
      <c r="O209" s="2"/>
      <c r="P209" s="2"/>
      <c r="Q209" s="1"/>
      <c r="R209" s="1"/>
      <c r="S209" s="46"/>
      <c r="T209" s="49"/>
      <c r="U209" s="49"/>
      <c r="V209" s="3"/>
      <c r="W209" s="3"/>
      <c r="X209" s="3"/>
      <c r="Y209" s="2"/>
    </row>
    <row r="210" spans="1:25" ht="38.25" customHeight="1" x14ac:dyDescent="0.2">
      <c r="A210" s="9">
        <v>100</v>
      </c>
      <c r="B210" s="2" t="s">
        <v>811</v>
      </c>
      <c r="C210" s="9" t="s">
        <v>812</v>
      </c>
      <c r="D210" s="9" t="s">
        <v>484</v>
      </c>
      <c r="E210" s="9" t="s">
        <v>410</v>
      </c>
      <c r="F210" s="71">
        <f t="shared" si="14"/>
        <v>1</v>
      </c>
      <c r="G210" s="9">
        <v>1</v>
      </c>
      <c r="H210" s="9">
        <v>0</v>
      </c>
      <c r="I210" s="9">
        <v>0</v>
      </c>
      <c r="J210" s="71">
        <f t="shared" si="15"/>
        <v>1</v>
      </c>
      <c r="K210" s="9"/>
      <c r="L210" s="9"/>
      <c r="M210" s="9"/>
      <c r="N210" s="71">
        <f t="shared" si="16"/>
        <v>0</v>
      </c>
      <c r="O210" s="2"/>
      <c r="P210" s="2"/>
      <c r="Q210" s="1"/>
      <c r="R210" s="1"/>
      <c r="S210" s="46"/>
      <c r="T210" s="49"/>
      <c r="U210" s="49"/>
      <c r="V210" s="3"/>
      <c r="W210" s="3"/>
      <c r="X210" s="3"/>
      <c r="Y210" s="2"/>
    </row>
    <row r="211" spans="1:25" ht="38.25" customHeight="1" x14ac:dyDescent="0.2">
      <c r="A211" s="9">
        <v>101</v>
      </c>
      <c r="B211" s="2" t="s">
        <v>719</v>
      </c>
      <c r="C211" s="9" t="s">
        <v>720</v>
      </c>
      <c r="D211" s="9" t="s">
        <v>482</v>
      </c>
      <c r="E211" s="9" t="s">
        <v>427</v>
      </c>
      <c r="F211" s="71">
        <f t="shared" si="14"/>
        <v>5</v>
      </c>
      <c r="G211" s="9">
        <v>1</v>
      </c>
      <c r="H211" s="9">
        <v>0</v>
      </c>
      <c r="I211" s="9">
        <v>4</v>
      </c>
      <c r="J211" s="71">
        <f t="shared" si="15"/>
        <v>5</v>
      </c>
      <c r="K211" s="9"/>
      <c r="L211" s="9"/>
      <c r="M211" s="9"/>
      <c r="N211" s="71">
        <f t="shared" si="16"/>
        <v>0</v>
      </c>
      <c r="O211" s="2"/>
      <c r="P211" s="2"/>
      <c r="Q211" s="1"/>
      <c r="R211" s="1"/>
      <c r="S211" s="46"/>
      <c r="T211" s="49"/>
      <c r="U211" s="49"/>
      <c r="V211" s="3"/>
      <c r="W211" s="3"/>
      <c r="X211" s="3"/>
      <c r="Y211" s="2"/>
    </row>
    <row r="212" spans="1:25" ht="38.25" customHeight="1" x14ac:dyDescent="0.2">
      <c r="A212" s="9">
        <v>102</v>
      </c>
      <c r="B212" s="2" t="s">
        <v>804</v>
      </c>
      <c r="C212" s="9" t="s">
        <v>805</v>
      </c>
      <c r="D212" s="9" t="s">
        <v>813</v>
      </c>
      <c r="E212" s="9" t="s">
        <v>402</v>
      </c>
      <c r="F212" s="71">
        <f t="shared" si="14"/>
        <v>5</v>
      </c>
      <c r="G212" s="9">
        <v>3</v>
      </c>
      <c r="H212" s="9">
        <v>1</v>
      </c>
      <c r="I212" s="9">
        <v>1</v>
      </c>
      <c r="J212" s="71">
        <f t="shared" si="15"/>
        <v>5</v>
      </c>
      <c r="K212" s="9"/>
      <c r="L212" s="9"/>
      <c r="M212" s="9"/>
      <c r="N212" s="71">
        <f t="shared" si="16"/>
        <v>0</v>
      </c>
      <c r="O212" s="2"/>
      <c r="P212" s="2"/>
      <c r="Q212" s="1"/>
      <c r="R212" s="1"/>
      <c r="S212" s="46"/>
      <c r="T212" s="49"/>
      <c r="U212" s="49"/>
      <c r="V212" s="3"/>
      <c r="W212" s="3"/>
      <c r="X212" s="3"/>
      <c r="Y212" s="2"/>
    </row>
    <row r="213" spans="1:25" ht="38.25" customHeight="1" x14ac:dyDescent="0.2">
      <c r="A213" s="9">
        <v>103</v>
      </c>
      <c r="B213" s="2" t="s">
        <v>814</v>
      </c>
      <c r="C213" s="9" t="s">
        <v>681</v>
      </c>
      <c r="D213" s="9" t="s">
        <v>815</v>
      </c>
      <c r="E213" s="9" t="s">
        <v>431</v>
      </c>
      <c r="F213" s="71">
        <f t="shared" si="14"/>
        <v>4</v>
      </c>
      <c r="G213" s="9">
        <v>4</v>
      </c>
      <c r="H213" s="9">
        <v>0</v>
      </c>
      <c r="I213" s="9">
        <v>0</v>
      </c>
      <c r="J213" s="71">
        <f t="shared" si="15"/>
        <v>4</v>
      </c>
      <c r="K213" s="9"/>
      <c r="L213" s="9"/>
      <c r="M213" s="9"/>
      <c r="N213" s="71">
        <f t="shared" si="16"/>
        <v>0</v>
      </c>
      <c r="O213" s="2"/>
      <c r="P213" s="2"/>
      <c r="Q213" s="1"/>
      <c r="R213" s="1"/>
      <c r="S213" s="46"/>
      <c r="T213" s="49"/>
      <c r="U213" s="49"/>
      <c r="V213" s="3"/>
      <c r="W213" s="3"/>
      <c r="X213" s="3"/>
      <c r="Y213" s="2"/>
    </row>
    <row r="214" spans="1:25" ht="38.25" customHeight="1" x14ac:dyDescent="0.2">
      <c r="A214" s="9">
        <v>104</v>
      </c>
      <c r="B214" s="2" t="s">
        <v>816</v>
      </c>
      <c r="C214" s="9" t="s">
        <v>742</v>
      </c>
      <c r="D214" s="9" t="s">
        <v>817</v>
      </c>
      <c r="E214" s="9" t="s">
        <v>431</v>
      </c>
      <c r="F214" s="71">
        <f t="shared" si="14"/>
        <v>4</v>
      </c>
      <c r="G214" s="9">
        <v>4</v>
      </c>
      <c r="H214" s="9">
        <v>0</v>
      </c>
      <c r="I214" s="9">
        <v>0</v>
      </c>
      <c r="J214" s="71">
        <f t="shared" si="15"/>
        <v>4</v>
      </c>
      <c r="K214" s="9"/>
      <c r="L214" s="9"/>
      <c r="M214" s="9"/>
      <c r="N214" s="71">
        <f t="shared" si="16"/>
        <v>0</v>
      </c>
      <c r="O214" s="2"/>
      <c r="P214" s="2"/>
      <c r="Q214" s="1"/>
      <c r="R214" s="1"/>
      <c r="S214" s="46"/>
      <c r="T214" s="49"/>
      <c r="U214" s="49"/>
      <c r="V214" s="3"/>
      <c r="W214" s="3"/>
      <c r="X214" s="3"/>
      <c r="Y214" s="2"/>
    </row>
    <row r="215" spans="1:25" ht="38.25" customHeight="1" x14ac:dyDescent="0.2">
      <c r="A215" s="9">
        <v>105</v>
      </c>
      <c r="B215" s="2" t="s">
        <v>818</v>
      </c>
      <c r="C215" s="9" t="s">
        <v>763</v>
      </c>
      <c r="D215" s="9" t="s">
        <v>817</v>
      </c>
      <c r="E215" s="9" t="s">
        <v>431</v>
      </c>
      <c r="F215" s="71">
        <f t="shared" si="14"/>
        <v>4</v>
      </c>
      <c r="G215" s="9">
        <v>4</v>
      </c>
      <c r="H215" s="9">
        <v>0</v>
      </c>
      <c r="I215" s="9">
        <v>0</v>
      </c>
      <c r="J215" s="71">
        <f t="shared" si="15"/>
        <v>4</v>
      </c>
      <c r="K215" s="9"/>
      <c r="L215" s="9"/>
      <c r="M215" s="9"/>
      <c r="N215" s="71">
        <f t="shared" si="16"/>
        <v>0</v>
      </c>
      <c r="O215" s="2"/>
      <c r="P215" s="2"/>
      <c r="Q215" s="1"/>
      <c r="R215" s="1"/>
      <c r="S215" s="46"/>
      <c r="T215" s="49"/>
      <c r="U215" s="49"/>
      <c r="V215" s="3"/>
      <c r="W215" s="3"/>
      <c r="X215" s="3"/>
      <c r="Y215" s="2"/>
    </row>
    <row r="216" spans="1:25" ht="38.25" customHeight="1" x14ac:dyDescent="0.2">
      <c r="A216" s="9">
        <v>106</v>
      </c>
      <c r="B216" s="2" t="s">
        <v>819</v>
      </c>
      <c r="C216" s="9" t="s">
        <v>808</v>
      </c>
      <c r="D216" s="9" t="s">
        <v>815</v>
      </c>
      <c r="E216" s="9" t="s">
        <v>431</v>
      </c>
      <c r="F216" s="71">
        <f t="shared" si="14"/>
        <v>4</v>
      </c>
      <c r="G216" s="9">
        <v>4</v>
      </c>
      <c r="H216" s="9">
        <v>0</v>
      </c>
      <c r="I216" s="9">
        <v>0</v>
      </c>
      <c r="J216" s="71">
        <f t="shared" si="15"/>
        <v>4</v>
      </c>
      <c r="K216" s="9"/>
      <c r="L216" s="9"/>
      <c r="M216" s="9"/>
      <c r="N216" s="71">
        <f t="shared" si="16"/>
        <v>0</v>
      </c>
      <c r="O216" s="2"/>
      <c r="P216" s="2"/>
      <c r="Q216" s="1"/>
      <c r="R216" s="1"/>
      <c r="S216" s="46"/>
      <c r="T216" s="49"/>
      <c r="U216" s="49"/>
      <c r="V216" s="3"/>
      <c r="W216" s="3"/>
      <c r="X216" s="3"/>
      <c r="Y216" s="2"/>
    </row>
    <row r="217" spans="1:25" ht="38.25" customHeight="1" x14ac:dyDescent="0.2">
      <c r="A217" s="9">
        <v>107</v>
      </c>
      <c r="B217" s="2" t="s">
        <v>820</v>
      </c>
      <c r="C217" s="9" t="s">
        <v>808</v>
      </c>
      <c r="D217" s="9" t="s">
        <v>815</v>
      </c>
      <c r="E217" s="9" t="s">
        <v>431</v>
      </c>
      <c r="F217" s="71">
        <f t="shared" si="14"/>
        <v>4</v>
      </c>
      <c r="G217" s="9">
        <v>4</v>
      </c>
      <c r="H217" s="9">
        <v>0</v>
      </c>
      <c r="I217" s="9">
        <v>0</v>
      </c>
      <c r="J217" s="71">
        <f t="shared" si="15"/>
        <v>4</v>
      </c>
      <c r="K217" s="9"/>
      <c r="L217" s="9"/>
      <c r="M217" s="9"/>
      <c r="N217" s="71">
        <f t="shared" si="16"/>
        <v>0</v>
      </c>
      <c r="O217" s="2"/>
      <c r="P217" s="2"/>
      <c r="Q217" s="1"/>
      <c r="R217" s="1"/>
      <c r="S217" s="46"/>
      <c r="T217" s="49"/>
      <c r="U217" s="49"/>
      <c r="V217" s="3"/>
      <c r="W217" s="3"/>
      <c r="X217" s="3"/>
      <c r="Y217" s="2"/>
    </row>
    <row r="218" spans="1:25" ht="38.25" customHeight="1" x14ac:dyDescent="0.2">
      <c r="A218" s="9">
        <v>108</v>
      </c>
      <c r="B218" s="2"/>
      <c r="C218" s="9"/>
      <c r="D218" s="9"/>
      <c r="E218" s="9"/>
      <c r="F218" s="71">
        <f t="shared" si="14"/>
        <v>0</v>
      </c>
      <c r="G218" s="9"/>
      <c r="H218" s="9"/>
      <c r="I218" s="9"/>
      <c r="J218" s="71">
        <f t="shared" si="15"/>
        <v>0</v>
      </c>
      <c r="K218" s="9"/>
      <c r="L218" s="9"/>
      <c r="M218" s="9"/>
      <c r="N218" s="71">
        <f t="shared" si="16"/>
        <v>0</v>
      </c>
      <c r="O218" s="2"/>
      <c r="P218" s="2"/>
      <c r="Q218" s="1"/>
      <c r="R218" s="1"/>
      <c r="S218" s="46"/>
      <c r="T218" s="49"/>
      <c r="U218" s="49"/>
      <c r="V218" s="3"/>
      <c r="W218" s="3"/>
      <c r="X218" s="3"/>
      <c r="Y218" s="2"/>
    </row>
    <row r="219" spans="1:25" ht="38.25" customHeight="1" x14ac:dyDescent="0.2">
      <c r="A219" s="9">
        <v>109</v>
      </c>
      <c r="B219" s="2"/>
      <c r="C219" s="9"/>
      <c r="D219" s="9"/>
      <c r="E219" s="9"/>
      <c r="F219" s="71">
        <f t="shared" si="14"/>
        <v>0</v>
      </c>
      <c r="G219" s="9"/>
      <c r="H219" s="9"/>
      <c r="I219" s="9"/>
      <c r="J219" s="71">
        <f t="shared" si="15"/>
        <v>0</v>
      </c>
      <c r="K219" s="9"/>
      <c r="L219" s="9"/>
      <c r="M219" s="9"/>
      <c r="N219" s="71">
        <f t="shared" si="16"/>
        <v>0</v>
      </c>
      <c r="O219" s="2"/>
      <c r="P219" s="2"/>
      <c r="Q219" s="1"/>
      <c r="R219" s="1"/>
      <c r="S219" s="46"/>
      <c r="T219" s="49"/>
      <c r="U219" s="49"/>
      <c r="V219" s="3"/>
      <c r="W219" s="3"/>
      <c r="X219" s="3"/>
      <c r="Y219" s="2"/>
    </row>
    <row r="220" spans="1:25" ht="38.25" customHeight="1" x14ac:dyDescent="0.2">
      <c r="A220" s="9">
        <v>110</v>
      </c>
      <c r="B220" s="2"/>
      <c r="C220" s="9"/>
      <c r="D220" s="9"/>
      <c r="E220" s="9"/>
      <c r="F220" s="71">
        <f t="shared" si="14"/>
        <v>0</v>
      </c>
      <c r="G220" s="9"/>
      <c r="H220" s="9"/>
      <c r="I220" s="9"/>
      <c r="J220" s="71">
        <f t="shared" si="15"/>
        <v>0</v>
      </c>
      <c r="K220" s="9"/>
      <c r="L220" s="9"/>
      <c r="M220" s="9"/>
      <c r="N220" s="71">
        <f t="shared" si="16"/>
        <v>0</v>
      </c>
      <c r="O220" s="2"/>
      <c r="P220" s="2"/>
      <c r="Q220" s="1"/>
      <c r="R220" s="1"/>
      <c r="S220" s="46"/>
      <c r="T220" s="49"/>
      <c r="U220" s="49"/>
      <c r="V220" s="3"/>
      <c r="W220" s="3"/>
      <c r="X220" s="3"/>
      <c r="Y220" s="2"/>
    </row>
    <row r="221" spans="1:25" ht="38.25" customHeight="1" x14ac:dyDescent="0.2">
      <c r="A221" s="9">
        <v>111</v>
      </c>
      <c r="B221" s="2"/>
      <c r="C221" s="9"/>
      <c r="D221" s="9"/>
      <c r="E221" s="9"/>
      <c r="F221" s="71">
        <f t="shared" si="14"/>
        <v>0</v>
      </c>
      <c r="G221" s="9"/>
      <c r="H221" s="9"/>
      <c r="I221" s="9"/>
      <c r="J221" s="71">
        <f t="shared" si="15"/>
        <v>0</v>
      </c>
      <c r="K221" s="9"/>
      <c r="L221" s="9"/>
      <c r="M221" s="9"/>
      <c r="N221" s="71">
        <f t="shared" si="16"/>
        <v>0</v>
      </c>
      <c r="O221" s="2"/>
      <c r="P221" s="2"/>
      <c r="Q221" s="1"/>
      <c r="R221" s="1"/>
      <c r="S221" s="46"/>
      <c r="T221" s="49"/>
      <c r="U221" s="49"/>
      <c r="V221" s="3"/>
      <c r="W221" s="3"/>
      <c r="X221" s="3"/>
      <c r="Y221" s="2"/>
    </row>
    <row r="222" spans="1:25" ht="38.25" customHeight="1" x14ac:dyDescent="0.2">
      <c r="A222" s="9">
        <v>112</v>
      </c>
      <c r="B222" s="2"/>
      <c r="C222" s="9"/>
      <c r="D222" s="9"/>
      <c r="E222" s="9"/>
      <c r="F222" s="71">
        <f t="shared" si="14"/>
        <v>0</v>
      </c>
      <c r="G222" s="9"/>
      <c r="H222" s="9"/>
      <c r="I222" s="9"/>
      <c r="J222" s="71">
        <f t="shared" si="15"/>
        <v>0</v>
      </c>
      <c r="K222" s="9"/>
      <c r="L222" s="9"/>
      <c r="M222" s="9"/>
      <c r="N222" s="71">
        <f t="shared" si="16"/>
        <v>0</v>
      </c>
      <c r="O222" s="2"/>
      <c r="P222" s="2"/>
      <c r="Q222" s="1"/>
      <c r="R222" s="1"/>
      <c r="S222" s="46"/>
      <c r="T222" s="49"/>
      <c r="U222" s="49"/>
      <c r="V222" s="3"/>
      <c r="W222" s="3"/>
      <c r="X222" s="3"/>
      <c r="Y222" s="2"/>
    </row>
    <row r="223" spans="1:25" ht="38.25" customHeight="1" x14ac:dyDescent="0.2">
      <c r="A223" s="9">
        <v>113</v>
      </c>
      <c r="B223" s="2"/>
      <c r="C223" s="9"/>
      <c r="D223" s="9"/>
      <c r="E223" s="9"/>
      <c r="F223" s="71">
        <f t="shared" si="14"/>
        <v>0</v>
      </c>
      <c r="G223" s="9"/>
      <c r="H223" s="9"/>
      <c r="I223" s="9"/>
      <c r="J223" s="71">
        <f t="shared" si="15"/>
        <v>0</v>
      </c>
      <c r="K223" s="9"/>
      <c r="L223" s="9"/>
      <c r="M223" s="9"/>
      <c r="N223" s="71">
        <f t="shared" si="16"/>
        <v>0</v>
      </c>
      <c r="O223" s="2"/>
      <c r="P223" s="2"/>
      <c r="Q223" s="1"/>
      <c r="R223" s="1"/>
      <c r="S223" s="46"/>
      <c r="T223" s="49"/>
      <c r="U223" s="49"/>
      <c r="V223" s="3"/>
      <c r="W223" s="3"/>
      <c r="X223" s="3"/>
      <c r="Y223" s="2"/>
    </row>
    <row r="224" spans="1:25" ht="38.25" customHeight="1" x14ac:dyDescent="0.2">
      <c r="A224" s="9">
        <v>114</v>
      </c>
      <c r="B224" s="2"/>
      <c r="C224" s="9"/>
      <c r="D224" s="9"/>
      <c r="E224" s="9"/>
      <c r="F224" s="71">
        <f t="shared" si="14"/>
        <v>0</v>
      </c>
      <c r="G224" s="9"/>
      <c r="H224" s="9"/>
      <c r="I224" s="9"/>
      <c r="J224" s="71">
        <f t="shared" si="15"/>
        <v>0</v>
      </c>
      <c r="K224" s="9"/>
      <c r="L224" s="9"/>
      <c r="M224" s="9"/>
      <c r="N224" s="71">
        <f t="shared" si="16"/>
        <v>0</v>
      </c>
      <c r="O224" s="2"/>
      <c r="P224" s="2"/>
      <c r="Q224" s="1"/>
      <c r="R224" s="1"/>
      <c r="S224" s="46"/>
      <c r="T224" s="49"/>
      <c r="U224" s="49"/>
      <c r="V224" s="3"/>
      <c r="W224" s="3"/>
      <c r="X224" s="3"/>
      <c r="Y224" s="2"/>
    </row>
    <row r="225" spans="1:25" ht="38.25" customHeight="1" x14ac:dyDescent="0.2">
      <c r="A225" s="9">
        <v>115</v>
      </c>
      <c r="B225" s="2"/>
      <c r="C225" s="9"/>
      <c r="D225" s="9"/>
      <c r="E225" s="9"/>
      <c r="F225" s="71">
        <f t="shared" si="14"/>
        <v>0</v>
      </c>
      <c r="G225" s="9"/>
      <c r="H225" s="9"/>
      <c r="I225" s="9"/>
      <c r="J225" s="71">
        <f t="shared" si="15"/>
        <v>0</v>
      </c>
      <c r="K225" s="9"/>
      <c r="L225" s="9"/>
      <c r="M225" s="9"/>
      <c r="N225" s="71">
        <f t="shared" si="16"/>
        <v>0</v>
      </c>
      <c r="O225" s="2"/>
      <c r="P225" s="2"/>
      <c r="Q225" s="1"/>
      <c r="R225" s="1"/>
      <c r="S225" s="46"/>
      <c r="T225" s="49"/>
      <c r="U225" s="49"/>
      <c r="V225" s="3"/>
      <c r="W225" s="3"/>
      <c r="X225" s="3"/>
      <c r="Y225" s="2"/>
    </row>
    <row r="226" spans="1:25" ht="38.25" customHeight="1" x14ac:dyDescent="0.2">
      <c r="A226" s="9">
        <v>116</v>
      </c>
      <c r="B226" s="2"/>
      <c r="C226" s="9"/>
      <c r="D226" s="9"/>
      <c r="E226" s="9"/>
      <c r="F226" s="71">
        <f t="shared" si="14"/>
        <v>0</v>
      </c>
      <c r="G226" s="9"/>
      <c r="H226" s="9"/>
      <c r="I226" s="9"/>
      <c r="J226" s="71">
        <f t="shared" si="15"/>
        <v>0</v>
      </c>
      <c r="K226" s="9"/>
      <c r="L226" s="9"/>
      <c r="M226" s="9"/>
      <c r="N226" s="71">
        <f t="shared" si="16"/>
        <v>0</v>
      </c>
      <c r="O226" s="2"/>
      <c r="P226" s="2"/>
      <c r="Q226" s="1"/>
      <c r="R226" s="1"/>
      <c r="S226" s="46"/>
      <c r="T226" s="49"/>
      <c r="U226" s="49"/>
      <c r="V226" s="3"/>
      <c r="W226" s="3"/>
      <c r="X226" s="3"/>
      <c r="Y226" s="2"/>
    </row>
    <row r="227" spans="1:25" ht="38.25" customHeight="1" x14ac:dyDescent="0.2">
      <c r="A227" s="9">
        <v>117</v>
      </c>
      <c r="B227" s="2"/>
      <c r="C227" s="9"/>
      <c r="D227" s="9"/>
      <c r="E227" s="9"/>
      <c r="F227" s="71">
        <f t="shared" si="14"/>
        <v>0</v>
      </c>
      <c r="G227" s="9"/>
      <c r="H227" s="9"/>
      <c r="I227" s="9"/>
      <c r="J227" s="71">
        <f t="shared" si="15"/>
        <v>0</v>
      </c>
      <c r="K227" s="9"/>
      <c r="L227" s="9"/>
      <c r="M227" s="9"/>
      <c r="N227" s="71">
        <f t="shared" si="16"/>
        <v>0</v>
      </c>
      <c r="O227" s="2"/>
      <c r="P227" s="2"/>
      <c r="Q227" s="1"/>
      <c r="R227" s="1"/>
      <c r="S227" s="46"/>
      <c r="T227" s="49"/>
      <c r="U227" s="49"/>
      <c r="V227" s="3"/>
      <c r="W227" s="3"/>
      <c r="X227" s="3"/>
      <c r="Y227" s="2"/>
    </row>
    <row r="228" spans="1:25" ht="38.25" customHeight="1" x14ac:dyDescent="0.2">
      <c r="A228" s="9">
        <v>118</v>
      </c>
      <c r="B228" s="2"/>
      <c r="C228" s="9"/>
      <c r="D228" s="9"/>
      <c r="E228" s="9"/>
      <c r="F228" s="71">
        <f t="shared" si="14"/>
        <v>0</v>
      </c>
      <c r="G228" s="9"/>
      <c r="H228" s="9"/>
      <c r="I228" s="9"/>
      <c r="J228" s="71">
        <f t="shared" si="15"/>
        <v>0</v>
      </c>
      <c r="K228" s="9"/>
      <c r="L228" s="9"/>
      <c r="M228" s="9"/>
      <c r="N228" s="71">
        <f t="shared" si="16"/>
        <v>0</v>
      </c>
      <c r="O228" s="2"/>
      <c r="P228" s="2"/>
      <c r="Q228" s="1"/>
      <c r="R228" s="1"/>
      <c r="S228" s="46"/>
      <c r="T228" s="49"/>
      <c r="U228" s="49"/>
      <c r="V228" s="3"/>
      <c r="W228" s="3"/>
      <c r="X228" s="3"/>
      <c r="Y228" s="2"/>
    </row>
    <row r="229" spans="1:25" ht="38.25" customHeight="1" x14ac:dyDescent="0.2">
      <c r="A229" s="9">
        <v>119</v>
      </c>
      <c r="B229" s="2"/>
      <c r="C229" s="9"/>
      <c r="D229" s="9"/>
      <c r="E229" s="9"/>
      <c r="F229" s="71">
        <f t="shared" si="14"/>
        <v>0</v>
      </c>
      <c r="G229" s="9"/>
      <c r="H229" s="9"/>
      <c r="I229" s="9"/>
      <c r="J229" s="71">
        <f t="shared" si="15"/>
        <v>0</v>
      </c>
      <c r="K229" s="9"/>
      <c r="L229" s="9"/>
      <c r="M229" s="9"/>
      <c r="N229" s="71">
        <f t="shared" si="16"/>
        <v>0</v>
      </c>
      <c r="O229" s="2"/>
      <c r="P229" s="2"/>
      <c r="Q229" s="1"/>
      <c r="R229" s="1"/>
      <c r="S229" s="46"/>
      <c r="T229" s="49"/>
      <c r="U229" s="49"/>
      <c r="V229" s="3"/>
      <c r="W229" s="3"/>
      <c r="X229" s="3"/>
      <c r="Y229" s="2"/>
    </row>
    <row r="230" spans="1:25" ht="38.25" customHeight="1" x14ac:dyDescent="0.2">
      <c r="A230" s="9">
        <v>120</v>
      </c>
      <c r="B230" s="2"/>
      <c r="C230" s="9"/>
      <c r="D230" s="9"/>
      <c r="E230" s="9"/>
      <c r="F230" s="71">
        <f t="shared" si="14"/>
        <v>0</v>
      </c>
      <c r="G230" s="9"/>
      <c r="H230" s="9"/>
      <c r="I230" s="9"/>
      <c r="J230" s="71">
        <f t="shared" si="15"/>
        <v>0</v>
      </c>
      <c r="K230" s="9"/>
      <c r="L230" s="9"/>
      <c r="M230" s="9"/>
      <c r="N230" s="71">
        <f t="shared" si="16"/>
        <v>0</v>
      </c>
      <c r="O230" s="2"/>
      <c r="P230" s="2"/>
      <c r="Q230" s="1"/>
      <c r="R230" s="1"/>
      <c r="S230" s="46"/>
      <c r="T230" s="49"/>
      <c r="U230" s="49"/>
      <c r="V230" s="3"/>
      <c r="W230" s="3"/>
      <c r="X230" s="3"/>
      <c r="Y230" s="2"/>
    </row>
    <row r="231" spans="1:25" ht="38.25" customHeight="1" x14ac:dyDescent="0.2">
      <c r="A231" s="9">
        <v>121</v>
      </c>
      <c r="B231" s="2"/>
      <c r="C231" s="9"/>
      <c r="D231" s="9"/>
      <c r="E231" s="9"/>
      <c r="F231" s="71">
        <f t="shared" si="14"/>
        <v>0</v>
      </c>
      <c r="G231" s="9"/>
      <c r="H231" s="9"/>
      <c r="I231" s="9"/>
      <c r="J231" s="71">
        <f t="shared" si="15"/>
        <v>0</v>
      </c>
      <c r="K231" s="9"/>
      <c r="L231" s="9"/>
      <c r="M231" s="9"/>
      <c r="N231" s="71">
        <f t="shared" si="16"/>
        <v>0</v>
      </c>
      <c r="O231" s="2"/>
      <c r="P231" s="2"/>
      <c r="Q231" s="1"/>
      <c r="R231" s="1"/>
      <c r="S231" s="46"/>
      <c r="T231" s="49"/>
      <c r="U231" s="49"/>
      <c r="V231" s="3"/>
      <c r="W231" s="3"/>
      <c r="X231" s="3"/>
      <c r="Y231" s="2"/>
    </row>
    <row r="232" spans="1:25" ht="38.25" customHeight="1" x14ac:dyDescent="0.2">
      <c r="A232" s="9">
        <v>122</v>
      </c>
      <c r="B232" s="2"/>
      <c r="C232" s="9"/>
      <c r="D232" s="9"/>
      <c r="E232" s="9"/>
      <c r="F232" s="71">
        <f t="shared" si="14"/>
        <v>0</v>
      </c>
      <c r="G232" s="9"/>
      <c r="H232" s="9"/>
      <c r="I232" s="9"/>
      <c r="J232" s="71">
        <f t="shared" si="15"/>
        <v>0</v>
      </c>
      <c r="K232" s="9"/>
      <c r="L232" s="9"/>
      <c r="M232" s="9"/>
      <c r="N232" s="71">
        <f t="shared" si="16"/>
        <v>0</v>
      </c>
      <c r="O232" s="2"/>
      <c r="P232" s="2"/>
      <c r="Q232" s="1"/>
      <c r="R232" s="1"/>
      <c r="S232" s="46"/>
      <c r="T232" s="49"/>
      <c r="U232" s="49"/>
      <c r="V232" s="3"/>
      <c r="W232" s="3"/>
      <c r="X232" s="3"/>
      <c r="Y232" s="2"/>
    </row>
    <row r="233" spans="1:25" ht="38.25" customHeight="1" x14ac:dyDescent="0.2">
      <c r="A233" s="9">
        <v>123</v>
      </c>
      <c r="B233" s="2"/>
      <c r="C233" s="9"/>
      <c r="D233" s="9"/>
      <c r="E233" s="9"/>
      <c r="F233" s="71">
        <f t="shared" si="14"/>
        <v>0</v>
      </c>
      <c r="G233" s="9"/>
      <c r="H233" s="9"/>
      <c r="I233" s="9"/>
      <c r="J233" s="71">
        <f t="shared" si="15"/>
        <v>0</v>
      </c>
      <c r="K233" s="9"/>
      <c r="L233" s="9"/>
      <c r="M233" s="9"/>
      <c r="N233" s="71">
        <f t="shared" si="16"/>
        <v>0</v>
      </c>
      <c r="O233" s="2"/>
      <c r="P233" s="2"/>
      <c r="Q233" s="1"/>
      <c r="R233" s="1"/>
      <c r="S233" s="46"/>
      <c r="T233" s="49"/>
      <c r="U233" s="49"/>
      <c r="V233" s="3"/>
      <c r="W233" s="3"/>
      <c r="X233" s="3"/>
      <c r="Y233" s="2"/>
    </row>
    <row r="234" spans="1:25" ht="38.25" customHeight="1" x14ac:dyDescent="0.2">
      <c r="A234" s="9">
        <v>124</v>
      </c>
      <c r="B234" s="2"/>
      <c r="C234" s="9"/>
      <c r="D234" s="9"/>
      <c r="E234" s="9"/>
      <c r="F234" s="71">
        <f t="shared" si="14"/>
        <v>0</v>
      </c>
      <c r="G234" s="9"/>
      <c r="H234" s="9"/>
      <c r="I234" s="9"/>
      <c r="J234" s="71">
        <f t="shared" si="15"/>
        <v>0</v>
      </c>
      <c r="K234" s="9"/>
      <c r="L234" s="9"/>
      <c r="M234" s="9"/>
      <c r="N234" s="71">
        <f t="shared" si="16"/>
        <v>0</v>
      </c>
      <c r="O234" s="2"/>
      <c r="P234" s="2"/>
      <c r="Q234" s="1"/>
      <c r="R234" s="1"/>
      <c r="S234" s="46"/>
      <c r="T234" s="49"/>
      <c r="U234" s="49"/>
      <c r="V234" s="3"/>
      <c r="W234" s="3"/>
      <c r="X234" s="3"/>
      <c r="Y234" s="2"/>
    </row>
    <row r="235" spans="1:25" ht="38.25" customHeight="1" x14ac:dyDescent="0.2">
      <c r="A235" s="9">
        <v>125</v>
      </c>
      <c r="B235" s="2"/>
      <c r="C235" s="9"/>
      <c r="D235" s="9"/>
      <c r="E235" s="9"/>
      <c r="F235" s="71">
        <f t="shared" si="14"/>
        <v>0</v>
      </c>
      <c r="G235" s="9"/>
      <c r="H235" s="9"/>
      <c r="I235" s="9"/>
      <c r="J235" s="71">
        <f t="shared" si="15"/>
        <v>0</v>
      </c>
      <c r="K235" s="9"/>
      <c r="L235" s="9"/>
      <c r="M235" s="9"/>
      <c r="N235" s="71">
        <f t="shared" si="16"/>
        <v>0</v>
      </c>
      <c r="O235" s="2"/>
      <c r="P235" s="2"/>
      <c r="Q235" s="1"/>
      <c r="R235" s="1"/>
      <c r="S235" s="46"/>
      <c r="T235" s="49"/>
      <c r="U235" s="49"/>
      <c r="V235" s="3"/>
      <c r="W235" s="3"/>
      <c r="X235" s="3"/>
      <c r="Y235" s="2"/>
    </row>
    <row r="236" spans="1:25" ht="38.25" customHeight="1" x14ac:dyDescent="0.2">
      <c r="A236" s="9">
        <v>126</v>
      </c>
      <c r="B236" s="2"/>
      <c r="C236" s="9"/>
      <c r="D236" s="9"/>
      <c r="E236" s="9"/>
      <c r="F236" s="71">
        <f t="shared" si="14"/>
        <v>0</v>
      </c>
      <c r="G236" s="9"/>
      <c r="H236" s="9"/>
      <c r="I236" s="9"/>
      <c r="J236" s="71">
        <f t="shared" si="15"/>
        <v>0</v>
      </c>
      <c r="K236" s="9"/>
      <c r="L236" s="9"/>
      <c r="M236" s="9"/>
      <c r="N236" s="71">
        <f t="shared" si="16"/>
        <v>0</v>
      </c>
      <c r="O236" s="2"/>
      <c r="P236" s="2"/>
      <c r="Q236" s="1"/>
      <c r="R236" s="1"/>
      <c r="S236" s="46"/>
      <c r="T236" s="49"/>
      <c r="U236" s="49"/>
      <c r="V236" s="3"/>
      <c r="W236" s="3"/>
      <c r="X236" s="3"/>
      <c r="Y236" s="2"/>
    </row>
    <row r="237" spans="1:25" ht="38.25" customHeight="1" x14ac:dyDescent="0.2">
      <c r="A237" s="9">
        <v>127</v>
      </c>
      <c r="B237" s="2"/>
      <c r="C237" s="9"/>
      <c r="D237" s="9"/>
      <c r="E237" s="9"/>
      <c r="F237" s="71">
        <f t="shared" si="14"/>
        <v>0</v>
      </c>
      <c r="G237" s="9"/>
      <c r="H237" s="9"/>
      <c r="I237" s="9"/>
      <c r="J237" s="71">
        <f t="shared" si="15"/>
        <v>0</v>
      </c>
      <c r="K237" s="9"/>
      <c r="L237" s="9"/>
      <c r="M237" s="9"/>
      <c r="N237" s="71">
        <f t="shared" si="16"/>
        <v>0</v>
      </c>
      <c r="O237" s="2"/>
      <c r="P237" s="2"/>
      <c r="Q237" s="1"/>
      <c r="R237" s="1"/>
      <c r="S237" s="46"/>
      <c r="T237" s="49"/>
      <c r="U237" s="49"/>
      <c r="V237" s="3"/>
      <c r="W237" s="3"/>
      <c r="X237" s="3"/>
      <c r="Y237" s="2"/>
    </row>
    <row r="238" spans="1:25" ht="38.25" customHeight="1" x14ac:dyDescent="0.2">
      <c r="A238" s="9">
        <v>128</v>
      </c>
      <c r="B238" s="2"/>
      <c r="C238" s="9"/>
      <c r="D238" s="9"/>
      <c r="E238" s="9"/>
      <c r="F238" s="71">
        <f t="shared" si="14"/>
        <v>0</v>
      </c>
      <c r="G238" s="9"/>
      <c r="H238" s="9"/>
      <c r="I238" s="9"/>
      <c r="J238" s="71">
        <f t="shared" si="15"/>
        <v>0</v>
      </c>
      <c r="K238" s="9"/>
      <c r="L238" s="9"/>
      <c r="M238" s="9"/>
      <c r="N238" s="71">
        <f t="shared" si="16"/>
        <v>0</v>
      </c>
      <c r="O238" s="2"/>
      <c r="P238" s="2"/>
      <c r="Q238" s="1"/>
      <c r="R238" s="1"/>
      <c r="S238" s="46"/>
      <c r="T238" s="49"/>
      <c r="U238" s="49"/>
      <c r="V238" s="3"/>
      <c r="W238" s="3"/>
      <c r="X238" s="3"/>
      <c r="Y238" s="2"/>
    </row>
    <row r="239" spans="1:25" ht="38.25" customHeight="1" x14ac:dyDescent="0.2">
      <c r="A239" s="9">
        <v>129</v>
      </c>
      <c r="B239" s="2"/>
      <c r="C239" s="9"/>
      <c r="D239" s="9"/>
      <c r="E239" s="9"/>
      <c r="F239" s="71">
        <f t="shared" si="14"/>
        <v>0</v>
      </c>
      <c r="G239" s="9"/>
      <c r="H239" s="9"/>
      <c r="I239" s="9"/>
      <c r="J239" s="71">
        <f t="shared" si="15"/>
        <v>0</v>
      </c>
      <c r="K239" s="9"/>
      <c r="L239" s="9"/>
      <c r="M239" s="9"/>
      <c r="N239" s="71">
        <f t="shared" si="16"/>
        <v>0</v>
      </c>
      <c r="O239" s="2"/>
      <c r="P239" s="2"/>
      <c r="Q239" s="1"/>
      <c r="R239" s="1"/>
      <c r="S239" s="46"/>
      <c r="T239" s="49"/>
      <c r="U239" s="49"/>
      <c r="V239" s="3"/>
      <c r="W239" s="3"/>
      <c r="X239" s="3"/>
      <c r="Y239" s="2"/>
    </row>
    <row r="240" spans="1:25" ht="38.25" customHeight="1" x14ac:dyDescent="0.2">
      <c r="A240" s="9">
        <v>130</v>
      </c>
      <c r="B240" s="2"/>
      <c r="C240" s="9"/>
      <c r="D240" s="9"/>
      <c r="E240" s="9"/>
      <c r="F240" s="71">
        <f t="shared" si="14"/>
        <v>0</v>
      </c>
      <c r="G240" s="9"/>
      <c r="H240" s="9"/>
      <c r="I240" s="9"/>
      <c r="J240" s="71">
        <f t="shared" si="15"/>
        <v>0</v>
      </c>
      <c r="K240" s="9"/>
      <c r="L240" s="9"/>
      <c r="M240" s="9"/>
      <c r="N240" s="71">
        <f t="shared" si="16"/>
        <v>0</v>
      </c>
      <c r="O240" s="2"/>
      <c r="P240" s="2"/>
      <c r="Q240" s="1"/>
      <c r="R240" s="1"/>
      <c r="S240" s="46"/>
      <c r="T240" s="49"/>
      <c r="U240" s="49"/>
      <c r="V240" s="3"/>
      <c r="W240" s="3"/>
      <c r="X240" s="3"/>
      <c r="Y240" s="2"/>
    </row>
    <row r="241" spans="1:25" ht="38.25" customHeight="1" x14ac:dyDescent="0.2">
      <c r="A241" s="9">
        <v>131</v>
      </c>
      <c r="B241" s="2"/>
      <c r="C241" s="9"/>
      <c r="D241" s="9"/>
      <c r="E241" s="9"/>
      <c r="F241" s="71">
        <f t="shared" si="14"/>
        <v>0</v>
      </c>
      <c r="G241" s="9"/>
      <c r="H241" s="9"/>
      <c r="I241" s="9"/>
      <c r="J241" s="71">
        <f t="shared" si="15"/>
        <v>0</v>
      </c>
      <c r="K241" s="9"/>
      <c r="L241" s="9"/>
      <c r="M241" s="9"/>
      <c r="N241" s="71">
        <f t="shared" si="16"/>
        <v>0</v>
      </c>
      <c r="O241" s="2"/>
      <c r="P241" s="2"/>
      <c r="Q241" s="1"/>
      <c r="R241" s="1"/>
      <c r="S241" s="46"/>
      <c r="T241" s="49"/>
      <c r="U241" s="49"/>
      <c r="V241" s="3"/>
      <c r="W241" s="3"/>
      <c r="X241" s="3"/>
      <c r="Y241" s="2"/>
    </row>
    <row r="242" spans="1:25" ht="38.25" customHeight="1" x14ac:dyDescent="0.2">
      <c r="A242" s="9">
        <v>132</v>
      </c>
      <c r="B242" s="2"/>
      <c r="C242" s="9"/>
      <c r="D242" s="9"/>
      <c r="E242" s="9"/>
      <c r="F242" s="71">
        <f t="shared" si="14"/>
        <v>0</v>
      </c>
      <c r="G242" s="9"/>
      <c r="H242" s="9"/>
      <c r="I242" s="9"/>
      <c r="J242" s="71">
        <f t="shared" si="15"/>
        <v>0</v>
      </c>
      <c r="K242" s="9"/>
      <c r="L242" s="9"/>
      <c r="M242" s="9"/>
      <c r="N242" s="71">
        <f t="shared" si="16"/>
        <v>0</v>
      </c>
      <c r="O242" s="2"/>
      <c r="P242" s="2"/>
      <c r="Q242" s="1"/>
      <c r="R242" s="1"/>
      <c r="S242" s="46"/>
      <c r="T242" s="49"/>
      <c r="U242" s="49"/>
      <c r="V242" s="3"/>
      <c r="W242" s="3"/>
      <c r="X242" s="3"/>
      <c r="Y242" s="2"/>
    </row>
    <row r="243" spans="1:25" ht="38.25" customHeight="1" x14ac:dyDescent="0.2">
      <c r="A243" s="9">
        <v>133</v>
      </c>
      <c r="B243" s="2"/>
      <c r="C243" s="9"/>
      <c r="D243" s="9"/>
      <c r="E243" s="9"/>
      <c r="F243" s="71">
        <f t="shared" si="14"/>
        <v>0</v>
      </c>
      <c r="G243" s="9"/>
      <c r="H243" s="9"/>
      <c r="I243" s="9"/>
      <c r="J243" s="71">
        <f t="shared" si="15"/>
        <v>0</v>
      </c>
      <c r="K243" s="9"/>
      <c r="L243" s="9"/>
      <c r="M243" s="9"/>
      <c r="N243" s="71">
        <f t="shared" si="16"/>
        <v>0</v>
      </c>
      <c r="O243" s="2"/>
      <c r="P243" s="2"/>
      <c r="Q243" s="1"/>
      <c r="R243" s="1"/>
      <c r="S243" s="46"/>
      <c r="T243" s="49"/>
      <c r="U243" s="49"/>
      <c r="V243" s="3"/>
      <c r="W243" s="3"/>
      <c r="X243" s="3"/>
      <c r="Y243" s="2"/>
    </row>
    <row r="244" spans="1:25" ht="38.25" customHeight="1" x14ac:dyDescent="0.2">
      <c r="A244" s="9">
        <v>134</v>
      </c>
      <c r="B244" s="2"/>
      <c r="C244" s="9"/>
      <c r="D244" s="9"/>
      <c r="E244" s="9"/>
      <c r="F244" s="71">
        <f t="shared" si="14"/>
        <v>0</v>
      </c>
      <c r="G244" s="9"/>
      <c r="H244" s="9"/>
      <c r="I244" s="9"/>
      <c r="J244" s="71">
        <f t="shared" si="15"/>
        <v>0</v>
      </c>
      <c r="K244" s="9"/>
      <c r="L244" s="9"/>
      <c r="M244" s="9"/>
      <c r="N244" s="71">
        <f t="shared" si="16"/>
        <v>0</v>
      </c>
      <c r="O244" s="2"/>
      <c r="P244" s="2"/>
      <c r="Q244" s="1"/>
      <c r="R244" s="1"/>
      <c r="S244" s="46"/>
      <c r="T244" s="49"/>
      <c r="U244" s="49"/>
      <c r="V244" s="3"/>
      <c r="W244" s="3"/>
      <c r="X244" s="3"/>
      <c r="Y244" s="2"/>
    </row>
    <row r="245" spans="1:25" ht="38.25" customHeight="1" x14ac:dyDescent="0.2">
      <c r="A245" s="9">
        <v>135</v>
      </c>
      <c r="B245" s="2"/>
      <c r="C245" s="9"/>
      <c r="D245" s="9"/>
      <c r="E245" s="9"/>
      <c r="F245" s="71">
        <f t="shared" si="14"/>
        <v>0</v>
      </c>
      <c r="G245" s="9"/>
      <c r="H245" s="9"/>
      <c r="I245" s="9"/>
      <c r="J245" s="71">
        <f t="shared" si="15"/>
        <v>0</v>
      </c>
      <c r="K245" s="9"/>
      <c r="L245" s="9"/>
      <c r="M245" s="9"/>
      <c r="N245" s="71">
        <f t="shared" si="16"/>
        <v>0</v>
      </c>
      <c r="O245" s="2"/>
      <c r="P245" s="2"/>
      <c r="Q245" s="1"/>
      <c r="R245" s="1"/>
      <c r="S245" s="46"/>
      <c r="T245" s="49"/>
      <c r="U245" s="49"/>
      <c r="V245" s="3"/>
      <c r="W245" s="3"/>
      <c r="X245" s="3"/>
      <c r="Y245" s="2"/>
    </row>
    <row r="246" spans="1:25" ht="38.25" customHeight="1" x14ac:dyDescent="0.2">
      <c r="A246" s="9">
        <v>136</v>
      </c>
      <c r="B246" s="2"/>
      <c r="C246" s="9"/>
      <c r="D246" s="9"/>
      <c r="E246" s="9"/>
      <c r="F246" s="71">
        <f t="shared" si="14"/>
        <v>0</v>
      </c>
      <c r="G246" s="9"/>
      <c r="H246" s="9"/>
      <c r="I246" s="9"/>
      <c r="J246" s="71">
        <f t="shared" si="15"/>
        <v>0</v>
      </c>
      <c r="K246" s="9"/>
      <c r="L246" s="9"/>
      <c r="M246" s="9"/>
      <c r="N246" s="71">
        <f t="shared" si="16"/>
        <v>0</v>
      </c>
      <c r="O246" s="2"/>
      <c r="P246" s="2"/>
      <c r="Q246" s="1"/>
      <c r="R246" s="1"/>
      <c r="S246" s="46"/>
      <c r="T246" s="49"/>
      <c r="U246" s="49"/>
      <c r="V246" s="3"/>
      <c r="W246" s="3"/>
      <c r="X246" s="3"/>
      <c r="Y246" s="2"/>
    </row>
    <row r="247" spans="1:25" ht="38.25" customHeight="1" x14ac:dyDescent="0.2">
      <c r="A247" s="9">
        <v>137</v>
      </c>
      <c r="B247" s="2"/>
      <c r="C247" s="9"/>
      <c r="D247" s="9"/>
      <c r="E247" s="9"/>
      <c r="F247" s="71">
        <f t="shared" si="14"/>
        <v>0</v>
      </c>
      <c r="G247" s="9"/>
      <c r="H247" s="9"/>
      <c r="I247" s="9"/>
      <c r="J247" s="71">
        <f t="shared" si="15"/>
        <v>0</v>
      </c>
      <c r="K247" s="9"/>
      <c r="L247" s="9"/>
      <c r="M247" s="9"/>
      <c r="N247" s="71">
        <f t="shared" si="16"/>
        <v>0</v>
      </c>
      <c r="O247" s="2"/>
      <c r="P247" s="2"/>
      <c r="Q247" s="1"/>
      <c r="R247" s="1"/>
      <c r="S247" s="46"/>
      <c r="T247" s="49"/>
      <c r="U247" s="49"/>
      <c r="V247" s="3"/>
      <c r="W247" s="3"/>
      <c r="X247" s="3"/>
      <c r="Y247" s="2"/>
    </row>
    <row r="248" spans="1:25" ht="38.25" customHeight="1" x14ac:dyDescent="0.2">
      <c r="A248" s="9">
        <v>138</v>
      </c>
      <c r="B248" s="2"/>
      <c r="C248" s="9"/>
      <c r="D248" s="9"/>
      <c r="E248" s="9"/>
      <c r="F248" s="71">
        <f t="shared" si="14"/>
        <v>0</v>
      </c>
      <c r="G248" s="9"/>
      <c r="H248" s="9"/>
      <c r="I248" s="9"/>
      <c r="J248" s="71">
        <f t="shared" si="15"/>
        <v>0</v>
      </c>
      <c r="K248" s="9"/>
      <c r="L248" s="9"/>
      <c r="M248" s="9"/>
      <c r="N248" s="71">
        <f t="shared" si="16"/>
        <v>0</v>
      </c>
      <c r="O248" s="2"/>
      <c r="P248" s="2"/>
      <c r="Q248" s="1"/>
      <c r="R248" s="1"/>
      <c r="S248" s="46"/>
      <c r="T248" s="49"/>
      <c r="U248" s="49"/>
      <c r="V248" s="3"/>
      <c r="W248" s="3"/>
      <c r="X248" s="3"/>
      <c r="Y248" s="2"/>
    </row>
    <row r="249" spans="1:25" ht="38.25" customHeight="1" x14ac:dyDescent="0.2">
      <c r="A249" s="9">
        <v>139</v>
      </c>
      <c r="B249" s="2"/>
      <c r="C249" s="9"/>
      <c r="D249" s="9"/>
      <c r="E249" s="9"/>
      <c r="F249" s="71">
        <f t="shared" si="14"/>
        <v>0</v>
      </c>
      <c r="G249" s="9"/>
      <c r="H249" s="9"/>
      <c r="I249" s="9"/>
      <c r="J249" s="71">
        <f t="shared" si="15"/>
        <v>0</v>
      </c>
      <c r="K249" s="9"/>
      <c r="L249" s="9"/>
      <c r="M249" s="9"/>
      <c r="N249" s="71">
        <f t="shared" si="16"/>
        <v>0</v>
      </c>
      <c r="O249" s="2"/>
      <c r="P249" s="2"/>
      <c r="Q249" s="1"/>
      <c r="R249" s="1"/>
      <c r="S249" s="46"/>
      <c r="T249" s="49"/>
      <c r="U249" s="49"/>
      <c r="V249" s="3"/>
      <c r="W249" s="3"/>
      <c r="X249" s="3"/>
      <c r="Y249" s="2"/>
    </row>
    <row r="250" spans="1:25" ht="38.25" customHeight="1" x14ac:dyDescent="0.2">
      <c r="A250" s="9">
        <v>140</v>
      </c>
      <c r="B250" s="2"/>
      <c r="C250" s="9"/>
      <c r="D250" s="9"/>
      <c r="E250" s="9"/>
      <c r="F250" s="71">
        <f t="shared" si="14"/>
        <v>0</v>
      </c>
      <c r="G250" s="9"/>
      <c r="H250" s="9"/>
      <c r="I250" s="9"/>
      <c r="J250" s="71">
        <f t="shared" si="15"/>
        <v>0</v>
      </c>
      <c r="K250" s="9"/>
      <c r="L250" s="9"/>
      <c r="M250" s="9"/>
      <c r="N250" s="71">
        <f t="shared" si="16"/>
        <v>0</v>
      </c>
      <c r="O250" s="2"/>
      <c r="P250" s="2"/>
      <c r="Q250" s="1"/>
      <c r="R250" s="1"/>
      <c r="S250" s="46"/>
      <c r="T250" s="49"/>
      <c r="U250" s="49"/>
      <c r="V250" s="3"/>
      <c r="W250" s="3"/>
      <c r="X250" s="3"/>
      <c r="Y250" s="2"/>
    </row>
    <row r="251" spans="1:25" ht="38.25" customHeight="1" x14ac:dyDescent="0.2">
      <c r="A251" s="9">
        <v>141</v>
      </c>
      <c r="B251" s="2"/>
      <c r="C251" s="9"/>
      <c r="D251" s="9"/>
      <c r="E251" s="9"/>
      <c r="F251" s="71">
        <f t="shared" si="14"/>
        <v>0</v>
      </c>
      <c r="G251" s="9"/>
      <c r="H251" s="9"/>
      <c r="I251" s="9"/>
      <c r="J251" s="71">
        <f t="shared" si="15"/>
        <v>0</v>
      </c>
      <c r="K251" s="9"/>
      <c r="L251" s="9"/>
      <c r="M251" s="9"/>
      <c r="N251" s="71">
        <f t="shared" si="16"/>
        <v>0</v>
      </c>
      <c r="O251" s="2"/>
      <c r="P251" s="2"/>
      <c r="Q251" s="1"/>
      <c r="R251" s="1"/>
      <c r="S251" s="46"/>
      <c r="T251" s="49"/>
      <c r="U251" s="49"/>
      <c r="V251" s="3"/>
      <c r="W251" s="3"/>
      <c r="X251" s="3"/>
      <c r="Y251" s="2"/>
    </row>
    <row r="252" spans="1:25" ht="38.25" customHeight="1" x14ac:dyDescent="0.2">
      <c r="A252" s="9">
        <v>142</v>
      </c>
      <c r="B252" s="2"/>
      <c r="C252" s="9"/>
      <c r="D252" s="9"/>
      <c r="E252" s="9"/>
      <c r="F252" s="71">
        <f t="shared" si="14"/>
        <v>0</v>
      </c>
      <c r="G252" s="9"/>
      <c r="H252" s="9"/>
      <c r="I252" s="9"/>
      <c r="J252" s="71">
        <f t="shared" si="15"/>
        <v>0</v>
      </c>
      <c r="K252" s="9"/>
      <c r="L252" s="9"/>
      <c r="M252" s="9"/>
      <c r="N252" s="71">
        <f t="shared" si="16"/>
        <v>0</v>
      </c>
      <c r="O252" s="2"/>
      <c r="P252" s="2"/>
      <c r="Q252" s="1"/>
      <c r="R252" s="1"/>
      <c r="S252" s="46"/>
      <c r="T252" s="49"/>
      <c r="U252" s="49"/>
      <c r="V252" s="3"/>
      <c r="W252" s="3"/>
      <c r="X252" s="3"/>
      <c r="Y252" s="2"/>
    </row>
    <row r="253" spans="1:25" ht="38.25" customHeight="1" x14ac:dyDescent="0.2">
      <c r="A253" s="9">
        <v>143</v>
      </c>
      <c r="B253" s="2"/>
      <c r="C253" s="9"/>
      <c r="D253" s="9"/>
      <c r="E253" s="9"/>
      <c r="F253" s="71">
        <f t="shared" si="14"/>
        <v>0</v>
      </c>
      <c r="G253" s="9"/>
      <c r="H253" s="9"/>
      <c r="I253" s="9"/>
      <c r="J253" s="71">
        <f t="shared" si="15"/>
        <v>0</v>
      </c>
      <c r="K253" s="9"/>
      <c r="L253" s="9"/>
      <c r="M253" s="9"/>
      <c r="N253" s="71">
        <f t="shared" si="16"/>
        <v>0</v>
      </c>
      <c r="O253" s="2"/>
      <c r="P253" s="2"/>
      <c r="Q253" s="1"/>
      <c r="R253" s="1"/>
      <c r="S253" s="46"/>
      <c r="T253" s="49"/>
      <c r="U253" s="49"/>
      <c r="V253" s="3"/>
      <c r="W253" s="3"/>
      <c r="X253" s="3"/>
      <c r="Y253" s="2"/>
    </row>
    <row r="254" spans="1:25" ht="38.25" customHeight="1" x14ac:dyDescent="0.2">
      <c r="A254" s="9">
        <v>144</v>
      </c>
      <c r="B254" s="2"/>
      <c r="C254" s="9"/>
      <c r="D254" s="9"/>
      <c r="E254" s="9"/>
      <c r="F254" s="71">
        <f t="shared" si="14"/>
        <v>0</v>
      </c>
      <c r="G254" s="9"/>
      <c r="H254" s="9"/>
      <c r="I254" s="9"/>
      <c r="J254" s="71">
        <f t="shared" si="15"/>
        <v>0</v>
      </c>
      <c r="K254" s="9"/>
      <c r="L254" s="9"/>
      <c r="M254" s="9"/>
      <c r="N254" s="71">
        <f t="shared" si="16"/>
        <v>0</v>
      </c>
      <c r="O254" s="2"/>
      <c r="P254" s="2"/>
      <c r="Q254" s="1"/>
      <c r="R254" s="1"/>
      <c r="S254" s="46"/>
      <c r="T254" s="49"/>
      <c r="U254" s="49"/>
      <c r="V254" s="3"/>
      <c r="W254" s="3"/>
      <c r="X254" s="3"/>
      <c r="Y254" s="2"/>
    </row>
    <row r="255" spans="1:25" ht="38.25" customHeight="1" x14ac:dyDescent="0.2">
      <c r="A255" s="9">
        <v>145</v>
      </c>
      <c r="B255" s="2"/>
      <c r="C255" s="9"/>
      <c r="D255" s="9"/>
      <c r="E255" s="9"/>
      <c r="F255" s="71">
        <f t="shared" si="14"/>
        <v>0</v>
      </c>
      <c r="G255" s="9"/>
      <c r="H255" s="9"/>
      <c r="I255" s="9"/>
      <c r="J255" s="71">
        <f t="shared" si="15"/>
        <v>0</v>
      </c>
      <c r="K255" s="9"/>
      <c r="L255" s="9"/>
      <c r="M255" s="9"/>
      <c r="N255" s="71">
        <f t="shared" si="16"/>
        <v>0</v>
      </c>
      <c r="O255" s="2"/>
      <c r="P255" s="2"/>
      <c r="Q255" s="1"/>
      <c r="R255" s="1"/>
      <c r="S255" s="46"/>
      <c r="T255" s="49"/>
      <c r="U255" s="49"/>
      <c r="V255" s="3"/>
      <c r="W255" s="3"/>
      <c r="X255" s="3"/>
      <c r="Y255" s="2"/>
    </row>
    <row r="256" spans="1:25" ht="38.25" customHeight="1" x14ac:dyDescent="0.2">
      <c r="A256" s="9">
        <v>146</v>
      </c>
      <c r="B256" s="2"/>
      <c r="C256" s="9"/>
      <c r="D256" s="9"/>
      <c r="E256" s="9"/>
      <c r="F256" s="71">
        <f t="shared" si="14"/>
        <v>0</v>
      </c>
      <c r="G256" s="9"/>
      <c r="H256" s="9"/>
      <c r="I256" s="9"/>
      <c r="J256" s="71">
        <f t="shared" si="15"/>
        <v>0</v>
      </c>
      <c r="K256" s="9"/>
      <c r="L256" s="9"/>
      <c r="M256" s="9"/>
      <c r="N256" s="71">
        <f t="shared" si="16"/>
        <v>0</v>
      </c>
      <c r="O256" s="2"/>
      <c r="P256" s="2"/>
      <c r="Q256" s="1"/>
      <c r="R256" s="1"/>
      <c r="S256" s="46"/>
      <c r="T256" s="49"/>
      <c r="U256" s="49"/>
      <c r="V256" s="3"/>
      <c r="W256" s="3"/>
      <c r="X256" s="3"/>
      <c r="Y256" s="2"/>
    </row>
    <row r="257" spans="1:25" ht="38.25" customHeight="1" x14ac:dyDescent="0.2">
      <c r="A257" s="9">
        <v>147</v>
      </c>
      <c r="B257" s="2"/>
      <c r="C257" s="9"/>
      <c r="D257" s="9"/>
      <c r="E257" s="9"/>
      <c r="F257" s="71">
        <f t="shared" si="14"/>
        <v>0</v>
      </c>
      <c r="G257" s="9"/>
      <c r="H257" s="9"/>
      <c r="I257" s="9"/>
      <c r="J257" s="71">
        <f t="shared" si="15"/>
        <v>0</v>
      </c>
      <c r="K257" s="9"/>
      <c r="L257" s="9"/>
      <c r="M257" s="9"/>
      <c r="N257" s="71">
        <f t="shared" si="16"/>
        <v>0</v>
      </c>
      <c r="O257" s="2"/>
      <c r="P257" s="2"/>
      <c r="Q257" s="1"/>
      <c r="R257" s="1"/>
      <c r="S257" s="46"/>
      <c r="T257" s="49"/>
      <c r="U257" s="49"/>
      <c r="V257" s="3"/>
      <c r="W257" s="3"/>
      <c r="X257" s="3"/>
      <c r="Y257" s="2"/>
    </row>
    <row r="258" spans="1:25" ht="38.25" customHeight="1" x14ac:dyDescent="0.2">
      <c r="A258" s="9">
        <v>148</v>
      </c>
      <c r="B258" s="2"/>
      <c r="C258" s="9"/>
      <c r="D258" s="9"/>
      <c r="E258" s="9"/>
      <c r="F258" s="71">
        <f t="shared" si="14"/>
        <v>0</v>
      </c>
      <c r="G258" s="9"/>
      <c r="H258" s="9"/>
      <c r="I258" s="9"/>
      <c r="J258" s="71">
        <f t="shared" si="15"/>
        <v>0</v>
      </c>
      <c r="K258" s="9"/>
      <c r="L258" s="9"/>
      <c r="M258" s="9"/>
      <c r="N258" s="71">
        <f t="shared" si="16"/>
        <v>0</v>
      </c>
      <c r="O258" s="2"/>
      <c r="P258" s="2"/>
      <c r="Q258" s="1"/>
      <c r="R258" s="1"/>
      <c r="S258" s="46"/>
      <c r="T258" s="49"/>
      <c r="U258" s="49"/>
      <c r="V258" s="3"/>
      <c r="W258" s="3"/>
      <c r="X258" s="3"/>
      <c r="Y258" s="2"/>
    </row>
    <row r="259" spans="1:25" ht="38.25" customHeight="1" x14ac:dyDescent="0.2">
      <c r="A259" s="9">
        <v>149</v>
      </c>
      <c r="B259" s="2"/>
      <c r="C259" s="9"/>
      <c r="D259" s="9"/>
      <c r="E259" s="9"/>
      <c r="F259" s="71">
        <f t="shared" si="14"/>
        <v>0</v>
      </c>
      <c r="G259" s="9"/>
      <c r="H259" s="9"/>
      <c r="I259" s="9"/>
      <c r="J259" s="71">
        <f t="shared" si="15"/>
        <v>0</v>
      </c>
      <c r="K259" s="9"/>
      <c r="L259" s="9"/>
      <c r="M259" s="9"/>
      <c r="N259" s="71">
        <f t="shared" si="16"/>
        <v>0</v>
      </c>
      <c r="O259" s="2"/>
      <c r="P259" s="2"/>
      <c r="Q259" s="1"/>
      <c r="R259" s="1"/>
      <c r="S259" s="46"/>
      <c r="T259" s="49"/>
      <c r="U259" s="49"/>
      <c r="V259" s="3"/>
      <c r="W259" s="3"/>
      <c r="X259" s="3"/>
      <c r="Y259" s="2"/>
    </row>
    <row r="260" spans="1:25" ht="38.25" customHeight="1" x14ac:dyDescent="0.2">
      <c r="A260" s="9">
        <v>150</v>
      </c>
      <c r="B260" s="2"/>
      <c r="C260" s="9"/>
      <c r="D260" s="9"/>
      <c r="E260" s="9"/>
      <c r="F260" s="71">
        <f t="shared" si="14"/>
        <v>0</v>
      </c>
      <c r="G260" s="9"/>
      <c r="H260" s="9"/>
      <c r="I260" s="9"/>
      <c r="J260" s="71">
        <f t="shared" si="15"/>
        <v>0</v>
      </c>
      <c r="K260" s="9"/>
      <c r="L260" s="9"/>
      <c r="M260" s="9"/>
      <c r="N260" s="71">
        <f t="shared" si="16"/>
        <v>0</v>
      </c>
      <c r="O260" s="2"/>
      <c r="P260" s="2"/>
      <c r="Q260" s="1"/>
      <c r="R260" s="1"/>
      <c r="S260" s="46"/>
      <c r="T260" s="49"/>
      <c r="U260" s="49"/>
      <c r="V260" s="3"/>
      <c r="W260" s="3"/>
      <c r="X260" s="3"/>
      <c r="Y260" s="2"/>
    </row>
    <row r="261" spans="1:25" ht="38.25" customHeight="1" x14ac:dyDescent="0.2">
      <c r="A261" s="423" t="s">
        <v>142</v>
      </c>
      <c r="B261" s="424"/>
      <c r="C261" s="424"/>
      <c r="D261" s="424"/>
      <c r="E261" s="424"/>
      <c r="F261" s="424"/>
      <c r="G261" s="424"/>
      <c r="H261" s="424"/>
      <c r="I261" s="424"/>
      <c r="J261" s="424"/>
      <c r="K261" s="424"/>
      <c r="L261" s="424"/>
      <c r="M261" s="424"/>
      <c r="N261" s="425"/>
      <c r="O261" s="2"/>
      <c r="P261" s="2"/>
      <c r="Q261" s="1"/>
      <c r="R261" s="1"/>
      <c r="S261" s="46"/>
      <c r="T261" s="49"/>
      <c r="U261" s="49"/>
      <c r="V261" s="3"/>
      <c r="W261" s="3"/>
      <c r="X261" s="3"/>
      <c r="Y261" s="2"/>
    </row>
    <row r="262" spans="1:25" ht="38.25" customHeight="1" x14ac:dyDescent="0.2">
      <c r="A262" s="9">
        <v>1</v>
      </c>
      <c r="B262" s="44" t="str">
        <f>'Adv Report'!A4</f>
        <v>0572</v>
      </c>
      <c r="C262" s="9" t="s">
        <v>895</v>
      </c>
      <c r="D262" s="9" t="s">
        <v>454</v>
      </c>
      <c r="E262" s="9" t="s">
        <v>398</v>
      </c>
      <c r="F262" s="71">
        <f>J262+N262</f>
        <v>2</v>
      </c>
      <c r="G262" s="12">
        <f>'Adv Report'!F4</f>
        <v>2</v>
      </c>
      <c r="H262" s="12">
        <f>'Adv Report'!G4</f>
        <v>0</v>
      </c>
      <c r="I262" s="12">
        <f>'Adv Report'!H4</f>
        <v>0</v>
      </c>
      <c r="J262" s="71">
        <f t="shared" si="15"/>
        <v>2</v>
      </c>
      <c r="K262" s="12">
        <f>'Adv Report'!C4</f>
        <v>0</v>
      </c>
      <c r="L262" s="12">
        <f>'Adv Report'!D4</f>
        <v>0</v>
      </c>
      <c r="M262" s="12">
        <f>'Adv Report'!E4</f>
        <v>0</v>
      </c>
      <c r="N262" s="71">
        <f t="shared" si="16"/>
        <v>0</v>
      </c>
      <c r="O262" s="2"/>
      <c r="P262" s="2"/>
      <c r="Q262" s="1"/>
      <c r="R262" s="1"/>
      <c r="S262" s="46"/>
      <c r="T262" s="49"/>
      <c r="U262" s="49"/>
      <c r="V262" s="3"/>
      <c r="W262" s="3"/>
      <c r="X262" s="3"/>
      <c r="Y262" s="2"/>
    </row>
    <row r="263" spans="1:25" ht="38.25" customHeight="1" x14ac:dyDescent="0.2">
      <c r="A263" s="9">
        <v>2</v>
      </c>
      <c r="B263" s="44" t="str">
        <f>'Adv Report'!A5</f>
        <v>0502</v>
      </c>
      <c r="C263" s="9" t="s">
        <v>895</v>
      </c>
      <c r="D263" s="9" t="s">
        <v>579</v>
      </c>
      <c r="E263" s="9" t="s">
        <v>430</v>
      </c>
      <c r="F263" s="71">
        <f t="shared" ref="F263:F345" si="17">J263+N263</f>
        <v>3</v>
      </c>
      <c r="G263" s="12">
        <f>'Adv Report'!F5</f>
        <v>2</v>
      </c>
      <c r="H263" s="12">
        <f>'Adv Report'!G5</f>
        <v>1</v>
      </c>
      <c r="I263" s="12">
        <f>'Adv Report'!H5</f>
        <v>0</v>
      </c>
      <c r="J263" s="71">
        <f t="shared" si="15"/>
        <v>3</v>
      </c>
      <c r="K263" s="12">
        <f>'Adv Report'!C5</f>
        <v>0</v>
      </c>
      <c r="L263" s="12">
        <f>'Adv Report'!D5</f>
        <v>0</v>
      </c>
      <c r="M263" s="12">
        <f>'Adv Report'!E5</f>
        <v>0</v>
      </c>
      <c r="N263" s="71">
        <f t="shared" si="16"/>
        <v>0</v>
      </c>
      <c r="O263" s="2"/>
      <c r="P263" s="2"/>
      <c r="Q263" s="1"/>
      <c r="R263" s="1"/>
      <c r="S263" s="46"/>
      <c r="T263" s="49"/>
      <c r="U263" s="49"/>
      <c r="V263" s="3"/>
      <c r="W263" s="3"/>
      <c r="X263" s="3"/>
      <c r="Y263" s="2"/>
    </row>
    <row r="264" spans="1:25" ht="38.25" customHeight="1" x14ac:dyDescent="0.2">
      <c r="A264" s="9">
        <v>3</v>
      </c>
      <c r="B264" s="44" t="str">
        <f>'Adv Report'!A6</f>
        <v>0566</v>
      </c>
      <c r="C264" s="9" t="s">
        <v>896</v>
      </c>
      <c r="D264" s="9" t="s">
        <v>566</v>
      </c>
      <c r="E264" s="9" t="s">
        <v>412</v>
      </c>
      <c r="F264" s="71">
        <f t="shared" si="17"/>
        <v>7</v>
      </c>
      <c r="G264" s="12">
        <f>'Adv Report'!F6</f>
        <v>6</v>
      </c>
      <c r="H264" s="12">
        <f>'Adv Report'!G6</f>
        <v>1</v>
      </c>
      <c r="I264" s="12">
        <f>'Adv Report'!H6</f>
        <v>0</v>
      </c>
      <c r="J264" s="71">
        <f t="shared" si="15"/>
        <v>7</v>
      </c>
      <c r="K264" s="12">
        <f>'Adv Report'!C6</f>
        <v>0</v>
      </c>
      <c r="L264" s="12">
        <f>'Adv Report'!D6</f>
        <v>0</v>
      </c>
      <c r="M264" s="12">
        <f>'Adv Report'!E6</f>
        <v>0</v>
      </c>
      <c r="N264" s="71">
        <f t="shared" si="16"/>
        <v>0</v>
      </c>
      <c r="O264" s="2"/>
      <c r="P264" s="2"/>
      <c r="Q264" s="1"/>
      <c r="R264" s="1"/>
      <c r="S264" s="46"/>
      <c r="T264" s="49"/>
      <c r="U264" s="49"/>
      <c r="V264" s="3"/>
      <c r="W264" s="3"/>
      <c r="X264" s="3"/>
      <c r="Y264" s="2"/>
    </row>
    <row r="265" spans="1:25" ht="38.25" customHeight="1" x14ac:dyDescent="0.2">
      <c r="A265" s="9">
        <v>4</v>
      </c>
      <c r="B265" s="44" t="str">
        <f>'Adv Report'!A7</f>
        <v>0041</v>
      </c>
      <c r="C265" s="9" t="s">
        <v>897</v>
      </c>
      <c r="D265" s="9" t="s">
        <v>525</v>
      </c>
      <c r="E265" s="9" t="s">
        <v>416</v>
      </c>
      <c r="F265" s="71">
        <f t="shared" si="17"/>
        <v>8</v>
      </c>
      <c r="G265" s="12">
        <f>'Adv Report'!F7</f>
        <v>4</v>
      </c>
      <c r="H265" s="12">
        <f>'Adv Report'!G7</f>
        <v>1</v>
      </c>
      <c r="I265" s="12">
        <f>'Adv Report'!H7</f>
        <v>1</v>
      </c>
      <c r="J265" s="71">
        <f t="shared" si="15"/>
        <v>6</v>
      </c>
      <c r="K265" s="12">
        <f>'Adv Report'!C7</f>
        <v>2</v>
      </c>
      <c r="L265" s="12">
        <f>'Adv Report'!D7</f>
        <v>0</v>
      </c>
      <c r="M265" s="12">
        <f>'Adv Report'!E7</f>
        <v>0</v>
      </c>
      <c r="N265" s="71">
        <f t="shared" si="16"/>
        <v>2</v>
      </c>
      <c r="O265" s="2"/>
      <c r="P265" s="2"/>
      <c r="Q265" s="1"/>
      <c r="R265" s="1"/>
      <c r="S265" s="46"/>
      <c r="T265" s="49"/>
      <c r="U265" s="49"/>
      <c r="V265" s="3"/>
      <c r="W265" s="3"/>
      <c r="X265" s="3"/>
      <c r="Y265" s="2"/>
    </row>
    <row r="266" spans="1:25" ht="38.25" customHeight="1" x14ac:dyDescent="0.2">
      <c r="A266" s="9">
        <v>5</v>
      </c>
      <c r="B266" s="44" t="str">
        <f>'Adv Report'!A8</f>
        <v>0187</v>
      </c>
      <c r="C266" s="9" t="s">
        <v>898</v>
      </c>
      <c r="D266" s="9" t="s">
        <v>663</v>
      </c>
      <c r="E266" s="9" t="s">
        <v>404</v>
      </c>
      <c r="F266" s="71">
        <f t="shared" si="17"/>
        <v>15</v>
      </c>
      <c r="G266" s="12">
        <f>'Adv Report'!F8</f>
        <v>8</v>
      </c>
      <c r="H266" s="12">
        <f>'Adv Report'!G8</f>
        <v>0</v>
      </c>
      <c r="I266" s="12">
        <f>'Adv Report'!H8</f>
        <v>4</v>
      </c>
      <c r="J266" s="71">
        <f t="shared" si="15"/>
        <v>12</v>
      </c>
      <c r="K266" s="12">
        <f>'Adv Report'!C8</f>
        <v>3</v>
      </c>
      <c r="L266" s="12">
        <f>'Adv Report'!D8</f>
        <v>0</v>
      </c>
      <c r="M266" s="12">
        <f>'Adv Report'!E8</f>
        <v>0</v>
      </c>
      <c r="N266" s="71">
        <f t="shared" si="16"/>
        <v>3</v>
      </c>
      <c r="O266" s="2"/>
      <c r="P266" s="2"/>
      <c r="Q266" s="1"/>
      <c r="R266" s="1"/>
      <c r="S266" s="46"/>
      <c r="T266" s="49"/>
      <c r="U266" s="49"/>
      <c r="V266" s="3"/>
      <c r="W266" s="3"/>
      <c r="X266" s="3"/>
      <c r="Y266" s="2"/>
    </row>
    <row r="267" spans="1:25" ht="38.25" customHeight="1" x14ac:dyDescent="0.2">
      <c r="A267" s="9">
        <v>6</v>
      </c>
      <c r="B267" s="44" t="str">
        <f>'Adv Report'!A9</f>
        <v>0809</v>
      </c>
      <c r="C267" s="9" t="s">
        <v>899</v>
      </c>
      <c r="D267" s="9" t="s">
        <v>900</v>
      </c>
      <c r="E267" s="9" t="s">
        <v>425</v>
      </c>
      <c r="F267" s="71">
        <f t="shared" si="17"/>
        <v>5</v>
      </c>
      <c r="G267" s="12">
        <f>'Adv Report'!F9</f>
        <v>5</v>
      </c>
      <c r="H267" s="12">
        <f>'Adv Report'!G9</f>
        <v>0</v>
      </c>
      <c r="I267" s="12">
        <f>'Adv Report'!H9</f>
        <v>0</v>
      </c>
      <c r="J267" s="71">
        <f t="shared" si="15"/>
        <v>5</v>
      </c>
      <c r="K267" s="12">
        <f>'Adv Report'!C9</f>
        <v>0</v>
      </c>
      <c r="L267" s="12">
        <f>'Adv Report'!D9</f>
        <v>0</v>
      </c>
      <c r="M267" s="12">
        <f>'Adv Report'!E9</f>
        <v>0</v>
      </c>
      <c r="N267" s="71">
        <f t="shared" si="16"/>
        <v>0</v>
      </c>
      <c r="O267" s="2"/>
      <c r="P267" s="2"/>
      <c r="Q267" s="1"/>
      <c r="R267" s="1"/>
      <c r="S267" s="46"/>
      <c r="T267" s="49"/>
      <c r="U267" s="49"/>
      <c r="V267" s="3"/>
      <c r="W267" s="3"/>
      <c r="X267" s="3"/>
      <c r="Y267" s="2"/>
    </row>
    <row r="268" spans="1:25" ht="38.25" customHeight="1" x14ac:dyDescent="0.2">
      <c r="A268" s="9">
        <v>7</v>
      </c>
      <c r="B268" s="44" t="str">
        <f>'Adv Report'!A10</f>
        <v>0121</v>
      </c>
      <c r="C268" s="9" t="s">
        <v>899</v>
      </c>
      <c r="D268" s="9" t="s">
        <v>776</v>
      </c>
      <c r="E268" s="9" t="s">
        <v>863</v>
      </c>
      <c r="F268" s="71">
        <f t="shared" si="17"/>
        <v>1</v>
      </c>
      <c r="G268" s="12">
        <f>'Adv Report'!F10</f>
        <v>1</v>
      </c>
      <c r="H268" s="12">
        <f>'Adv Report'!G10</f>
        <v>0</v>
      </c>
      <c r="I268" s="12">
        <f>'Adv Report'!H10</f>
        <v>0</v>
      </c>
      <c r="J268" s="71">
        <f t="shared" si="15"/>
        <v>1</v>
      </c>
      <c r="K268" s="12">
        <f>'Adv Report'!C10</f>
        <v>0</v>
      </c>
      <c r="L268" s="12">
        <f>'Adv Report'!D10</f>
        <v>0</v>
      </c>
      <c r="M268" s="12">
        <f>'Adv Report'!E10</f>
        <v>0</v>
      </c>
      <c r="N268" s="71">
        <f t="shared" si="16"/>
        <v>0</v>
      </c>
      <c r="O268" s="2"/>
      <c r="P268" s="2"/>
      <c r="Q268" s="1"/>
      <c r="R268" s="1"/>
      <c r="S268" s="46"/>
      <c r="T268" s="49"/>
      <c r="U268" s="49"/>
      <c r="V268" s="3"/>
      <c r="W268" s="3"/>
      <c r="X268" s="3"/>
      <c r="Y268" s="2"/>
    </row>
    <row r="269" spans="1:25" ht="38.25" customHeight="1" x14ac:dyDescent="0.2">
      <c r="A269" s="9">
        <v>8</v>
      </c>
      <c r="B269" s="44" t="str">
        <f>'Adv Report'!A11</f>
        <v>0009</v>
      </c>
      <c r="C269" s="9" t="s">
        <v>901</v>
      </c>
      <c r="D269" s="9" t="s">
        <v>505</v>
      </c>
      <c r="E269" s="9" t="s">
        <v>405</v>
      </c>
      <c r="F269" s="71">
        <f t="shared" si="17"/>
        <v>5</v>
      </c>
      <c r="G269" s="12">
        <f>'Adv Report'!F11</f>
        <v>3</v>
      </c>
      <c r="H269" s="12">
        <f>'Adv Report'!G11</f>
        <v>1</v>
      </c>
      <c r="I269" s="12">
        <f>'Adv Report'!H11</f>
        <v>1</v>
      </c>
      <c r="J269" s="71">
        <f t="shared" si="15"/>
        <v>5</v>
      </c>
      <c r="K269" s="12">
        <f>'Adv Report'!C11</f>
        <v>0</v>
      </c>
      <c r="L269" s="12">
        <f>'Adv Report'!D11</f>
        <v>0</v>
      </c>
      <c r="M269" s="12">
        <f>'Adv Report'!E11</f>
        <v>0</v>
      </c>
      <c r="N269" s="71">
        <f t="shared" si="16"/>
        <v>0</v>
      </c>
      <c r="O269" s="2"/>
      <c r="P269" s="2"/>
      <c r="Q269" s="1"/>
      <c r="R269" s="1"/>
      <c r="S269" s="46"/>
      <c r="T269" s="49"/>
      <c r="U269" s="49"/>
      <c r="V269" s="3"/>
      <c r="W269" s="3"/>
      <c r="X269" s="3"/>
      <c r="Y269" s="2"/>
    </row>
    <row r="270" spans="1:25" ht="38.25" customHeight="1" x14ac:dyDescent="0.2">
      <c r="A270" s="9">
        <v>9</v>
      </c>
      <c r="B270" s="44" t="str">
        <f>'Adv Report'!A12</f>
        <v>0765</v>
      </c>
      <c r="C270" s="9" t="s">
        <v>901</v>
      </c>
      <c r="D270" s="9" t="s">
        <v>585</v>
      </c>
      <c r="E270" s="9" t="s">
        <v>435</v>
      </c>
      <c r="F270" s="71">
        <f t="shared" si="17"/>
        <v>8</v>
      </c>
      <c r="G270" s="12">
        <f>'Adv Report'!F12</f>
        <v>4</v>
      </c>
      <c r="H270" s="12">
        <f>'Adv Report'!G12</f>
        <v>2</v>
      </c>
      <c r="I270" s="12">
        <f>'Adv Report'!H12</f>
        <v>2</v>
      </c>
      <c r="J270" s="71">
        <f t="shared" si="15"/>
        <v>8</v>
      </c>
      <c r="K270" s="12">
        <f>'Adv Report'!C12</f>
        <v>0</v>
      </c>
      <c r="L270" s="12">
        <f>'Adv Report'!D12</f>
        <v>0</v>
      </c>
      <c r="M270" s="12">
        <f>'Adv Report'!E12</f>
        <v>0</v>
      </c>
      <c r="N270" s="71">
        <f t="shared" si="16"/>
        <v>0</v>
      </c>
      <c r="O270" s="2"/>
      <c r="P270" s="2"/>
      <c r="Q270" s="1"/>
      <c r="R270" s="1"/>
      <c r="S270" s="46"/>
      <c r="T270" s="49"/>
      <c r="U270" s="49"/>
      <c r="V270" s="3"/>
      <c r="W270" s="3"/>
      <c r="X270" s="3"/>
      <c r="Y270" s="2"/>
    </row>
    <row r="271" spans="1:25" ht="38.25" customHeight="1" x14ac:dyDescent="0.2">
      <c r="A271" s="9">
        <v>10</v>
      </c>
      <c r="B271" s="44" t="str">
        <f>'Adv Report'!A13</f>
        <v>0067</v>
      </c>
      <c r="C271" s="9" t="s">
        <v>902</v>
      </c>
      <c r="D271" s="9" t="s">
        <v>665</v>
      </c>
      <c r="E271" s="9" t="s">
        <v>423</v>
      </c>
      <c r="F271" s="71">
        <f t="shared" si="17"/>
        <v>3</v>
      </c>
      <c r="G271" s="12">
        <f>'Adv Report'!F13</f>
        <v>1</v>
      </c>
      <c r="H271" s="12">
        <f>'Adv Report'!G13</f>
        <v>0</v>
      </c>
      <c r="I271" s="12">
        <f>'Adv Report'!H13</f>
        <v>0</v>
      </c>
      <c r="J271" s="71">
        <f t="shared" si="15"/>
        <v>1</v>
      </c>
      <c r="K271" s="12">
        <f>'Adv Report'!C13</f>
        <v>2</v>
      </c>
      <c r="L271" s="12">
        <f>'Adv Report'!D13</f>
        <v>0</v>
      </c>
      <c r="M271" s="12">
        <f>'Adv Report'!E13</f>
        <v>0</v>
      </c>
      <c r="N271" s="71">
        <f t="shared" si="16"/>
        <v>2</v>
      </c>
      <c r="O271" s="2"/>
      <c r="P271" s="2"/>
      <c r="Q271" s="1"/>
      <c r="R271" s="1"/>
      <c r="S271" s="46"/>
      <c r="T271" s="49"/>
      <c r="U271" s="49"/>
      <c r="V271" s="3"/>
      <c r="W271" s="3"/>
      <c r="X271" s="3"/>
      <c r="Y271" s="2"/>
    </row>
    <row r="272" spans="1:25" ht="38.25" customHeight="1" x14ac:dyDescent="0.2">
      <c r="A272" s="9">
        <v>11</v>
      </c>
      <c r="B272" s="44" t="str">
        <f>'Adv Report'!A14</f>
        <v>0003</v>
      </c>
      <c r="C272" s="9" t="s">
        <v>902</v>
      </c>
      <c r="D272" s="9" t="s">
        <v>525</v>
      </c>
      <c r="E272" s="9" t="s">
        <v>416</v>
      </c>
      <c r="F272" s="71">
        <f t="shared" si="17"/>
        <v>4</v>
      </c>
      <c r="G272" s="12">
        <f>'Adv Report'!F14</f>
        <v>4</v>
      </c>
      <c r="H272" s="12">
        <f>'Adv Report'!G14</f>
        <v>0</v>
      </c>
      <c r="I272" s="12">
        <f>'Adv Report'!H14</f>
        <v>0</v>
      </c>
      <c r="J272" s="71">
        <f t="shared" si="15"/>
        <v>4</v>
      </c>
      <c r="K272" s="12">
        <f>'Adv Report'!C14</f>
        <v>0</v>
      </c>
      <c r="L272" s="12">
        <f>'Adv Report'!D14</f>
        <v>0</v>
      </c>
      <c r="M272" s="12">
        <f>'Adv Report'!E14</f>
        <v>0</v>
      </c>
      <c r="N272" s="71">
        <f t="shared" si="16"/>
        <v>0</v>
      </c>
      <c r="O272" s="2"/>
      <c r="P272" s="2"/>
      <c r="Q272" s="1"/>
      <c r="R272" s="1"/>
      <c r="S272" s="46"/>
      <c r="T272" s="49"/>
      <c r="U272" s="49"/>
      <c r="V272" s="3"/>
      <c r="W272" s="3"/>
      <c r="X272" s="3"/>
      <c r="Y272" s="2"/>
    </row>
    <row r="273" spans="1:25" ht="38.25" customHeight="1" x14ac:dyDescent="0.2">
      <c r="A273" s="9">
        <v>12</v>
      </c>
      <c r="B273" s="44" t="str">
        <f>'Adv Report'!A15</f>
        <v>0903</v>
      </c>
      <c r="C273" s="9" t="s">
        <v>902</v>
      </c>
      <c r="D273" s="9" t="s">
        <v>903</v>
      </c>
      <c r="E273" s="9" t="s">
        <v>436</v>
      </c>
      <c r="F273" s="71">
        <f t="shared" si="17"/>
        <v>6</v>
      </c>
      <c r="G273" s="12">
        <f>'Adv Report'!F15</f>
        <v>2</v>
      </c>
      <c r="H273" s="12">
        <f>'Adv Report'!G15</f>
        <v>1</v>
      </c>
      <c r="I273" s="12">
        <f>'Adv Report'!H15</f>
        <v>3</v>
      </c>
      <c r="J273" s="71">
        <f t="shared" si="15"/>
        <v>6</v>
      </c>
      <c r="K273" s="12">
        <f>'Adv Report'!C15</f>
        <v>0</v>
      </c>
      <c r="L273" s="12">
        <f>'Adv Report'!D15</f>
        <v>0</v>
      </c>
      <c r="M273" s="12">
        <f>'Adv Report'!E15</f>
        <v>0</v>
      </c>
      <c r="N273" s="71">
        <f t="shared" si="16"/>
        <v>0</v>
      </c>
      <c r="O273" s="2"/>
      <c r="P273" s="2"/>
      <c r="Q273" s="1"/>
      <c r="R273" s="1"/>
      <c r="S273" s="46"/>
      <c r="T273" s="49"/>
      <c r="U273" s="49"/>
      <c r="V273" s="3"/>
      <c r="W273" s="3"/>
      <c r="X273" s="3"/>
      <c r="Y273" s="2"/>
    </row>
    <row r="274" spans="1:25" ht="38.25" customHeight="1" x14ac:dyDescent="0.2">
      <c r="A274" s="9">
        <v>13</v>
      </c>
      <c r="B274" s="44" t="str">
        <f>'Adv Report'!A16</f>
        <v>0019</v>
      </c>
      <c r="C274" s="9" t="s">
        <v>902</v>
      </c>
      <c r="D274" s="9" t="s">
        <v>487</v>
      </c>
      <c r="E274" s="9" t="s">
        <v>419</v>
      </c>
      <c r="F274" s="71">
        <f t="shared" si="17"/>
        <v>2</v>
      </c>
      <c r="G274" s="12">
        <f>'Adv Report'!F16</f>
        <v>0</v>
      </c>
      <c r="H274" s="12">
        <f>'Adv Report'!G16</f>
        <v>0</v>
      </c>
      <c r="I274" s="12">
        <f>'Adv Report'!H16</f>
        <v>2</v>
      </c>
      <c r="J274" s="71">
        <f t="shared" si="15"/>
        <v>2</v>
      </c>
      <c r="K274" s="12">
        <f>'Adv Report'!C16</f>
        <v>0</v>
      </c>
      <c r="L274" s="12">
        <f>'Adv Report'!D16</f>
        <v>0</v>
      </c>
      <c r="M274" s="12">
        <f>'Adv Report'!E16</f>
        <v>0</v>
      </c>
      <c r="N274" s="71">
        <f t="shared" si="16"/>
        <v>0</v>
      </c>
      <c r="O274" s="2"/>
      <c r="P274" s="2"/>
      <c r="Q274" s="1"/>
      <c r="R274" s="1"/>
      <c r="S274" s="46"/>
      <c r="T274" s="49"/>
      <c r="U274" s="49"/>
      <c r="V274" s="3"/>
      <c r="W274" s="3"/>
      <c r="X274" s="3"/>
      <c r="Y274" s="2"/>
    </row>
    <row r="275" spans="1:25" ht="38.25" customHeight="1" x14ac:dyDescent="0.2">
      <c r="A275" s="9">
        <v>14</v>
      </c>
      <c r="B275" s="44" t="str">
        <f>'Adv Report'!A17</f>
        <v>0193</v>
      </c>
      <c r="C275" s="9" t="s">
        <v>902</v>
      </c>
      <c r="D275" s="9" t="s">
        <v>616</v>
      </c>
      <c r="E275" s="9" t="s">
        <v>423</v>
      </c>
      <c r="F275" s="71">
        <f t="shared" si="17"/>
        <v>6</v>
      </c>
      <c r="G275" s="12">
        <f>'Adv Report'!F17</f>
        <v>4</v>
      </c>
      <c r="H275" s="12">
        <f>'Adv Report'!G17</f>
        <v>0</v>
      </c>
      <c r="I275" s="12">
        <f>'Adv Report'!H17</f>
        <v>2</v>
      </c>
      <c r="J275" s="71">
        <f t="shared" si="15"/>
        <v>6</v>
      </c>
      <c r="K275" s="12">
        <f>'Adv Report'!C17</f>
        <v>0</v>
      </c>
      <c r="L275" s="12">
        <f>'Adv Report'!D17</f>
        <v>0</v>
      </c>
      <c r="M275" s="12">
        <f>'Adv Report'!E17</f>
        <v>0</v>
      </c>
      <c r="N275" s="71">
        <f t="shared" si="16"/>
        <v>0</v>
      </c>
      <c r="O275" s="2"/>
      <c r="P275" s="2"/>
      <c r="Q275" s="1"/>
      <c r="R275" s="1"/>
      <c r="S275" s="46"/>
      <c r="T275" s="49"/>
      <c r="U275" s="49"/>
      <c r="V275" s="3"/>
      <c r="W275" s="3"/>
      <c r="X275" s="3"/>
      <c r="Y275" s="2"/>
    </row>
    <row r="276" spans="1:25" ht="38.25" customHeight="1" x14ac:dyDescent="0.2">
      <c r="A276" s="9">
        <v>15</v>
      </c>
      <c r="B276" s="44" t="str">
        <f>'Adv Report'!A18</f>
        <v>0163</v>
      </c>
      <c r="C276" s="9" t="s">
        <v>904</v>
      </c>
      <c r="D276" s="9" t="s">
        <v>461</v>
      </c>
      <c r="E276" s="9" t="s">
        <v>397</v>
      </c>
      <c r="F276" s="71">
        <f t="shared" si="17"/>
        <v>6</v>
      </c>
      <c r="G276" s="12">
        <f>'Adv Report'!F18</f>
        <v>5</v>
      </c>
      <c r="H276" s="12">
        <f>'Adv Report'!G18</f>
        <v>0</v>
      </c>
      <c r="I276" s="12">
        <f>'Adv Report'!H18</f>
        <v>1</v>
      </c>
      <c r="J276" s="71">
        <f t="shared" si="15"/>
        <v>6</v>
      </c>
      <c r="K276" s="12">
        <f>'Adv Report'!C18</f>
        <v>0</v>
      </c>
      <c r="L276" s="12">
        <f>'Adv Report'!D18</f>
        <v>0</v>
      </c>
      <c r="M276" s="12">
        <f>'Adv Report'!E18</f>
        <v>0</v>
      </c>
      <c r="N276" s="71">
        <f t="shared" si="16"/>
        <v>0</v>
      </c>
      <c r="O276" s="2"/>
      <c r="P276" s="2"/>
      <c r="Q276" s="1"/>
      <c r="R276" s="1"/>
      <c r="S276" s="46"/>
      <c r="T276" s="49"/>
      <c r="U276" s="49"/>
      <c r="V276" s="3"/>
      <c r="W276" s="3"/>
      <c r="X276" s="3"/>
      <c r="Y276" s="2"/>
    </row>
    <row r="277" spans="1:25" ht="38.25" customHeight="1" x14ac:dyDescent="0.2">
      <c r="A277" s="9">
        <v>16</v>
      </c>
      <c r="B277" s="44" t="str">
        <f>'Adv Report'!A19</f>
        <v>0083</v>
      </c>
      <c r="C277" s="9" t="s">
        <v>905</v>
      </c>
      <c r="D277" s="9" t="s">
        <v>699</v>
      </c>
      <c r="E277" s="9" t="s">
        <v>388</v>
      </c>
      <c r="F277" s="71">
        <f t="shared" si="17"/>
        <v>12</v>
      </c>
      <c r="G277" s="12">
        <f>'Adv Report'!F19</f>
        <v>9</v>
      </c>
      <c r="H277" s="12">
        <f>'Adv Report'!G19</f>
        <v>0</v>
      </c>
      <c r="I277" s="12">
        <f>'Adv Report'!H19</f>
        <v>3</v>
      </c>
      <c r="J277" s="71">
        <f t="shared" si="15"/>
        <v>12</v>
      </c>
      <c r="K277" s="12">
        <f>'Adv Report'!C19</f>
        <v>0</v>
      </c>
      <c r="L277" s="12">
        <f>'Adv Report'!D19</f>
        <v>0</v>
      </c>
      <c r="M277" s="12">
        <f>'Adv Report'!E19</f>
        <v>0</v>
      </c>
      <c r="N277" s="71">
        <f t="shared" si="16"/>
        <v>0</v>
      </c>
      <c r="O277" s="2"/>
      <c r="P277" s="2"/>
      <c r="Q277" s="1"/>
      <c r="R277" s="1"/>
      <c r="S277" s="46"/>
      <c r="T277" s="49"/>
      <c r="U277" s="49"/>
      <c r="V277" s="3"/>
      <c r="W277" s="3"/>
      <c r="X277" s="3"/>
      <c r="Y277" s="2"/>
    </row>
    <row r="278" spans="1:25" ht="38.25" customHeight="1" x14ac:dyDescent="0.2">
      <c r="A278" s="9">
        <v>17</v>
      </c>
      <c r="B278" s="44" t="str">
        <f>'Adv Report'!A20</f>
        <v>0057</v>
      </c>
      <c r="C278" s="9" t="s">
        <v>905</v>
      </c>
      <c r="D278" s="9" t="s">
        <v>668</v>
      </c>
      <c r="E278" s="9" t="s">
        <v>426</v>
      </c>
      <c r="F278" s="71">
        <f t="shared" si="17"/>
        <v>3</v>
      </c>
      <c r="G278" s="12">
        <f>'Adv Report'!F20</f>
        <v>3</v>
      </c>
      <c r="H278" s="12">
        <f>'Adv Report'!G20</f>
        <v>0</v>
      </c>
      <c r="I278" s="12">
        <f>'Adv Report'!H20</f>
        <v>0</v>
      </c>
      <c r="J278" s="71">
        <f t="shared" si="15"/>
        <v>3</v>
      </c>
      <c r="K278" s="12">
        <f>'Adv Report'!C20</f>
        <v>0</v>
      </c>
      <c r="L278" s="12">
        <f>'Adv Report'!D20</f>
        <v>0</v>
      </c>
      <c r="M278" s="12">
        <f>'Adv Report'!E20</f>
        <v>0</v>
      </c>
      <c r="N278" s="71">
        <f t="shared" si="16"/>
        <v>0</v>
      </c>
      <c r="O278" s="2"/>
      <c r="P278" s="2"/>
      <c r="Q278" s="1"/>
      <c r="R278" s="1"/>
      <c r="S278" s="46"/>
      <c r="T278" s="49"/>
      <c r="U278" s="49"/>
      <c r="V278" s="3"/>
      <c r="W278" s="3"/>
      <c r="X278" s="3"/>
      <c r="Y278" s="2"/>
    </row>
    <row r="279" spans="1:25" ht="38.25" customHeight="1" x14ac:dyDescent="0.2">
      <c r="A279" s="9">
        <v>18</v>
      </c>
      <c r="B279" s="44" t="str">
        <f>'Adv Report'!A21</f>
        <v>0546</v>
      </c>
      <c r="C279" s="9" t="s">
        <v>906</v>
      </c>
      <c r="D279" s="9" t="s">
        <v>503</v>
      </c>
      <c r="E279" s="9" t="s">
        <v>398</v>
      </c>
      <c r="F279" s="71">
        <f t="shared" si="17"/>
        <v>11</v>
      </c>
      <c r="G279" s="12">
        <f>'Adv Report'!F21</f>
        <v>6</v>
      </c>
      <c r="H279" s="12">
        <f>'Adv Report'!G21</f>
        <v>1</v>
      </c>
      <c r="I279" s="12">
        <f>'Adv Report'!H21</f>
        <v>4</v>
      </c>
      <c r="J279" s="71">
        <f t="shared" si="15"/>
        <v>11</v>
      </c>
      <c r="K279" s="12">
        <f>'Adv Report'!C21</f>
        <v>0</v>
      </c>
      <c r="L279" s="12">
        <f>'Adv Report'!D21</f>
        <v>0</v>
      </c>
      <c r="M279" s="12">
        <f>'Adv Report'!E21</f>
        <v>0</v>
      </c>
      <c r="N279" s="71">
        <f t="shared" si="16"/>
        <v>0</v>
      </c>
      <c r="O279" s="2"/>
      <c r="P279" s="2"/>
      <c r="Q279" s="1"/>
      <c r="R279" s="1"/>
      <c r="S279" s="46"/>
      <c r="T279" s="49"/>
      <c r="U279" s="49"/>
      <c r="V279" s="3"/>
      <c r="W279" s="3"/>
      <c r="X279" s="3"/>
      <c r="Y279" s="2"/>
    </row>
    <row r="280" spans="1:25" ht="38.25" customHeight="1" x14ac:dyDescent="0.2">
      <c r="A280" s="9">
        <v>19</v>
      </c>
      <c r="B280" s="44" t="str">
        <f>'Adv Report'!A22</f>
        <v>0143</v>
      </c>
      <c r="C280" s="9" t="s">
        <v>906</v>
      </c>
      <c r="D280" s="9" t="s">
        <v>620</v>
      </c>
      <c r="E280" s="9" t="s">
        <v>401</v>
      </c>
      <c r="F280" s="71">
        <f t="shared" si="17"/>
        <v>5</v>
      </c>
      <c r="G280" s="12">
        <f>'Adv Report'!F22</f>
        <v>4</v>
      </c>
      <c r="H280" s="12">
        <f>'Adv Report'!G22</f>
        <v>0</v>
      </c>
      <c r="I280" s="12">
        <f>'Adv Report'!H22</f>
        <v>1</v>
      </c>
      <c r="J280" s="71">
        <f t="shared" si="15"/>
        <v>5</v>
      </c>
      <c r="K280" s="12">
        <f>'Adv Report'!C22</f>
        <v>0</v>
      </c>
      <c r="L280" s="12">
        <f>'Adv Report'!D22</f>
        <v>0</v>
      </c>
      <c r="M280" s="12">
        <f>'Adv Report'!E22</f>
        <v>0</v>
      </c>
      <c r="N280" s="71">
        <f t="shared" si="16"/>
        <v>0</v>
      </c>
      <c r="O280" s="2"/>
      <c r="P280" s="2"/>
      <c r="Q280" s="1"/>
      <c r="R280" s="1"/>
      <c r="S280" s="46"/>
      <c r="T280" s="49"/>
      <c r="U280" s="49"/>
      <c r="V280" s="3"/>
      <c r="W280" s="3"/>
      <c r="X280" s="3"/>
      <c r="Y280" s="2"/>
    </row>
    <row r="281" spans="1:25" ht="38.25" customHeight="1" x14ac:dyDescent="0.2">
      <c r="A281" s="9">
        <v>20</v>
      </c>
      <c r="B281" s="44" t="str">
        <f>'Adv Report'!A23</f>
        <v>0857</v>
      </c>
      <c r="C281" s="9" t="s">
        <v>906</v>
      </c>
      <c r="D281" s="9" t="s">
        <v>446</v>
      </c>
      <c r="E281" s="9" t="s">
        <v>399</v>
      </c>
      <c r="F281" s="71">
        <f t="shared" si="17"/>
        <v>1</v>
      </c>
      <c r="G281" s="12">
        <f>'Adv Report'!F23</f>
        <v>1</v>
      </c>
      <c r="H281" s="12">
        <f>'Adv Report'!G23</f>
        <v>0</v>
      </c>
      <c r="I281" s="12">
        <f>'Adv Report'!H23</f>
        <v>0</v>
      </c>
      <c r="J281" s="71">
        <f t="shared" si="15"/>
        <v>1</v>
      </c>
      <c r="K281" s="12">
        <f>'Adv Report'!C23</f>
        <v>0</v>
      </c>
      <c r="L281" s="12">
        <f>'Adv Report'!D23</f>
        <v>0</v>
      </c>
      <c r="M281" s="12">
        <f>'Adv Report'!E23</f>
        <v>0</v>
      </c>
      <c r="N281" s="71">
        <f t="shared" si="16"/>
        <v>0</v>
      </c>
      <c r="O281" s="2"/>
      <c r="P281" s="2"/>
      <c r="Q281" s="1"/>
      <c r="R281" s="1"/>
      <c r="S281" s="46"/>
      <c r="T281" s="49"/>
      <c r="U281" s="49"/>
      <c r="V281" s="3"/>
      <c r="W281" s="3"/>
      <c r="X281" s="3"/>
      <c r="Y281" s="2"/>
    </row>
    <row r="282" spans="1:25" ht="38.25" customHeight="1" x14ac:dyDescent="0.2">
      <c r="A282" s="9">
        <v>21</v>
      </c>
      <c r="B282" s="44" t="str">
        <f>'Adv Report'!A24</f>
        <v>0528</v>
      </c>
      <c r="C282" s="9" t="s">
        <v>906</v>
      </c>
      <c r="D282" s="9" t="s">
        <v>555</v>
      </c>
      <c r="E282" s="9" t="s">
        <v>398</v>
      </c>
      <c r="F282" s="71">
        <f t="shared" si="17"/>
        <v>2</v>
      </c>
      <c r="G282" s="12">
        <f>'Adv Report'!F24</f>
        <v>0</v>
      </c>
      <c r="H282" s="12">
        <f>'Adv Report'!G24</f>
        <v>0</v>
      </c>
      <c r="I282" s="12">
        <f>'Adv Report'!H24</f>
        <v>2</v>
      </c>
      <c r="J282" s="71">
        <f t="shared" si="15"/>
        <v>2</v>
      </c>
      <c r="K282" s="12">
        <f>'Adv Report'!C24</f>
        <v>0</v>
      </c>
      <c r="L282" s="12">
        <f>'Adv Report'!D24</f>
        <v>0</v>
      </c>
      <c r="M282" s="12">
        <f>'Adv Report'!E24</f>
        <v>0</v>
      </c>
      <c r="N282" s="71">
        <f t="shared" si="16"/>
        <v>0</v>
      </c>
      <c r="O282" s="2"/>
      <c r="P282" s="2"/>
      <c r="Q282" s="1"/>
      <c r="R282" s="1"/>
      <c r="S282" s="46"/>
      <c r="T282" s="49"/>
      <c r="U282" s="49"/>
      <c r="V282" s="3"/>
      <c r="W282" s="3"/>
      <c r="X282" s="3"/>
      <c r="Y282" s="2"/>
    </row>
    <row r="283" spans="1:25" ht="38.25" customHeight="1" x14ac:dyDescent="0.2">
      <c r="A283" s="9">
        <v>22</v>
      </c>
      <c r="B283" s="44" t="str">
        <f>'Adv Report'!A25</f>
        <v>0075</v>
      </c>
      <c r="C283" s="9" t="s">
        <v>907</v>
      </c>
      <c r="D283" s="9" t="s">
        <v>539</v>
      </c>
      <c r="E283" s="9" t="s">
        <v>424</v>
      </c>
      <c r="F283" s="71">
        <f t="shared" si="17"/>
        <v>5</v>
      </c>
      <c r="G283" s="12">
        <f>'Adv Report'!F25</f>
        <v>4</v>
      </c>
      <c r="H283" s="12">
        <f>'Adv Report'!G25</f>
        <v>1</v>
      </c>
      <c r="I283" s="12">
        <f>'Adv Report'!H25</f>
        <v>0</v>
      </c>
      <c r="J283" s="71">
        <f t="shared" si="15"/>
        <v>5</v>
      </c>
      <c r="K283" s="12">
        <f>'Adv Report'!C25</f>
        <v>0</v>
      </c>
      <c r="L283" s="12">
        <f>'Adv Report'!D25</f>
        <v>0</v>
      </c>
      <c r="M283" s="12">
        <f>'Adv Report'!E25</f>
        <v>0</v>
      </c>
      <c r="N283" s="71">
        <f t="shared" si="16"/>
        <v>0</v>
      </c>
      <c r="O283" s="2"/>
      <c r="P283" s="2"/>
      <c r="Q283" s="1"/>
      <c r="R283" s="1"/>
      <c r="S283" s="46"/>
      <c r="T283" s="49"/>
      <c r="U283" s="49"/>
      <c r="V283" s="3"/>
      <c r="W283" s="3"/>
      <c r="X283" s="3"/>
      <c r="Y283" s="2"/>
    </row>
    <row r="284" spans="1:25" ht="38.25" customHeight="1" x14ac:dyDescent="0.2">
      <c r="A284" s="9">
        <v>23</v>
      </c>
      <c r="B284" s="44" t="str">
        <f>'Adv Report'!A26</f>
        <v>0023</v>
      </c>
      <c r="C284" s="9" t="s">
        <v>907</v>
      </c>
      <c r="D284" s="9" t="s">
        <v>908</v>
      </c>
      <c r="E284" s="9" t="s">
        <v>654</v>
      </c>
      <c r="F284" s="71">
        <f t="shared" si="17"/>
        <v>0</v>
      </c>
      <c r="G284" s="12">
        <f>'Adv Report'!F26</f>
        <v>0</v>
      </c>
      <c r="H284" s="12">
        <f>'Adv Report'!G26</f>
        <v>0</v>
      </c>
      <c r="I284" s="12">
        <f>'Adv Report'!H26</f>
        <v>0</v>
      </c>
      <c r="J284" s="71">
        <f t="shared" si="15"/>
        <v>0</v>
      </c>
      <c r="K284" s="12">
        <f>'Adv Report'!C26</f>
        <v>0</v>
      </c>
      <c r="L284" s="12">
        <f>'Adv Report'!D26</f>
        <v>0</v>
      </c>
      <c r="M284" s="12">
        <f>'Adv Report'!E26</f>
        <v>0</v>
      </c>
      <c r="N284" s="71">
        <f t="shared" si="16"/>
        <v>0</v>
      </c>
      <c r="O284" s="2"/>
      <c r="P284" s="2"/>
      <c r="Q284" s="1"/>
      <c r="R284" s="1"/>
      <c r="S284" s="46"/>
      <c r="T284" s="49"/>
      <c r="U284" s="49"/>
      <c r="V284" s="3"/>
      <c r="W284" s="3"/>
      <c r="X284" s="3"/>
      <c r="Y284" s="2"/>
    </row>
    <row r="285" spans="1:25" ht="38.25" customHeight="1" x14ac:dyDescent="0.2">
      <c r="A285" s="9">
        <v>24</v>
      </c>
      <c r="B285" s="44" t="str">
        <f>'Adv Report'!A27</f>
        <v>0037</v>
      </c>
      <c r="C285" s="9" t="s">
        <v>907</v>
      </c>
      <c r="D285" s="9" t="s">
        <v>633</v>
      </c>
      <c r="E285" s="9" t="s">
        <v>417</v>
      </c>
      <c r="F285" s="71">
        <f t="shared" si="17"/>
        <v>4</v>
      </c>
      <c r="G285" s="12">
        <f>'Adv Report'!F27</f>
        <v>2</v>
      </c>
      <c r="H285" s="12">
        <f>'Adv Report'!G27</f>
        <v>0</v>
      </c>
      <c r="I285" s="12">
        <f>'Adv Report'!H27</f>
        <v>2</v>
      </c>
      <c r="J285" s="71">
        <f t="shared" si="15"/>
        <v>4</v>
      </c>
      <c r="K285" s="12">
        <f>'Adv Report'!C27</f>
        <v>0</v>
      </c>
      <c r="L285" s="12">
        <f>'Adv Report'!D27</f>
        <v>0</v>
      </c>
      <c r="M285" s="12">
        <f>'Adv Report'!E27</f>
        <v>0</v>
      </c>
      <c r="N285" s="71">
        <f t="shared" si="16"/>
        <v>0</v>
      </c>
      <c r="O285" s="2"/>
      <c r="P285" s="2"/>
      <c r="Q285" s="1"/>
      <c r="R285" s="1"/>
      <c r="S285" s="46"/>
      <c r="T285" s="49"/>
      <c r="U285" s="49"/>
      <c r="V285" s="3"/>
      <c r="W285" s="3"/>
      <c r="X285" s="3"/>
      <c r="Y285" s="2"/>
    </row>
    <row r="286" spans="1:25" ht="38.25" customHeight="1" x14ac:dyDescent="0.2">
      <c r="A286" s="9">
        <v>25</v>
      </c>
      <c r="B286" s="44" t="str">
        <f>'Adv Report'!A28</f>
        <v>0923</v>
      </c>
      <c r="C286" s="9" t="s">
        <v>909</v>
      </c>
      <c r="D286" s="9" t="s">
        <v>657</v>
      </c>
      <c r="E286" s="9" t="s">
        <v>408</v>
      </c>
      <c r="F286" s="71">
        <f t="shared" si="17"/>
        <v>5</v>
      </c>
      <c r="G286" s="12">
        <f>'Adv Report'!F28</f>
        <v>3</v>
      </c>
      <c r="H286" s="12">
        <f>'Adv Report'!G28</f>
        <v>1</v>
      </c>
      <c r="I286" s="12">
        <f>'Adv Report'!H28</f>
        <v>1</v>
      </c>
      <c r="J286" s="71">
        <f t="shared" si="15"/>
        <v>5</v>
      </c>
      <c r="K286" s="12">
        <f>'Adv Report'!C28</f>
        <v>0</v>
      </c>
      <c r="L286" s="12">
        <f>'Adv Report'!D28</f>
        <v>0</v>
      </c>
      <c r="M286" s="12">
        <f>'Adv Report'!E28</f>
        <v>0</v>
      </c>
      <c r="N286" s="71">
        <f t="shared" si="16"/>
        <v>0</v>
      </c>
      <c r="O286" s="2"/>
      <c r="P286" s="2"/>
      <c r="Q286" s="1"/>
      <c r="R286" s="1"/>
      <c r="S286" s="46"/>
      <c r="T286" s="49"/>
      <c r="U286" s="49"/>
      <c r="V286" s="3"/>
      <c r="W286" s="3"/>
      <c r="X286" s="3"/>
      <c r="Y286" s="2"/>
    </row>
    <row r="287" spans="1:25" ht="38.25" customHeight="1" x14ac:dyDescent="0.2">
      <c r="A287" s="9">
        <v>26</v>
      </c>
      <c r="B287" s="44" t="str">
        <f>'Adv Report'!A29</f>
        <v>0979</v>
      </c>
      <c r="C287" s="9" t="s">
        <v>909</v>
      </c>
      <c r="D287" s="9" t="s">
        <v>442</v>
      </c>
      <c r="E287" s="9" t="s">
        <v>409</v>
      </c>
      <c r="F287" s="71">
        <f t="shared" si="17"/>
        <v>1</v>
      </c>
      <c r="G287" s="12">
        <f>'Adv Report'!F29</f>
        <v>1</v>
      </c>
      <c r="H287" s="12">
        <f>'Adv Report'!G29</f>
        <v>0</v>
      </c>
      <c r="I287" s="12">
        <f>'Adv Report'!H29</f>
        <v>0</v>
      </c>
      <c r="J287" s="71">
        <f t="shared" si="15"/>
        <v>1</v>
      </c>
      <c r="K287" s="12">
        <f>'Adv Report'!C29</f>
        <v>0</v>
      </c>
      <c r="L287" s="12">
        <f>'Adv Report'!D29</f>
        <v>0</v>
      </c>
      <c r="M287" s="12">
        <f>'Adv Report'!E29</f>
        <v>0</v>
      </c>
      <c r="N287" s="71">
        <f t="shared" si="16"/>
        <v>0</v>
      </c>
      <c r="O287" s="2"/>
      <c r="P287" s="2"/>
      <c r="Q287" s="1"/>
      <c r="R287" s="1"/>
      <c r="S287" s="46"/>
      <c r="T287" s="49"/>
      <c r="U287" s="49"/>
      <c r="V287" s="3"/>
      <c r="W287" s="3"/>
      <c r="X287" s="3"/>
      <c r="Y287" s="2"/>
    </row>
    <row r="288" spans="1:25" ht="38.25" customHeight="1" x14ac:dyDescent="0.2">
      <c r="A288" s="9">
        <v>27</v>
      </c>
      <c r="B288" s="44" t="str">
        <f>'Adv Report'!A30</f>
        <v>0061</v>
      </c>
      <c r="C288" s="9" t="s">
        <v>909</v>
      </c>
      <c r="D288" s="9" t="s">
        <v>709</v>
      </c>
      <c r="E288" s="9" t="s">
        <v>402</v>
      </c>
      <c r="F288" s="71">
        <f t="shared" si="17"/>
        <v>16</v>
      </c>
      <c r="G288" s="12">
        <f>'Adv Report'!F30</f>
        <v>10</v>
      </c>
      <c r="H288" s="12">
        <f>'Adv Report'!G30</f>
        <v>0</v>
      </c>
      <c r="I288" s="12">
        <f>'Adv Report'!H30</f>
        <v>6</v>
      </c>
      <c r="J288" s="71">
        <f t="shared" si="15"/>
        <v>16</v>
      </c>
      <c r="K288" s="12">
        <f>'Adv Report'!C30</f>
        <v>0</v>
      </c>
      <c r="L288" s="12">
        <f>'Adv Report'!D30</f>
        <v>0</v>
      </c>
      <c r="M288" s="12">
        <f>'Adv Report'!E30</f>
        <v>0</v>
      </c>
      <c r="N288" s="71">
        <f t="shared" si="16"/>
        <v>0</v>
      </c>
      <c r="O288" s="2"/>
      <c r="P288" s="2"/>
      <c r="Q288" s="1"/>
      <c r="R288" s="1"/>
      <c r="S288" s="46"/>
      <c r="T288" s="49"/>
      <c r="U288" s="49"/>
      <c r="V288" s="3"/>
      <c r="W288" s="3"/>
      <c r="X288" s="3"/>
      <c r="Y288" s="2"/>
    </row>
    <row r="289" spans="1:25" ht="38.25" customHeight="1" x14ac:dyDescent="0.2">
      <c r="A289" s="9">
        <v>28</v>
      </c>
      <c r="B289" s="44" t="str">
        <f>'Adv Report'!A31</f>
        <v>0095</v>
      </c>
      <c r="C289" s="9" t="s">
        <v>910</v>
      </c>
      <c r="D289" s="9" t="s">
        <v>716</v>
      </c>
      <c r="E289" s="9" t="s">
        <v>396</v>
      </c>
      <c r="F289" s="71">
        <f t="shared" si="17"/>
        <v>10</v>
      </c>
      <c r="G289" s="12">
        <f>'Adv Report'!F31</f>
        <v>7</v>
      </c>
      <c r="H289" s="12">
        <f>'Adv Report'!G31</f>
        <v>0</v>
      </c>
      <c r="I289" s="12">
        <f>'Adv Report'!H31</f>
        <v>1</v>
      </c>
      <c r="J289" s="71">
        <f t="shared" si="15"/>
        <v>8</v>
      </c>
      <c r="K289" s="12">
        <f>'Adv Report'!C31</f>
        <v>2</v>
      </c>
      <c r="L289" s="12">
        <f>'Adv Report'!D31</f>
        <v>0</v>
      </c>
      <c r="M289" s="12">
        <f>'Adv Report'!E31</f>
        <v>0</v>
      </c>
      <c r="N289" s="71">
        <f t="shared" si="16"/>
        <v>2</v>
      </c>
      <c r="O289" s="2"/>
      <c r="P289" s="2"/>
      <c r="Q289" s="1"/>
      <c r="R289" s="1"/>
      <c r="S289" s="46"/>
      <c r="T289" s="49"/>
      <c r="U289" s="49"/>
      <c r="V289" s="3"/>
      <c r="W289" s="3"/>
      <c r="X289" s="3"/>
      <c r="Y289" s="2"/>
    </row>
    <row r="290" spans="1:25" ht="38.25" customHeight="1" x14ac:dyDescent="0.2">
      <c r="A290" s="9">
        <v>29</v>
      </c>
      <c r="B290" s="44" t="str">
        <f>'Adv Report'!A32</f>
        <v>0514</v>
      </c>
      <c r="C290" s="9" t="s">
        <v>911</v>
      </c>
      <c r="D290" s="9" t="s">
        <v>593</v>
      </c>
      <c r="E290" s="9" t="s">
        <v>398</v>
      </c>
      <c r="F290" s="71">
        <f t="shared" si="17"/>
        <v>5</v>
      </c>
      <c r="G290" s="12">
        <f>'Adv Report'!F32</f>
        <v>4</v>
      </c>
      <c r="H290" s="12">
        <f>'Adv Report'!G32</f>
        <v>0</v>
      </c>
      <c r="I290" s="12">
        <f>'Adv Report'!H32</f>
        <v>1</v>
      </c>
      <c r="J290" s="71">
        <f t="shared" si="15"/>
        <v>5</v>
      </c>
      <c r="K290" s="12">
        <f>'Adv Report'!C32</f>
        <v>0</v>
      </c>
      <c r="L290" s="12">
        <f>'Adv Report'!D32</f>
        <v>0</v>
      </c>
      <c r="M290" s="12">
        <f>'Adv Report'!E32</f>
        <v>0</v>
      </c>
      <c r="N290" s="71">
        <f t="shared" si="16"/>
        <v>0</v>
      </c>
      <c r="O290" s="2"/>
      <c r="P290" s="2"/>
      <c r="Q290" s="1"/>
      <c r="R290" s="1"/>
      <c r="S290" s="46"/>
      <c r="T290" s="49"/>
      <c r="U290" s="49"/>
      <c r="V290" s="3"/>
      <c r="W290" s="3"/>
      <c r="X290" s="3"/>
      <c r="Y290" s="2"/>
    </row>
    <row r="291" spans="1:25" ht="38.25" customHeight="1" x14ac:dyDescent="0.2">
      <c r="A291" s="9">
        <v>30</v>
      </c>
      <c r="B291" s="44" t="str">
        <f>'Adv Report'!A33</f>
        <v>0091</v>
      </c>
      <c r="C291" s="9" t="s">
        <v>912</v>
      </c>
      <c r="D291" s="9" t="s">
        <v>596</v>
      </c>
      <c r="E291" s="9" t="s">
        <v>411</v>
      </c>
      <c r="F291" s="71">
        <f t="shared" si="17"/>
        <v>10</v>
      </c>
      <c r="G291" s="12">
        <f>'Adv Report'!F33</f>
        <v>7</v>
      </c>
      <c r="H291" s="12">
        <f>'Adv Report'!G33</f>
        <v>1</v>
      </c>
      <c r="I291" s="12">
        <f>'Adv Report'!H33</f>
        <v>2</v>
      </c>
      <c r="J291" s="71">
        <f t="shared" si="15"/>
        <v>10</v>
      </c>
      <c r="K291" s="12">
        <f>'Adv Report'!C33</f>
        <v>0</v>
      </c>
      <c r="L291" s="12">
        <f>'Adv Report'!D33</f>
        <v>0</v>
      </c>
      <c r="M291" s="12">
        <f>'Adv Report'!E33</f>
        <v>0</v>
      </c>
      <c r="N291" s="71">
        <f t="shared" si="16"/>
        <v>0</v>
      </c>
      <c r="O291" s="2"/>
      <c r="P291" s="2"/>
      <c r="Q291" s="1"/>
      <c r="R291" s="1"/>
      <c r="S291" s="46"/>
      <c r="T291" s="49"/>
      <c r="U291" s="49"/>
      <c r="V291" s="3"/>
      <c r="W291" s="3"/>
      <c r="X291" s="3"/>
      <c r="Y291" s="2"/>
    </row>
    <row r="292" spans="1:25" ht="38.25" customHeight="1" x14ac:dyDescent="0.2">
      <c r="A292" s="9">
        <v>31</v>
      </c>
      <c r="B292" s="44" t="str">
        <f>'Adv Report'!A34</f>
        <v>0047</v>
      </c>
      <c r="C292" s="9" t="s">
        <v>912</v>
      </c>
      <c r="D292" s="9" t="s">
        <v>541</v>
      </c>
      <c r="E292" s="9" t="s">
        <v>411</v>
      </c>
      <c r="F292" s="71">
        <f t="shared" si="17"/>
        <v>8</v>
      </c>
      <c r="G292" s="12">
        <f>'Adv Report'!F34</f>
        <v>4</v>
      </c>
      <c r="H292" s="12">
        <f>'Adv Report'!G34</f>
        <v>0</v>
      </c>
      <c r="I292" s="12">
        <f>'Adv Report'!H34</f>
        <v>4</v>
      </c>
      <c r="J292" s="71">
        <f t="shared" si="15"/>
        <v>8</v>
      </c>
      <c r="K292" s="12">
        <f>'Adv Report'!C34</f>
        <v>0</v>
      </c>
      <c r="L292" s="12">
        <f>'Adv Report'!D34</f>
        <v>0</v>
      </c>
      <c r="M292" s="12">
        <f>'Adv Report'!E34</f>
        <v>0</v>
      </c>
      <c r="N292" s="71">
        <f t="shared" si="16"/>
        <v>0</v>
      </c>
      <c r="O292" s="2"/>
      <c r="P292" s="2"/>
      <c r="Q292" s="1"/>
      <c r="R292" s="1"/>
      <c r="S292" s="46"/>
      <c r="T292" s="49"/>
      <c r="U292" s="49"/>
      <c r="V292" s="3"/>
      <c r="W292" s="3"/>
      <c r="X292" s="3"/>
      <c r="Y292" s="2"/>
    </row>
    <row r="293" spans="1:25" ht="38.25" customHeight="1" x14ac:dyDescent="0.2">
      <c r="A293" s="9">
        <v>32</v>
      </c>
      <c r="B293" s="44" t="str">
        <f>'Adv Report'!A35</f>
        <v>0721</v>
      </c>
      <c r="C293" s="9" t="s">
        <v>913</v>
      </c>
      <c r="D293" s="9" t="s">
        <v>782</v>
      </c>
      <c r="E293" s="9" t="s">
        <v>434</v>
      </c>
      <c r="F293" s="71">
        <f t="shared" si="17"/>
        <v>7</v>
      </c>
      <c r="G293" s="12">
        <f>'Adv Report'!F35</f>
        <v>4</v>
      </c>
      <c r="H293" s="12">
        <f>'Adv Report'!G35</f>
        <v>0</v>
      </c>
      <c r="I293" s="12">
        <f>'Adv Report'!H35</f>
        <v>1</v>
      </c>
      <c r="J293" s="71">
        <f t="shared" si="15"/>
        <v>5</v>
      </c>
      <c r="K293" s="12">
        <f>'Adv Report'!C35</f>
        <v>2</v>
      </c>
      <c r="L293" s="12">
        <f>'Adv Report'!D35</f>
        <v>0</v>
      </c>
      <c r="M293" s="12">
        <f>'Adv Report'!E35</f>
        <v>0</v>
      </c>
      <c r="N293" s="71">
        <f t="shared" si="16"/>
        <v>2</v>
      </c>
      <c r="O293" s="2"/>
      <c r="P293" s="2"/>
      <c r="Q293" s="1"/>
      <c r="R293" s="1"/>
      <c r="S293" s="46"/>
      <c r="T293" s="49"/>
      <c r="U293" s="49"/>
      <c r="V293" s="3"/>
      <c r="W293" s="3"/>
      <c r="X293" s="3"/>
      <c r="Y293" s="2"/>
    </row>
    <row r="294" spans="1:25" ht="38.25" customHeight="1" x14ac:dyDescent="0.2">
      <c r="A294" s="9">
        <v>33</v>
      </c>
      <c r="B294" s="44" t="str">
        <f>'Adv Report'!A36</f>
        <v>0149</v>
      </c>
      <c r="C294" s="9" t="s">
        <v>913</v>
      </c>
      <c r="D294" s="9" t="s">
        <v>532</v>
      </c>
      <c r="E294" s="9" t="s">
        <v>396</v>
      </c>
      <c r="F294" s="71">
        <f t="shared" si="17"/>
        <v>6</v>
      </c>
      <c r="G294" s="12">
        <f>'Adv Report'!F36</f>
        <v>3</v>
      </c>
      <c r="H294" s="12">
        <f>'Adv Report'!G36</f>
        <v>0</v>
      </c>
      <c r="I294" s="12">
        <f>'Adv Report'!H36</f>
        <v>2</v>
      </c>
      <c r="J294" s="71">
        <f t="shared" si="15"/>
        <v>5</v>
      </c>
      <c r="K294" s="12">
        <f>'Adv Report'!C36</f>
        <v>1</v>
      </c>
      <c r="L294" s="12">
        <f>'Adv Report'!D36</f>
        <v>0</v>
      </c>
      <c r="M294" s="12">
        <f>'Adv Report'!E36</f>
        <v>0</v>
      </c>
      <c r="N294" s="71">
        <f t="shared" si="16"/>
        <v>1</v>
      </c>
      <c r="O294" s="2"/>
      <c r="P294" s="2"/>
      <c r="Q294" s="1"/>
      <c r="R294" s="1"/>
      <c r="S294" s="46"/>
      <c r="T294" s="49"/>
      <c r="U294" s="49"/>
      <c r="V294" s="3"/>
      <c r="W294" s="3"/>
      <c r="X294" s="3"/>
      <c r="Y294" s="2"/>
    </row>
    <row r="295" spans="1:25" ht="38.25" customHeight="1" x14ac:dyDescent="0.2">
      <c r="A295" s="9">
        <v>34</v>
      </c>
      <c r="B295" s="44" t="str">
        <f>'Adv Report'!A37</f>
        <v>0125</v>
      </c>
      <c r="C295" s="9" t="s">
        <v>914</v>
      </c>
      <c r="D295" s="9" t="s">
        <v>714</v>
      </c>
      <c r="E295" s="9" t="s">
        <v>397</v>
      </c>
      <c r="F295" s="71">
        <f t="shared" si="17"/>
        <v>10</v>
      </c>
      <c r="G295" s="12">
        <f>'Adv Report'!F37</f>
        <v>5</v>
      </c>
      <c r="H295" s="12">
        <f>'Adv Report'!G37</f>
        <v>1</v>
      </c>
      <c r="I295" s="12">
        <f>'Adv Report'!H37</f>
        <v>2</v>
      </c>
      <c r="J295" s="71">
        <f t="shared" si="15"/>
        <v>8</v>
      </c>
      <c r="K295" s="12">
        <f>'Adv Report'!C37</f>
        <v>2</v>
      </c>
      <c r="L295" s="12">
        <f>'Adv Report'!D37</f>
        <v>0</v>
      </c>
      <c r="M295" s="12">
        <f>'Adv Report'!E37</f>
        <v>0</v>
      </c>
      <c r="N295" s="71">
        <f t="shared" si="16"/>
        <v>2</v>
      </c>
      <c r="O295" s="2"/>
      <c r="P295" s="2"/>
      <c r="Q295" s="1"/>
      <c r="R295" s="1"/>
      <c r="S295" s="46"/>
      <c r="T295" s="49"/>
      <c r="U295" s="49"/>
      <c r="V295" s="3"/>
      <c r="W295" s="3"/>
      <c r="X295" s="3"/>
      <c r="Y295" s="2"/>
    </row>
    <row r="296" spans="1:25" ht="38.25" customHeight="1" x14ac:dyDescent="0.2">
      <c r="A296" s="9">
        <v>35</v>
      </c>
      <c r="B296" s="44" t="str">
        <f>'Adv Report'!A38</f>
        <v>0953</v>
      </c>
      <c r="C296" s="9" t="s">
        <v>914</v>
      </c>
      <c r="D296" s="9" t="s">
        <v>643</v>
      </c>
      <c r="E296" s="9" t="s">
        <v>407</v>
      </c>
      <c r="F296" s="71">
        <f t="shared" si="17"/>
        <v>6</v>
      </c>
      <c r="G296" s="12">
        <f>'Adv Report'!F38</f>
        <v>6</v>
      </c>
      <c r="H296" s="12">
        <f>'Adv Report'!G38</f>
        <v>0</v>
      </c>
      <c r="I296" s="12">
        <f>'Adv Report'!H38</f>
        <v>0</v>
      </c>
      <c r="J296" s="71">
        <f t="shared" si="15"/>
        <v>6</v>
      </c>
      <c r="K296" s="12">
        <f>'Adv Report'!C38</f>
        <v>0</v>
      </c>
      <c r="L296" s="12">
        <f>'Adv Report'!D38</f>
        <v>0</v>
      </c>
      <c r="M296" s="12">
        <f>'Adv Report'!E38</f>
        <v>0</v>
      </c>
      <c r="N296" s="71">
        <f t="shared" si="16"/>
        <v>0</v>
      </c>
      <c r="O296" s="2"/>
      <c r="P296" s="2"/>
      <c r="Q296" s="1"/>
      <c r="R296" s="1"/>
      <c r="S296" s="46"/>
      <c r="T296" s="49"/>
      <c r="U296" s="49"/>
      <c r="V296" s="3"/>
      <c r="W296" s="3"/>
      <c r="X296" s="3"/>
      <c r="Y296" s="2"/>
    </row>
    <row r="297" spans="1:25" ht="38.25" customHeight="1" x14ac:dyDescent="0.2">
      <c r="A297" s="9">
        <v>36</v>
      </c>
      <c r="B297" s="44" t="str">
        <f>'Adv Report'!A39</f>
        <v>0508</v>
      </c>
      <c r="C297" s="9" t="s">
        <v>914</v>
      </c>
      <c r="D297" s="9" t="s">
        <v>579</v>
      </c>
      <c r="E297" s="9" t="s">
        <v>430</v>
      </c>
      <c r="F297" s="71">
        <f t="shared" si="17"/>
        <v>6</v>
      </c>
      <c r="G297" s="12">
        <f>'Adv Report'!F39</f>
        <v>6</v>
      </c>
      <c r="H297" s="12">
        <f>'Adv Report'!G39</f>
        <v>0</v>
      </c>
      <c r="I297" s="12">
        <f>'Adv Report'!H39</f>
        <v>0</v>
      </c>
      <c r="J297" s="71">
        <f t="shared" si="15"/>
        <v>6</v>
      </c>
      <c r="K297" s="12">
        <f>'Adv Report'!C39</f>
        <v>0</v>
      </c>
      <c r="L297" s="12">
        <f>'Adv Report'!D39</f>
        <v>0</v>
      </c>
      <c r="M297" s="12">
        <f>'Adv Report'!E39</f>
        <v>0</v>
      </c>
      <c r="N297" s="71">
        <f t="shared" si="16"/>
        <v>0</v>
      </c>
      <c r="O297" s="2"/>
      <c r="P297" s="2"/>
      <c r="Q297" s="1"/>
      <c r="R297" s="1"/>
      <c r="S297" s="46"/>
      <c r="T297" s="49"/>
      <c r="U297" s="49"/>
      <c r="V297" s="3"/>
      <c r="W297" s="3"/>
      <c r="X297" s="3"/>
      <c r="Y297" s="2"/>
    </row>
    <row r="298" spans="1:25" ht="38.25" customHeight="1" x14ac:dyDescent="0.2">
      <c r="A298" s="9">
        <v>37</v>
      </c>
      <c r="B298" s="44" t="str">
        <f>'Adv Report'!A40</f>
        <v>0803</v>
      </c>
      <c r="C298" s="9" t="s">
        <v>915</v>
      </c>
      <c r="D298" s="9" t="s">
        <v>439</v>
      </c>
      <c r="E298" s="9" t="s">
        <v>436</v>
      </c>
      <c r="F298" s="71">
        <f t="shared" si="17"/>
        <v>10</v>
      </c>
      <c r="G298" s="12">
        <f>'Adv Report'!F40</f>
        <v>1</v>
      </c>
      <c r="H298" s="12">
        <f>'Adv Report'!G40</f>
        <v>0</v>
      </c>
      <c r="I298" s="12">
        <f>'Adv Report'!H40</f>
        <v>9</v>
      </c>
      <c r="J298" s="71">
        <f t="shared" si="15"/>
        <v>10</v>
      </c>
      <c r="K298" s="12">
        <f>'Adv Report'!C40</f>
        <v>0</v>
      </c>
      <c r="L298" s="12">
        <f>'Adv Report'!D40</f>
        <v>0</v>
      </c>
      <c r="M298" s="12">
        <f>'Adv Report'!E40</f>
        <v>0</v>
      </c>
      <c r="N298" s="71">
        <f t="shared" si="16"/>
        <v>0</v>
      </c>
      <c r="O298" s="2"/>
      <c r="P298" s="2"/>
      <c r="Q298" s="1"/>
      <c r="R298" s="1"/>
      <c r="S298" s="46"/>
      <c r="T298" s="49"/>
      <c r="U298" s="49"/>
      <c r="V298" s="3"/>
      <c r="W298" s="3"/>
      <c r="X298" s="3"/>
      <c r="Y298" s="2"/>
    </row>
    <row r="299" spans="1:25" ht="38.25" customHeight="1" x14ac:dyDescent="0.2">
      <c r="A299" s="9">
        <v>38</v>
      </c>
      <c r="B299" s="44" t="str">
        <f>'Adv Report'!A41</f>
        <v>0051</v>
      </c>
      <c r="C299" s="9" t="s">
        <v>916</v>
      </c>
      <c r="D299" s="9" t="s">
        <v>702</v>
      </c>
      <c r="E299" s="9" t="s">
        <v>863</v>
      </c>
      <c r="F299" s="71">
        <f t="shared" si="17"/>
        <v>7</v>
      </c>
      <c r="G299" s="12">
        <f>'Adv Report'!F41</f>
        <v>6</v>
      </c>
      <c r="H299" s="12">
        <f>'Adv Report'!G41</f>
        <v>0</v>
      </c>
      <c r="I299" s="12">
        <f>'Adv Report'!H41</f>
        <v>1</v>
      </c>
      <c r="J299" s="71">
        <f t="shared" si="15"/>
        <v>7</v>
      </c>
      <c r="K299" s="12">
        <f>'Adv Report'!C41</f>
        <v>0</v>
      </c>
      <c r="L299" s="12">
        <f>'Adv Report'!D41</f>
        <v>0</v>
      </c>
      <c r="M299" s="12">
        <f>'Adv Report'!E41</f>
        <v>0</v>
      </c>
      <c r="N299" s="71">
        <f t="shared" si="16"/>
        <v>0</v>
      </c>
      <c r="O299" s="2"/>
      <c r="P299" s="2"/>
      <c r="Q299" s="1"/>
      <c r="R299" s="1"/>
      <c r="S299" s="46"/>
      <c r="T299" s="49"/>
      <c r="U299" s="49"/>
      <c r="V299" s="3"/>
      <c r="W299" s="3"/>
      <c r="X299" s="3"/>
      <c r="Y299" s="2"/>
    </row>
    <row r="300" spans="1:25" ht="38.25" customHeight="1" x14ac:dyDescent="0.2">
      <c r="A300" s="9">
        <v>39</v>
      </c>
      <c r="B300" s="44" t="str">
        <f>'Adv Report'!A42</f>
        <v>0175</v>
      </c>
      <c r="C300" s="9" t="s">
        <v>917</v>
      </c>
      <c r="D300" s="9" t="s">
        <v>918</v>
      </c>
      <c r="E300" s="9" t="s">
        <v>412</v>
      </c>
      <c r="F300" s="71">
        <f t="shared" si="17"/>
        <v>4</v>
      </c>
      <c r="G300" s="12">
        <f>'Adv Report'!F42</f>
        <v>3</v>
      </c>
      <c r="H300" s="12">
        <f>'Adv Report'!G42</f>
        <v>0</v>
      </c>
      <c r="I300" s="12">
        <f>'Adv Report'!H42</f>
        <v>1</v>
      </c>
      <c r="J300" s="71">
        <f t="shared" si="15"/>
        <v>4</v>
      </c>
      <c r="K300" s="12">
        <f>'Adv Report'!C42</f>
        <v>0</v>
      </c>
      <c r="L300" s="12">
        <f>'Adv Report'!D42</f>
        <v>0</v>
      </c>
      <c r="M300" s="12">
        <f>'Adv Report'!E42</f>
        <v>0</v>
      </c>
      <c r="N300" s="71">
        <f t="shared" si="16"/>
        <v>0</v>
      </c>
      <c r="O300" s="2"/>
      <c r="P300" s="2"/>
      <c r="Q300" s="1"/>
      <c r="R300" s="1"/>
      <c r="S300" s="46"/>
      <c r="T300" s="49"/>
      <c r="U300" s="49"/>
      <c r="V300" s="3"/>
      <c r="W300" s="3"/>
      <c r="X300" s="3"/>
      <c r="Y300" s="2"/>
    </row>
    <row r="301" spans="1:25" ht="38.25" customHeight="1" x14ac:dyDescent="0.2">
      <c r="A301" s="9">
        <v>40</v>
      </c>
      <c r="B301" s="44" t="str">
        <f>'Adv Report'!A43</f>
        <v>0085</v>
      </c>
      <c r="C301" s="9" t="s">
        <v>917</v>
      </c>
      <c r="D301" s="9" t="s">
        <v>679</v>
      </c>
      <c r="E301" s="9" t="s">
        <v>864</v>
      </c>
      <c r="F301" s="71">
        <f t="shared" si="17"/>
        <v>4</v>
      </c>
      <c r="G301" s="12">
        <f>'Adv Report'!F43</f>
        <v>4</v>
      </c>
      <c r="H301" s="12">
        <f>'Adv Report'!G43</f>
        <v>0</v>
      </c>
      <c r="I301" s="12">
        <f>'Adv Report'!H43</f>
        <v>0</v>
      </c>
      <c r="J301" s="71">
        <f t="shared" si="15"/>
        <v>4</v>
      </c>
      <c r="K301" s="12">
        <f>'Adv Report'!C43</f>
        <v>0</v>
      </c>
      <c r="L301" s="12">
        <f>'Adv Report'!D43</f>
        <v>0</v>
      </c>
      <c r="M301" s="12">
        <f>'Adv Report'!E43</f>
        <v>0</v>
      </c>
      <c r="N301" s="71">
        <f t="shared" si="16"/>
        <v>0</v>
      </c>
      <c r="O301" s="2"/>
      <c r="P301" s="2"/>
      <c r="Q301" s="1"/>
      <c r="R301" s="1"/>
      <c r="S301" s="46"/>
      <c r="T301" s="49"/>
      <c r="U301" s="49"/>
      <c r="V301" s="3"/>
      <c r="W301" s="3"/>
      <c r="X301" s="3"/>
      <c r="Y301" s="2"/>
    </row>
    <row r="302" spans="1:25" ht="38.25" customHeight="1" x14ac:dyDescent="0.2">
      <c r="A302" s="9">
        <v>41</v>
      </c>
      <c r="B302" s="44" t="str">
        <f>'Adv Report'!A44</f>
        <v>0839</v>
      </c>
      <c r="C302" s="9" t="s">
        <v>919</v>
      </c>
      <c r="D302" s="9" t="s">
        <v>676</v>
      </c>
      <c r="E302" s="9" t="s">
        <v>425</v>
      </c>
      <c r="F302" s="71">
        <f t="shared" si="17"/>
        <v>1</v>
      </c>
      <c r="G302" s="12">
        <f>'Adv Report'!F44</f>
        <v>0</v>
      </c>
      <c r="H302" s="12">
        <f>'Adv Report'!G44</f>
        <v>0</v>
      </c>
      <c r="I302" s="12">
        <f>'Adv Report'!H44</f>
        <v>1</v>
      </c>
      <c r="J302" s="71">
        <f t="shared" si="15"/>
        <v>1</v>
      </c>
      <c r="K302" s="12">
        <f>'Adv Report'!C44</f>
        <v>0</v>
      </c>
      <c r="L302" s="12">
        <f>'Adv Report'!D44</f>
        <v>0</v>
      </c>
      <c r="M302" s="12">
        <f>'Adv Report'!E44</f>
        <v>0</v>
      </c>
      <c r="N302" s="71">
        <f t="shared" si="16"/>
        <v>0</v>
      </c>
      <c r="O302" s="2"/>
      <c r="P302" s="2"/>
      <c r="Q302" s="1"/>
      <c r="R302" s="1"/>
      <c r="S302" s="46"/>
      <c r="T302" s="49"/>
      <c r="U302" s="49"/>
      <c r="V302" s="3"/>
      <c r="W302" s="3"/>
      <c r="X302" s="3"/>
      <c r="Y302" s="2"/>
    </row>
    <row r="303" spans="1:25" ht="38.25" customHeight="1" x14ac:dyDescent="0.2">
      <c r="A303" s="9">
        <v>42</v>
      </c>
      <c r="B303" s="44">
        <f>'Adv Report'!A45</f>
        <v>0</v>
      </c>
      <c r="C303" s="9"/>
      <c r="D303" s="9"/>
      <c r="E303" s="9"/>
      <c r="F303" s="71">
        <f t="shared" si="17"/>
        <v>0</v>
      </c>
      <c r="G303" s="12">
        <f>'Adv Report'!F45</f>
        <v>0</v>
      </c>
      <c r="H303" s="12">
        <f>'Adv Report'!G45</f>
        <v>0</v>
      </c>
      <c r="I303" s="12">
        <f>'Adv Report'!H45</f>
        <v>0</v>
      </c>
      <c r="J303" s="71">
        <f t="shared" ref="J303:J381" si="18">G303+H303+I303</f>
        <v>0</v>
      </c>
      <c r="K303" s="12">
        <f>'Adv Report'!C45</f>
        <v>0</v>
      </c>
      <c r="L303" s="12">
        <f>'Adv Report'!D45</f>
        <v>0</v>
      </c>
      <c r="M303" s="12">
        <f>'Adv Report'!E45</f>
        <v>0</v>
      </c>
      <c r="N303" s="71">
        <f t="shared" ref="N303:N381" si="19">K303+L303+M303</f>
        <v>0</v>
      </c>
      <c r="O303" s="2"/>
      <c r="P303" s="2"/>
      <c r="Q303" s="1"/>
      <c r="R303" s="1"/>
      <c r="S303" s="46"/>
      <c r="T303" s="49"/>
      <c r="U303" s="49"/>
      <c r="V303" s="3"/>
      <c r="W303" s="3"/>
      <c r="X303" s="3"/>
      <c r="Y303" s="2"/>
    </row>
    <row r="304" spans="1:25" ht="38.25" customHeight="1" x14ac:dyDescent="0.2">
      <c r="A304" s="9">
        <v>43</v>
      </c>
      <c r="B304" s="44">
        <f>'Adv Report'!A46</f>
        <v>0</v>
      </c>
      <c r="C304" s="9"/>
      <c r="D304" s="9"/>
      <c r="E304" s="9"/>
      <c r="F304" s="71">
        <f t="shared" si="17"/>
        <v>0</v>
      </c>
      <c r="G304" s="12">
        <f>'Adv Report'!F46</f>
        <v>0</v>
      </c>
      <c r="H304" s="12">
        <f>'Adv Report'!G46</f>
        <v>0</v>
      </c>
      <c r="I304" s="12">
        <f>'Adv Report'!H46</f>
        <v>0</v>
      </c>
      <c r="J304" s="71">
        <f t="shared" si="18"/>
        <v>0</v>
      </c>
      <c r="K304" s="12">
        <f>'Adv Report'!C46</f>
        <v>0</v>
      </c>
      <c r="L304" s="12">
        <f>'Adv Report'!D46</f>
        <v>0</v>
      </c>
      <c r="M304" s="12">
        <f>'Adv Report'!E46</f>
        <v>0</v>
      </c>
      <c r="N304" s="71">
        <f t="shared" si="19"/>
        <v>0</v>
      </c>
      <c r="O304" s="2"/>
      <c r="P304" s="2"/>
      <c r="Q304" s="1"/>
      <c r="R304" s="1"/>
      <c r="S304" s="46"/>
      <c r="T304" s="49"/>
      <c r="U304" s="49"/>
      <c r="V304" s="3"/>
      <c r="W304" s="3"/>
      <c r="X304" s="3"/>
      <c r="Y304" s="2"/>
    </row>
    <row r="305" spans="1:25" ht="38.25" customHeight="1" x14ac:dyDescent="0.2">
      <c r="A305" s="9">
        <v>44</v>
      </c>
      <c r="B305" s="44">
        <f>'Adv Report'!A47</f>
        <v>0</v>
      </c>
      <c r="C305" s="9"/>
      <c r="D305" s="9"/>
      <c r="E305" s="9"/>
      <c r="F305" s="71">
        <f t="shared" si="17"/>
        <v>0</v>
      </c>
      <c r="G305" s="12">
        <f>'Adv Report'!F47</f>
        <v>0</v>
      </c>
      <c r="H305" s="12">
        <f>'Adv Report'!G47</f>
        <v>0</v>
      </c>
      <c r="I305" s="12">
        <f>'Adv Report'!H47</f>
        <v>0</v>
      </c>
      <c r="J305" s="71">
        <f t="shared" si="18"/>
        <v>0</v>
      </c>
      <c r="K305" s="12">
        <f>'Adv Report'!C47</f>
        <v>0</v>
      </c>
      <c r="L305" s="12">
        <f>'Adv Report'!D47</f>
        <v>0</v>
      </c>
      <c r="M305" s="12">
        <f>'Adv Report'!E47</f>
        <v>0</v>
      </c>
      <c r="N305" s="71">
        <f t="shared" si="19"/>
        <v>0</v>
      </c>
      <c r="O305" s="2"/>
      <c r="P305" s="2"/>
      <c r="Q305" s="1"/>
      <c r="R305" s="1"/>
      <c r="S305" s="46"/>
      <c r="T305" s="49"/>
      <c r="U305" s="49"/>
      <c r="V305" s="3"/>
      <c r="W305" s="3"/>
      <c r="X305" s="3"/>
      <c r="Y305" s="2"/>
    </row>
    <row r="306" spans="1:25" ht="38.25" customHeight="1" x14ac:dyDescent="0.2">
      <c r="A306" s="9">
        <v>45</v>
      </c>
      <c r="B306" s="44">
        <f>'Adv Report'!A48</f>
        <v>0</v>
      </c>
      <c r="C306" s="9"/>
      <c r="D306" s="9"/>
      <c r="E306" s="9"/>
      <c r="F306" s="71">
        <f t="shared" si="17"/>
        <v>0</v>
      </c>
      <c r="G306" s="12">
        <f>'Adv Report'!F48</f>
        <v>0</v>
      </c>
      <c r="H306" s="12">
        <f>'Adv Report'!G48</f>
        <v>0</v>
      </c>
      <c r="I306" s="12">
        <f>'Adv Report'!H48</f>
        <v>0</v>
      </c>
      <c r="J306" s="71">
        <f t="shared" si="18"/>
        <v>0</v>
      </c>
      <c r="K306" s="12">
        <f>'Adv Report'!C48</f>
        <v>0</v>
      </c>
      <c r="L306" s="12">
        <f>'Adv Report'!D48</f>
        <v>0</v>
      </c>
      <c r="M306" s="12">
        <f>'Adv Report'!E48</f>
        <v>0</v>
      </c>
      <c r="N306" s="71">
        <f t="shared" si="19"/>
        <v>0</v>
      </c>
      <c r="O306" s="2"/>
      <c r="P306" s="2"/>
      <c r="Q306" s="1"/>
      <c r="R306" s="1"/>
      <c r="S306" s="46"/>
      <c r="T306" s="49"/>
      <c r="U306" s="49"/>
      <c r="V306" s="3"/>
      <c r="W306" s="3"/>
      <c r="X306" s="3"/>
      <c r="Y306" s="2"/>
    </row>
    <row r="307" spans="1:25" ht="38.25" customHeight="1" x14ac:dyDescent="0.2">
      <c r="A307" s="9">
        <v>46</v>
      </c>
      <c r="B307" s="44">
        <f>'Adv Report'!A49</f>
        <v>0</v>
      </c>
      <c r="C307" s="9"/>
      <c r="D307" s="9"/>
      <c r="E307" s="9"/>
      <c r="F307" s="71">
        <f t="shared" si="17"/>
        <v>0</v>
      </c>
      <c r="G307" s="12">
        <f>'Adv Report'!F49</f>
        <v>0</v>
      </c>
      <c r="H307" s="12">
        <f>'Adv Report'!G49</f>
        <v>0</v>
      </c>
      <c r="I307" s="12">
        <f>'Adv Report'!H49</f>
        <v>0</v>
      </c>
      <c r="J307" s="71">
        <f t="shared" si="18"/>
        <v>0</v>
      </c>
      <c r="K307" s="12">
        <f>'Adv Report'!C49</f>
        <v>0</v>
      </c>
      <c r="L307" s="12">
        <f>'Adv Report'!D49</f>
        <v>0</v>
      </c>
      <c r="M307" s="12">
        <f>'Adv Report'!E49</f>
        <v>0</v>
      </c>
      <c r="N307" s="71">
        <f t="shared" si="19"/>
        <v>0</v>
      </c>
      <c r="O307" s="2"/>
      <c r="P307" s="2"/>
      <c r="Q307" s="1"/>
      <c r="R307" s="1"/>
      <c r="S307" s="46"/>
      <c r="T307" s="49"/>
      <c r="U307" s="49"/>
      <c r="V307" s="3"/>
      <c r="W307" s="3"/>
      <c r="X307" s="3"/>
      <c r="Y307" s="2"/>
    </row>
    <row r="308" spans="1:25" ht="38.25" customHeight="1" x14ac:dyDescent="0.2">
      <c r="A308" s="9">
        <v>47</v>
      </c>
      <c r="B308" s="44">
        <f>'Adv Report'!A50</f>
        <v>0</v>
      </c>
      <c r="C308" s="9"/>
      <c r="D308" s="9"/>
      <c r="E308" s="9"/>
      <c r="F308" s="71">
        <f t="shared" si="17"/>
        <v>0</v>
      </c>
      <c r="G308" s="12">
        <f>'Adv Report'!F50</f>
        <v>0</v>
      </c>
      <c r="H308" s="12">
        <f>'Adv Report'!G50</f>
        <v>0</v>
      </c>
      <c r="I308" s="12">
        <f>'Adv Report'!H50</f>
        <v>0</v>
      </c>
      <c r="J308" s="71">
        <f t="shared" si="18"/>
        <v>0</v>
      </c>
      <c r="K308" s="12">
        <f>'Adv Report'!C50</f>
        <v>0</v>
      </c>
      <c r="L308" s="12">
        <f>'Adv Report'!D50</f>
        <v>0</v>
      </c>
      <c r="M308" s="12">
        <f>'Adv Report'!E50</f>
        <v>0</v>
      </c>
      <c r="N308" s="71">
        <f t="shared" si="19"/>
        <v>0</v>
      </c>
      <c r="O308" s="2"/>
      <c r="P308" s="2"/>
      <c r="Q308" s="1"/>
      <c r="R308" s="1"/>
      <c r="S308" s="46"/>
      <c r="T308" s="49"/>
      <c r="U308" s="49"/>
      <c r="V308" s="3"/>
      <c r="W308" s="3"/>
      <c r="X308" s="3"/>
      <c r="Y308" s="2"/>
    </row>
    <row r="309" spans="1:25" ht="38.25" customHeight="1" x14ac:dyDescent="0.2">
      <c r="A309" s="9">
        <v>48</v>
      </c>
      <c r="B309" s="44">
        <f>'Adv Report'!A51</f>
        <v>0</v>
      </c>
      <c r="C309" s="9"/>
      <c r="D309" s="9"/>
      <c r="E309" s="9"/>
      <c r="F309" s="71">
        <f t="shared" si="17"/>
        <v>0</v>
      </c>
      <c r="G309" s="12">
        <f>'Adv Report'!F51</f>
        <v>0</v>
      </c>
      <c r="H309" s="12">
        <f>'Adv Report'!G51</f>
        <v>0</v>
      </c>
      <c r="I309" s="12">
        <f>'Adv Report'!H51</f>
        <v>0</v>
      </c>
      <c r="J309" s="71">
        <f t="shared" si="18"/>
        <v>0</v>
      </c>
      <c r="K309" s="12">
        <f>'Adv Report'!C51</f>
        <v>0</v>
      </c>
      <c r="L309" s="12">
        <f>'Adv Report'!D51</f>
        <v>0</v>
      </c>
      <c r="M309" s="12">
        <f>'Adv Report'!E51</f>
        <v>0</v>
      </c>
      <c r="N309" s="71">
        <f t="shared" si="19"/>
        <v>0</v>
      </c>
      <c r="O309" s="2"/>
      <c r="P309" s="2"/>
      <c r="Q309" s="1"/>
      <c r="R309" s="1"/>
      <c r="S309" s="46"/>
      <c r="T309" s="49"/>
      <c r="U309" s="49"/>
      <c r="V309" s="3"/>
      <c r="W309" s="3"/>
      <c r="X309" s="3"/>
      <c r="Y309" s="2"/>
    </row>
    <row r="310" spans="1:25" ht="38.25" customHeight="1" x14ac:dyDescent="0.2">
      <c r="A310" s="9">
        <v>49</v>
      </c>
      <c r="B310" s="44">
        <f>'Adv Report'!A52</f>
        <v>0</v>
      </c>
      <c r="C310" s="9"/>
      <c r="D310" s="9"/>
      <c r="E310" s="9"/>
      <c r="F310" s="71">
        <f t="shared" si="17"/>
        <v>0</v>
      </c>
      <c r="G310" s="12">
        <f>'Adv Report'!F52</f>
        <v>0</v>
      </c>
      <c r="H310" s="12">
        <f>'Adv Report'!G52</f>
        <v>0</v>
      </c>
      <c r="I310" s="12">
        <f>'Adv Report'!H52</f>
        <v>0</v>
      </c>
      <c r="J310" s="71">
        <f t="shared" si="18"/>
        <v>0</v>
      </c>
      <c r="K310" s="12">
        <f>'Adv Report'!C52</f>
        <v>0</v>
      </c>
      <c r="L310" s="12">
        <f>'Adv Report'!D52</f>
        <v>0</v>
      </c>
      <c r="M310" s="12">
        <f>'Adv Report'!E52</f>
        <v>0</v>
      </c>
      <c r="N310" s="71">
        <f t="shared" si="19"/>
        <v>0</v>
      </c>
      <c r="O310" s="2"/>
      <c r="P310" s="2"/>
      <c r="Q310" s="1"/>
      <c r="R310" s="1"/>
      <c r="S310" s="46"/>
      <c r="T310" s="49"/>
      <c r="U310" s="49"/>
      <c r="V310" s="3"/>
      <c r="W310" s="3"/>
      <c r="X310" s="3"/>
      <c r="Y310" s="2"/>
    </row>
    <row r="311" spans="1:25" ht="38.25" customHeight="1" x14ac:dyDescent="0.2">
      <c r="A311" s="9">
        <v>50</v>
      </c>
      <c r="B311" s="44">
        <f>'Adv Report'!A53</f>
        <v>0</v>
      </c>
      <c r="C311" s="9"/>
      <c r="D311" s="9"/>
      <c r="E311" s="9"/>
      <c r="F311" s="71">
        <f t="shared" si="17"/>
        <v>0</v>
      </c>
      <c r="G311" s="12">
        <f>'Adv Report'!F53</f>
        <v>0</v>
      </c>
      <c r="H311" s="12">
        <f>'Adv Report'!G53</f>
        <v>0</v>
      </c>
      <c r="I311" s="12">
        <f>'Adv Report'!H53</f>
        <v>0</v>
      </c>
      <c r="J311" s="71">
        <f t="shared" si="18"/>
        <v>0</v>
      </c>
      <c r="K311" s="12">
        <f>'Adv Report'!C53</f>
        <v>0</v>
      </c>
      <c r="L311" s="12">
        <f>'Adv Report'!D53</f>
        <v>0</v>
      </c>
      <c r="M311" s="12">
        <f>'Adv Report'!E53</f>
        <v>0</v>
      </c>
      <c r="N311" s="71">
        <f t="shared" si="19"/>
        <v>0</v>
      </c>
      <c r="O311" s="2"/>
      <c r="P311" s="2"/>
      <c r="Q311" s="1"/>
      <c r="R311" s="1"/>
      <c r="S311" s="46"/>
      <c r="T311" s="49"/>
      <c r="U311" s="49"/>
      <c r="V311" s="3"/>
      <c r="W311" s="3"/>
      <c r="X311" s="3"/>
      <c r="Y311" s="2"/>
    </row>
    <row r="312" spans="1:25" ht="38.25" customHeight="1" x14ac:dyDescent="0.2">
      <c r="A312" s="9">
        <v>51</v>
      </c>
      <c r="B312" s="44">
        <f>'Adv Report'!A54</f>
        <v>0</v>
      </c>
      <c r="C312" s="9"/>
      <c r="D312" s="9"/>
      <c r="E312" s="9"/>
      <c r="F312" s="71">
        <f t="shared" si="17"/>
        <v>0</v>
      </c>
      <c r="G312" s="12">
        <f>'Adv Report'!F54</f>
        <v>0</v>
      </c>
      <c r="H312" s="12">
        <f>'Adv Report'!G54</f>
        <v>0</v>
      </c>
      <c r="I312" s="12">
        <f>'Adv Report'!H54</f>
        <v>0</v>
      </c>
      <c r="J312" s="71">
        <f t="shared" si="18"/>
        <v>0</v>
      </c>
      <c r="K312" s="12">
        <f>'Adv Report'!C54</f>
        <v>0</v>
      </c>
      <c r="L312" s="12">
        <f>'Adv Report'!D54</f>
        <v>0</v>
      </c>
      <c r="M312" s="12">
        <f>'Adv Report'!E54</f>
        <v>0</v>
      </c>
      <c r="N312" s="71">
        <f t="shared" si="19"/>
        <v>0</v>
      </c>
      <c r="O312" s="2"/>
      <c r="P312" s="2"/>
      <c r="Q312" s="1"/>
      <c r="R312" s="1"/>
      <c r="S312" s="46"/>
      <c r="T312" s="49"/>
      <c r="U312" s="49"/>
      <c r="V312" s="3"/>
      <c r="W312" s="3"/>
      <c r="X312" s="3"/>
      <c r="Y312" s="2"/>
    </row>
    <row r="313" spans="1:25" ht="38.25" customHeight="1" x14ac:dyDescent="0.2">
      <c r="A313" s="9">
        <v>52</v>
      </c>
      <c r="B313" s="44">
        <f>'Adv Report'!A55</f>
        <v>0</v>
      </c>
      <c r="C313" s="9"/>
      <c r="D313" s="9"/>
      <c r="E313" s="9"/>
      <c r="F313" s="71">
        <f t="shared" si="17"/>
        <v>0</v>
      </c>
      <c r="G313" s="12">
        <f>'Adv Report'!F55</f>
        <v>0</v>
      </c>
      <c r="H313" s="12">
        <f>'Adv Report'!G55</f>
        <v>0</v>
      </c>
      <c r="I313" s="12">
        <f>'Adv Report'!H55</f>
        <v>0</v>
      </c>
      <c r="J313" s="71">
        <f t="shared" si="18"/>
        <v>0</v>
      </c>
      <c r="K313" s="12">
        <f>'Adv Report'!C55</f>
        <v>0</v>
      </c>
      <c r="L313" s="12">
        <f>'Adv Report'!D55</f>
        <v>0</v>
      </c>
      <c r="M313" s="12">
        <f>'Adv Report'!E55</f>
        <v>0</v>
      </c>
      <c r="N313" s="71">
        <f t="shared" si="19"/>
        <v>0</v>
      </c>
      <c r="O313" s="2"/>
      <c r="P313" s="2"/>
      <c r="Q313" s="1"/>
      <c r="R313" s="1"/>
      <c r="S313" s="46"/>
      <c r="T313" s="49"/>
      <c r="U313" s="49"/>
      <c r="V313" s="3"/>
      <c r="W313" s="3"/>
      <c r="X313" s="3"/>
      <c r="Y313" s="2"/>
    </row>
    <row r="314" spans="1:25" ht="38.25" customHeight="1" x14ac:dyDescent="0.2">
      <c r="A314" s="9">
        <v>53</v>
      </c>
      <c r="B314" s="44">
        <f>'Adv Report'!A56</f>
        <v>0</v>
      </c>
      <c r="C314" s="9"/>
      <c r="D314" s="9"/>
      <c r="E314" s="9"/>
      <c r="F314" s="71">
        <f t="shared" si="17"/>
        <v>0</v>
      </c>
      <c r="G314" s="12">
        <f>'Adv Report'!F56</f>
        <v>0</v>
      </c>
      <c r="H314" s="12">
        <f>'Adv Report'!G56</f>
        <v>0</v>
      </c>
      <c r="I314" s="12">
        <f>'Adv Report'!H56</f>
        <v>0</v>
      </c>
      <c r="J314" s="71">
        <f t="shared" si="18"/>
        <v>0</v>
      </c>
      <c r="K314" s="12">
        <f>'Adv Report'!C56</f>
        <v>0</v>
      </c>
      <c r="L314" s="12">
        <f>'Adv Report'!D56</f>
        <v>0</v>
      </c>
      <c r="M314" s="12">
        <f>'Adv Report'!E56</f>
        <v>0</v>
      </c>
      <c r="N314" s="71">
        <f t="shared" si="19"/>
        <v>0</v>
      </c>
      <c r="O314" s="2"/>
      <c r="P314" s="2"/>
      <c r="Q314" s="1"/>
      <c r="R314" s="1"/>
      <c r="S314" s="46"/>
      <c r="T314" s="49"/>
      <c r="U314" s="49"/>
      <c r="V314" s="3"/>
      <c r="W314" s="3"/>
      <c r="X314" s="3"/>
      <c r="Y314" s="2"/>
    </row>
    <row r="315" spans="1:25" ht="38.25" customHeight="1" x14ac:dyDescent="0.2">
      <c r="A315" s="9">
        <v>54</v>
      </c>
      <c r="B315" s="44">
        <f>'Adv Report'!A57</f>
        <v>0</v>
      </c>
      <c r="C315" s="9"/>
      <c r="D315" s="9"/>
      <c r="E315" s="9"/>
      <c r="F315" s="71">
        <f t="shared" si="17"/>
        <v>0</v>
      </c>
      <c r="G315" s="12">
        <f>'Adv Report'!F57</f>
        <v>0</v>
      </c>
      <c r="H315" s="12">
        <f>'Adv Report'!G57</f>
        <v>0</v>
      </c>
      <c r="I315" s="12">
        <f>'Adv Report'!H57</f>
        <v>0</v>
      </c>
      <c r="J315" s="71">
        <f t="shared" si="18"/>
        <v>0</v>
      </c>
      <c r="K315" s="12">
        <f>'Adv Report'!C57</f>
        <v>0</v>
      </c>
      <c r="L315" s="12">
        <f>'Adv Report'!D57</f>
        <v>0</v>
      </c>
      <c r="M315" s="12">
        <f>'Adv Report'!E57</f>
        <v>0</v>
      </c>
      <c r="N315" s="71">
        <f t="shared" si="19"/>
        <v>0</v>
      </c>
      <c r="O315" s="2"/>
      <c r="P315" s="2"/>
      <c r="Q315" s="1"/>
      <c r="R315" s="1"/>
      <c r="S315" s="46"/>
      <c r="T315" s="49"/>
      <c r="U315" s="49"/>
      <c r="V315" s="3"/>
      <c r="W315" s="3"/>
      <c r="X315" s="3"/>
      <c r="Y315" s="2"/>
    </row>
    <row r="316" spans="1:25" ht="38.25" customHeight="1" x14ac:dyDescent="0.2">
      <c r="A316" s="9">
        <v>55</v>
      </c>
      <c r="B316" s="44">
        <f>'Adv Report'!A58</f>
        <v>0</v>
      </c>
      <c r="C316" s="9"/>
      <c r="D316" s="9"/>
      <c r="E316" s="9"/>
      <c r="F316" s="71">
        <f t="shared" si="17"/>
        <v>0</v>
      </c>
      <c r="G316" s="12">
        <f>'Adv Report'!F58</f>
        <v>0</v>
      </c>
      <c r="H316" s="12">
        <f>'Adv Report'!G58</f>
        <v>0</v>
      </c>
      <c r="I316" s="12">
        <f>'Adv Report'!H58</f>
        <v>0</v>
      </c>
      <c r="J316" s="71">
        <f t="shared" si="18"/>
        <v>0</v>
      </c>
      <c r="K316" s="12">
        <f>'Adv Report'!C58</f>
        <v>0</v>
      </c>
      <c r="L316" s="12">
        <f>'Adv Report'!D58</f>
        <v>0</v>
      </c>
      <c r="M316" s="12">
        <f>'Adv Report'!E58</f>
        <v>0</v>
      </c>
      <c r="N316" s="71">
        <f t="shared" si="19"/>
        <v>0</v>
      </c>
      <c r="O316" s="2"/>
      <c r="P316" s="2"/>
      <c r="Q316" s="1"/>
      <c r="R316" s="1"/>
      <c r="S316" s="46"/>
      <c r="T316" s="49"/>
      <c r="U316" s="49"/>
      <c r="V316" s="3"/>
      <c r="W316" s="3"/>
      <c r="X316" s="3"/>
      <c r="Y316" s="2"/>
    </row>
    <row r="317" spans="1:25" ht="38.25" customHeight="1" x14ac:dyDescent="0.2">
      <c r="A317" s="9">
        <v>56</v>
      </c>
      <c r="B317" s="44">
        <f>'Adv Report'!A59</f>
        <v>0</v>
      </c>
      <c r="C317" s="9"/>
      <c r="D317" s="9"/>
      <c r="E317" s="9"/>
      <c r="F317" s="71">
        <f t="shared" si="17"/>
        <v>0</v>
      </c>
      <c r="G317" s="12">
        <f>'Adv Report'!F59</f>
        <v>0</v>
      </c>
      <c r="H317" s="12">
        <f>'Adv Report'!G59</f>
        <v>0</v>
      </c>
      <c r="I317" s="12">
        <f>'Adv Report'!H59</f>
        <v>0</v>
      </c>
      <c r="J317" s="71">
        <f t="shared" si="18"/>
        <v>0</v>
      </c>
      <c r="K317" s="12">
        <f>'Adv Report'!C59</f>
        <v>0</v>
      </c>
      <c r="L317" s="12">
        <f>'Adv Report'!D59</f>
        <v>0</v>
      </c>
      <c r="M317" s="12">
        <f>'Adv Report'!E59</f>
        <v>0</v>
      </c>
      <c r="N317" s="71">
        <f t="shared" si="19"/>
        <v>0</v>
      </c>
      <c r="O317" s="2"/>
      <c r="P317" s="2"/>
      <c r="Q317" s="1"/>
      <c r="R317" s="1"/>
      <c r="S317" s="46"/>
      <c r="T317" s="49"/>
      <c r="U317" s="49"/>
      <c r="V317" s="3"/>
      <c r="W317" s="3"/>
      <c r="X317" s="3"/>
      <c r="Y317" s="2"/>
    </row>
    <row r="318" spans="1:25" ht="38.25" customHeight="1" x14ac:dyDescent="0.2">
      <c r="A318" s="9">
        <v>57</v>
      </c>
      <c r="B318" s="44">
        <f>'Adv Report'!A60</f>
        <v>0</v>
      </c>
      <c r="C318" s="9"/>
      <c r="D318" s="9"/>
      <c r="E318" s="9"/>
      <c r="F318" s="71">
        <f t="shared" si="17"/>
        <v>0</v>
      </c>
      <c r="G318" s="12">
        <f>'Adv Report'!F60</f>
        <v>0</v>
      </c>
      <c r="H318" s="12">
        <f>'Adv Report'!G60</f>
        <v>0</v>
      </c>
      <c r="I318" s="12">
        <f>'Adv Report'!H60</f>
        <v>0</v>
      </c>
      <c r="J318" s="71">
        <f t="shared" si="18"/>
        <v>0</v>
      </c>
      <c r="K318" s="12">
        <f>'Adv Report'!C60</f>
        <v>0</v>
      </c>
      <c r="L318" s="12">
        <f>'Adv Report'!D60</f>
        <v>0</v>
      </c>
      <c r="M318" s="12">
        <f>'Adv Report'!E60</f>
        <v>0</v>
      </c>
      <c r="N318" s="71">
        <f t="shared" si="19"/>
        <v>0</v>
      </c>
      <c r="O318" s="2"/>
      <c r="P318" s="2"/>
      <c r="Q318" s="1"/>
      <c r="R318" s="1"/>
      <c r="S318" s="46"/>
      <c r="T318" s="49"/>
      <c r="U318" s="49"/>
      <c r="V318" s="3"/>
      <c r="W318" s="3"/>
      <c r="X318" s="3"/>
      <c r="Y318" s="2"/>
    </row>
    <row r="319" spans="1:25" ht="38.25" customHeight="1" x14ac:dyDescent="0.2">
      <c r="A319" s="9">
        <v>58</v>
      </c>
      <c r="B319" s="44">
        <f>'Adv Report'!A61</f>
        <v>0</v>
      </c>
      <c r="C319" s="9"/>
      <c r="D319" s="9"/>
      <c r="E319" s="9"/>
      <c r="F319" s="71">
        <f t="shared" si="17"/>
        <v>0</v>
      </c>
      <c r="G319" s="12">
        <f>'Adv Report'!F61</f>
        <v>0</v>
      </c>
      <c r="H319" s="12">
        <f>'Adv Report'!G61</f>
        <v>0</v>
      </c>
      <c r="I319" s="12">
        <f>'Adv Report'!H61</f>
        <v>0</v>
      </c>
      <c r="J319" s="71">
        <f t="shared" si="18"/>
        <v>0</v>
      </c>
      <c r="K319" s="12">
        <f>'Adv Report'!C61</f>
        <v>0</v>
      </c>
      <c r="L319" s="12">
        <f>'Adv Report'!D61</f>
        <v>0</v>
      </c>
      <c r="M319" s="12">
        <f>'Adv Report'!E61</f>
        <v>0</v>
      </c>
      <c r="N319" s="71">
        <f t="shared" si="19"/>
        <v>0</v>
      </c>
      <c r="O319" s="2"/>
      <c r="P319" s="2"/>
      <c r="Q319" s="1"/>
      <c r="R319" s="1"/>
      <c r="S319" s="46"/>
      <c r="T319" s="49"/>
      <c r="U319" s="49"/>
      <c r="V319" s="3"/>
      <c r="W319" s="3"/>
      <c r="X319" s="3"/>
      <c r="Y319" s="2"/>
    </row>
    <row r="320" spans="1:25" ht="38.25" customHeight="1" x14ac:dyDescent="0.2">
      <c r="A320" s="9">
        <v>59</v>
      </c>
      <c r="B320" s="44">
        <f>'Adv Report'!A62</f>
        <v>0</v>
      </c>
      <c r="C320" s="9"/>
      <c r="D320" s="9"/>
      <c r="E320" s="9"/>
      <c r="F320" s="71">
        <f t="shared" si="17"/>
        <v>0</v>
      </c>
      <c r="G320" s="12">
        <f>'Adv Report'!F62</f>
        <v>0</v>
      </c>
      <c r="H320" s="12">
        <f>'Adv Report'!G62</f>
        <v>0</v>
      </c>
      <c r="I320" s="12">
        <f>'Adv Report'!H62</f>
        <v>0</v>
      </c>
      <c r="J320" s="71">
        <f t="shared" si="18"/>
        <v>0</v>
      </c>
      <c r="K320" s="12">
        <f>'Adv Report'!C62</f>
        <v>0</v>
      </c>
      <c r="L320" s="12">
        <f>'Adv Report'!D62</f>
        <v>0</v>
      </c>
      <c r="M320" s="12">
        <f>'Adv Report'!E62</f>
        <v>0</v>
      </c>
      <c r="N320" s="71">
        <f t="shared" si="19"/>
        <v>0</v>
      </c>
      <c r="O320" s="2"/>
      <c r="P320" s="2"/>
      <c r="Q320" s="1"/>
      <c r="R320" s="1"/>
      <c r="S320" s="46"/>
      <c r="T320" s="49"/>
      <c r="U320" s="49"/>
      <c r="V320" s="3"/>
      <c r="W320" s="3"/>
      <c r="X320" s="3"/>
      <c r="Y320" s="2"/>
    </row>
    <row r="321" spans="1:25" ht="38.25" customHeight="1" x14ac:dyDescent="0.2">
      <c r="A321" s="9">
        <v>60</v>
      </c>
      <c r="B321" s="44">
        <f>'Adv Report'!A63</f>
        <v>0</v>
      </c>
      <c r="C321" s="9"/>
      <c r="D321" s="9"/>
      <c r="E321" s="9"/>
      <c r="F321" s="71">
        <f t="shared" si="17"/>
        <v>0</v>
      </c>
      <c r="G321" s="12">
        <f>'Adv Report'!F63</f>
        <v>0</v>
      </c>
      <c r="H321" s="12">
        <f>'Adv Report'!G63</f>
        <v>0</v>
      </c>
      <c r="I321" s="12">
        <f>'Adv Report'!H63</f>
        <v>0</v>
      </c>
      <c r="J321" s="71">
        <f t="shared" si="18"/>
        <v>0</v>
      </c>
      <c r="K321" s="12">
        <f>'Adv Report'!C63</f>
        <v>0</v>
      </c>
      <c r="L321" s="12">
        <f>'Adv Report'!D63</f>
        <v>0</v>
      </c>
      <c r="M321" s="12">
        <f>'Adv Report'!E63</f>
        <v>0</v>
      </c>
      <c r="N321" s="71">
        <f t="shared" si="19"/>
        <v>0</v>
      </c>
      <c r="O321" s="2"/>
      <c r="P321" s="2"/>
      <c r="Q321" s="1"/>
      <c r="R321" s="1"/>
      <c r="S321" s="46"/>
      <c r="T321" s="49"/>
      <c r="U321" s="49"/>
      <c r="V321" s="3"/>
      <c r="W321" s="3"/>
      <c r="X321" s="3"/>
      <c r="Y321" s="2"/>
    </row>
    <row r="322" spans="1:25" ht="38.25" customHeight="1" x14ac:dyDescent="0.2">
      <c r="A322" s="9">
        <v>61</v>
      </c>
      <c r="B322" s="44">
        <f>'Adv Report'!A64</f>
        <v>0</v>
      </c>
      <c r="C322" s="9"/>
      <c r="D322" s="9"/>
      <c r="E322" s="9"/>
      <c r="F322" s="71">
        <f t="shared" si="17"/>
        <v>0</v>
      </c>
      <c r="G322" s="12">
        <f>'Adv Report'!F64</f>
        <v>0</v>
      </c>
      <c r="H322" s="12">
        <f>'Adv Report'!G64</f>
        <v>0</v>
      </c>
      <c r="I322" s="12">
        <f>'Adv Report'!H64</f>
        <v>0</v>
      </c>
      <c r="J322" s="71">
        <f t="shared" si="18"/>
        <v>0</v>
      </c>
      <c r="K322" s="12">
        <f>'Adv Report'!C64</f>
        <v>0</v>
      </c>
      <c r="L322" s="12">
        <f>'Adv Report'!D64</f>
        <v>0</v>
      </c>
      <c r="M322" s="12">
        <f>'Adv Report'!E64</f>
        <v>0</v>
      </c>
      <c r="N322" s="71">
        <f t="shared" si="19"/>
        <v>0</v>
      </c>
      <c r="O322" s="2"/>
      <c r="P322" s="2"/>
      <c r="Q322" s="1"/>
      <c r="R322" s="1"/>
      <c r="S322" s="46"/>
      <c r="T322" s="49"/>
      <c r="U322" s="49"/>
      <c r="V322" s="3"/>
      <c r="W322" s="3"/>
      <c r="X322" s="3"/>
      <c r="Y322" s="2"/>
    </row>
    <row r="323" spans="1:25" ht="38.25" customHeight="1" x14ac:dyDescent="0.2">
      <c r="A323" s="9">
        <v>62</v>
      </c>
      <c r="B323" s="44">
        <f>'Adv Report'!A65</f>
        <v>0</v>
      </c>
      <c r="C323" s="9"/>
      <c r="D323" s="9"/>
      <c r="E323" s="9"/>
      <c r="F323" s="71">
        <f t="shared" si="17"/>
        <v>0</v>
      </c>
      <c r="G323" s="12">
        <f>'Adv Report'!F65</f>
        <v>0</v>
      </c>
      <c r="H323" s="12">
        <f>'Adv Report'!G65</f>
        <v>0</v>
      </c>
      <c r="I323" s="12">
        <f>'Adv Report'!H65</f>
        <v>0</v>
      </c>
      <c r="J323" s="71">
        <f t="shared" si="18"/>
        <v>0</v>
      </c>
      <c r="K323" s="12">
        <f>'Adv Report'!C65</f>
        <v>0</v>
      </c>
      <c r="L323" s="12">
        <f>'Adv Report'!D65</f>
        <v>0</v>
      </c>
      <c r="M323" s="12">
        <f>'Adv Report'!E65</f>
        <v>0</v>
      </c>
      <c r="N323" s="71">
        <f t="shared" si="19"/>
        <v>0</v>
      </c>
      <c r="O323" s="2"/>
      <c r="P323" s="2"/>
      <c r="Q323" s="1"/>
      <c r="R323" s="1"/>
      <c r="S323" s="46"/>
      <c r="T323" s="49"/>
      <c r="U323" s="49"/>
      <c r="V323" s="3"/>
      <c r="W323" s="3"/>
      <c r="X323" s="3"/>
      <c r="Y323" s="2"/>
    </row>
    <row r="324" spans="1:25" ht="38.25" customHeight="1" x14ac:dyDescent="0.2">
      <c r="A324" s="9">
        <v>63</v>
      </c>
      <c r="B324" s="44">
        <f>'Adv Report'!A66</f>
        <v>0</v>
      </c>
      <c r="C324" s="9"/>
      <c r="D324" s="9"/>
      <c r="E324" s="9"/>
      <c r="F324" s="71">
        <f t="shared" si="17"/>
        <v>0</v>
      </c>
      <c r="G324" s="12">
        <f>'Adv Report'!F66</f>
        <v>0</v>
      </c>
      <c r="H324" s="12">
        <f>'Adv Report'!G66</f>
        <v>0</v>
      </c>
      <c r="I324" s="12">
        <f>'Adv Report'!H66</f>
        <v>0</v>
      </c>
      <c r="J324" s="71">
        <f t="shared" si="18"/>
        <v>0</v>
      </c>
      <c r="K324" s="12">
        <f>'Adv Report'!C66</f>
        <v>0</v>
      </c>
      <c r="L324" s="12">
        <f>'Adv Report'!D66</f>
        <v>0</v>
      </c>
      <c r="M324" s="12">
        <f>'Adv Report'!E66</f>
        <v>0</v>
      </c>
      <c r="N324" s="71">
        <f t="shared" si="19"/>
        <v>0</v>
      </c>
      <c r="O324" s="2"/>
      <c r="P324" s="2"/>
      <c r="Q324" s="1"/>
      <c r="R324" s="1"/>
      <c r="S324" s="46"/>
      <c r="T324" s="49"/>
      <c r="U324" s="49"/>
      <c r="V324" s="3"/>
      <c r="W324" s="3"/>
      <c r="X324" s="3"/>
      <c r="Y324" s="2"/>
    </row>
    <row r="325" spans="1:25" ht="38.25" customHeight="1" x14ac:dyDescent="0.2">
      <c r="A325" s="9">
        <v>64</v>
      </c>
      <c r="B325" s="44">
        <f>'Adv Report'!A67</f>
        <v>0</v>
      </c>
      <c r="C325" s="9"/>
      <c r="D325" s="9"/>
      <c r="E325" s="9"/>
      <c r="F325" s="71">
        <f t="shared" si="17"/>
        <v>0</v>
      </c>
      <c r="G325" s="12">
        <f>'Adv Report'!F67</f>
        <v>0</v>
      </c>
      <c r="H325" s="12">
        <f>'Adv Report'!G67</f>
        <v>0</v>
      </c>
      <c r="I325" s="12">
        <f>'Adv Report'!H67</f>
        <v>0</v>
      </c>
      <c r="J325" s="71">
        <f t="shared" si="18"/>
        <v>0</v>
      </c>
      <c r="K325" s="12">
        <f>'Adv Report'!C67</f>
        <v>0</v>
      </c>
      <c r="L325" s="12">
        <f>'Adv Report'!D67</f>
        <v>0</v>
      </c>
      <c r="M325" s="12">
        <f>'Adv Report'!E67</f>
        <v>0</v>
      </c>
      <c r="N325" s="71">
        <f t="shared" si="19"/>
        <v>0</v>
      </c>
      <c r="O325" s="2"/>
      <c r="P325" s="2"/>
      <c r="Q325" s="1"/>
      <c r="R325" s="1"/>
      <c r="S325" s="46"/>
      <c r="T325" s="49"/>
      <c r="U325" s="49"/>
      <c r="V325" s="3"/>
      <c r="W325" s="3"/>
      <c r="X325" s="3"/>
      <c r="Y325" s="2"/>
    </row>
    <row r="326" spans="1:25" ht="38.25" customHeight="1" x14ac:dyDescent="0.2">
      <c r="A326" s="9">
        <v>65</v>
      </c>
      <c r="B326" s="44">
        <f>'Adv Report'!A68</f>
        <v>0</v>
      </c>
      <c r="C326" s="9"/>
      <c r="D326" s="9"/>
      <c r="E326" s="9"/>
      <c r="F326" s="71">
        <f t="shared" si="17"/>
        <v>0</v>
      </c>
      <c r="G326" s="12">
        <f>'Adv Report'!F68</f>
        <v>0</v>
      </c>
      <c r="H326" s="12">
        <f>'Adv Report'!G68</f>
        <v>0</v>
      </c>
      <c r="I326" s="12">
        <f>'Adv Report'!H68</f>
        <v>0</v>
      </c>
      <c r="J326" s="71">
        <f t="shared" si="18"/>
        <v>0</v>
      </c>
      <c r="K326" s="12">
        <f>'Adv Report'!C68</f>
        <v>0</v>
      </c>
      <c r="L326" s="12">
        <f>'Adv Report'!D68</f>
        <v>0</v>
      </c>
      <c r="M326" s="12">
        <f>'Adv Report'!E68</f>
        <v>0</v>
      </c>
      <c r="N326" s="71">
        <f t="shared" si="19"/>
        <v>0</v>
      </c>
      <c r="O326" s="2"/>
      <c r="P326" s="2"/>
      <c r="Q326" s="1"/>
      <c r="R326" s="1"/>
      <c r="S326" s="46"/>
      <c r="T326" s="49"/>
      <c r="U326" s="49"/>
      <c r="V326" s="3"/>
      <c r="W326" s="3"/>
      <c r="X326" s="3"/>
      <c r="Y326" s="2"/>
    </row>
    <row r="327" spans="1:25" ht="38.25" customHeight="1" x14ac:dyDescent="0.2">
      <c r="A327" s="9">
        <v>66</v>
      </c>
      <c r="B327" s="44">
        <f>'Adv Report'!A69</f>
        <v>0</v>
      </c>
      <c r="C327" s="9"/>
      <c r="D327" s="9"/>
      <c r="E327" s="9"/>
      <c r="F327" s="71">
        <f t="shared" si="17"/>
        <v>0</v>
      </c>
      <c r="G327" s="12">
        <f>'Adv Report'!F69</f>
        <v>0</v>
      </c>
      <c r="H327" s="12">
        <f>'Adv Report'!G69</f>
        <v>0</v>
      </c>
      <c r="I327" s="12">
        <f>'Adv Report'!H69</f>
        <v>0</v>
      </c>
      <c r="J327" s="71">
        <f t="shared" si="18"/>
        <v>0</v>
      </c>
      <c r="K327" s="12">
        <f>'Adv Report'!C69</f>
        <v>0</v>
      </c>
      <c r="L327" s="12">
        <f>'Adv Report'!D69</f>
        <v>0</v>
      </c>
      <c r="M327" s="12">
        <f>'Adv Report'!E69</f>
        <v>0</v>
      </c>
      <c r="N327" s="71">
        <f t="shared" si="19"/>
        <v>0</v>
      </c>
      <c r="O327" s="2"/>
      <c r="P327" s="2"/>
      <c r="Q327" s="1"/>
      <c r="R327" s="1"/>
      <c r="S327" s="46"/>
      <c r="T327" s="49"/>
      <c r="U327" s="49"/>
      <c r="V327" s="3"/>
      <c r="W327" s="3"/>
      <c r="X327" s="3"/>
      <c r="Y327" s="2"/>
    </row>
    <row r="328" spans="1:25" ht="38.25" customHeight="1" x14ac:dyDescent="0.2">
      <c r="A328" s="9">
        <v>67</v>
      </c>
      <c r="B328" s="44">
        <f>'Adv Report'!A70</f>
        <v>0</v>
      </c>
      <c r="C328" s="9"/>
      <c r="D328" s="9"/>
      <c r="E328" s="9"/>
      <c r="F328" s="71">
        <f t="shared" si="17"/>
        <v>0</v>
      </c>
      <c r="G328" s="12">
        <f>'Adv Report'!F70</f>
        <v>0</v>
      </c>
      <c r="H328" s="12">
        <f>'Adv Report'!G70</f>
        <v>0</v>
      </c>
      <c r="I328" s="12">
        <f>'Adv Report'!H70</f>
        <v>0</v>
      </c>
      <c r="J328" s="71">
        <f t="shared" si="18"/>
        <v>0</v>
      </c>
      <c r="K328" s="12">
        <f>'Adv Report'!C70</f>
        <v>0</v>
      </c>
      <c r="L328" s="12">
        <f>'Adv Report'!D70</f>
        <v>0</v>
      </c>
      <c r="M328" s="12">
        <f>'Adv Report'!E70</f>
        <v>0</v>
      </c>
      <c r="N328" s="71">
        <f t="shared" si="19"/>
        <v>0</v>
      </c>
      <c r="O328" s="2"/>
      <c r="P328" s="2"/>
      <c r="Q328" s="1"/>
      <c r="R328" s="1"/>
      <c r="S328" s="46"/>
      <c r="T328" s="49"/>
      <c r="U328" s="49"/>
      <c r="V328" s="3"/>
      <c r="W328" s="3"/>
      <c r="X328" s="3"/>
      <c r="Y328" s="2"/>
    </row>
    <row r="329" spans="1:25" ht="38.25" customHeight="1" x14ac:dyDescent="0.2">
      <c r="A329" s="9">
        <v>68</v>
      </c>
      <c r="B329" s="44">
        <f>'Adv Report'!A71</f>
        <v>0</v>
      </c>
      <c r="C329" s="9"/>
      <c r="D329" s="9"/>
      <c r="E329" s="9"/>
      <c r="F329" s="71">
        <f t="shared" si="17"/>
        <v>0</v>
      </c>
      <c r="G329" s="12">
        <f>'Adv Report'!F71</f>
        <v>0</v>
      </c>
      <c r="H329" s="12">
        <f>'Adv Report'!G71</f>
        <v>0</v>
      </c>
      <c r="I329" s="12">
        <f>'Adv Report'!H71</f>
        <v>0</v>
      </c>
      <c r="J329" s="71">
        <f t="shared" si="18"/>
        <v>0</v>
      </c>
      <c r="K329" s="12">
        <f>'Adv Report'!C71</f>
        <v>0</v>
      </c>
      <c r="L329" s="12">
        <f>'Adv Report'!D71</f>
        <v>0</v>
      </c>
      <c r="M329" s="12">
        <f>'Adv Report'!E71</f>
        <v>0</v>
      </c>
      <c r="N329" s="71">
        <f t="shared" si="19"/>
        <v>0</v>
      </c>
      <c r="O329" s="2"/>
      <c r="P329" s="2"/>
      <c r="Q329" s="1"/>
      <c r="R329" s="1"/>
      <c r="S329" s="46"/>
      <c r="T329" s="49"/>
      <c r="U329" s="49"/>
      <c r="V329" s="3"/>
      <c r="W329" s="3"/>
      <c r="X329" s="3"/>
      <c r="Y329" s="2"/>
    </row>
    <row r="330" spans="1:25" ht="38.25" customHeight="1" x14ac:dyDescent="0.2">
      <c r="A330" s="9">
        <v>69</v>
      </c>
      <c r="B330" s="44">
        <f>'Adv Report'!A72</f>
        <v>0</v>
      </c>
      <c r="C330" s="9"/>
      <c r="D330" s="9"/>
      <c r="E330" s="9"/>
      <c r="F330" s="71">
        <f t="shared" si="17"/>
        <v>0</v>
      </c>
      <c r="G330" s="12">
        <f>'Adv Report'!F72</f>
        <v>0</v>
      </c>
      <c r="H330" s="12">
        <f>'Adv Report'!G72</f>
        <v>0</v>
      </c>
      <c r="I330" s="12">
        <f>'Adv Report'!H72</f>
        <v>0</v>
      </c>
      <c r="J330" s="71">
        <f t="shared" si="18"/>
        <v>0</v>
      </c>
      <c r="K330" s="12">
        <f>'Adv Report'!C72</f>
        <v>0</v>
      </c>
      <c r="L330" s="12">
        <f>'Adv Report'!D72</f>
        <v>0</v>
      </c>
      <c r="M330" s="12">
        <f>'Adv Report'!E72</f>
        <v>0</v>
      </c>
      <c r="N330" s="71">
        <f t="shared" si="19"/>
        <v>0</v>
      </c>
      <c r="O330" s="2"/>
      <c r="P330" s="2"/>
      <c r="Q330" s="1"/>
      <c r="R330" s="1"/>
      <c r="S330" s="46"/>
      <c r="T330" s="49"/>
      <c r="U330" s="49"/>
      <c r="V330" s="3"/>
      <c r="W330" s="3"/>
      <c r="X330" s="3"/>
      <c r="Y330" s="2"/>
    </row>
    <row r="331" spans="1:25" ht="38.25" customHeight="1" x14ac:dyDescent="0.2">
      <c r="A331" s="423" t="s">
        <v>143</v>
      </c>
      <c r="B331" s="424"/>
      <c r="C331" s="424"/>
      <c r="D331" s="424"/>
      <c r="E331" s="424"/>
      <c r="F331" s="424"/>
      <c r="G331" s="424"/>
      <c r="H331" s="424"/>
      <c r="I331" s="424"/>
      <c r="J331" s="424"/>
      <c r="K331" s="424"/>
      <c r="L331" s="424"/>
      <c r="M331" s="424"/>
      <c r="N331" s="425"/>
      <c r="O331" s="2"/>
      <c r="P331" s="2"/>
      <c r="Q331" s="1"/>
      <c r="R331" s="1"/>
      <c r="S331" s="46"/>
      <c r="T331" s="49"/>
      <c r="U331" s="49"/>
      <c r="V331" s="3"/>
      <c r="W331" s="3"/>
      <c r="X331" s="3"/>
      <c r="Y331" s="2"/>
    </row>
    <row r="332" spans="1:25" ht="38.25" customHeight="1" x14ac:dyDescent="0.2">
      <c r="A332" s="9">
        <v>70</v>
      </c>
      <c r="B332" s="44" t="str">
        <f>'Adv Report'!O4</f>
        <v>0005</v>
      </c>
      <c r="C332" s="9" t="s">
        <v>920</v>
      </c>
      <c r="D332" s="9" t="s">
        <v>525</v>
      </c>
      <c r="E332" s="9" t="s">
        <v>416</v>
      </c>
      <c r="F332" s="71">
        <f t="shared" si="17"/>
        <v>7</v>
      </c>
      <c r="G332" s="12">
        <f>'Adv Report'!T4</f>
        <v>4</v>
      </c>
      <c r="H332" s="12">
        <f>'Adv Report'!U4</f>
        <v>0</v>
      </c>
      <c r="I332" s="12">
        <f>'Adv Report'!V4</f>
        <v>3</v>
      </c>
      <c r="J332" s="71">
        <f t="shared" si="18"/>
        <v>7</v>
      </c>
      <c r="K332" s="12">
        <f>'Adv Report'!Q4</f>
        <v>0</v>
      </c>
      <c r="L332" s="12">
        <f>'Adv Report'!R4</f>
        <v>0</v>
      </c>
      <c r="M332" s="12">
        <f>'Adv Report'!S4</f>
        <v>0</v>
      </c>
      <c r="N332" s="71">
        <f t="shared" si="19"/>
        <v>0</v>
      </c>
      <c r="O332" s="82"/>
      <c r="P332" s="82"/>
      <c r="Q332" s="1"/>
      <c r="R332" s="1"/>
      <c r="S332" s="46"/>
      <c r="T332" s="49"/>
      <c r="U332" s="49"/>
      <c r="V332" s="3"/>
      <c r="W332" s="3"/>
      <c r="X332" s="3"/>
      <c r="Y332" s="2"/>
    </row>
    <row r="333" spans="1:25" ht="38.25" customHeight="1" x14ac:dyDescent="0.2">
      <c r="A333" s="9">
        <v>71</v>
      </c>
      <c r="B333" s="44" t="str">
        <f>'Adv Report'!O5</f>
        <v>0648</v>
      </c>
      <c r="C333" s="9" t="s">
        <v>921</v>
      </c>
      <c r="D333" s="9" t="s">
        <v>484</v>
      </c>
      <c r="E333" s="9" t="s">
        <v>410</v>
      </c>
      <c r="F333" s="71">
        <f t="shared" si="17"/>
        <v>1</v>
      </c>
      <c r="G333" s="12">
        <f>'Adv Report'!T5</f>
        <v>0</v>
      </c>
      <c r="H333" s="12">
        <f>'Adv Report'!U5</f>
        <v>0</v>
      </c>
      <c r="I333" s="12">
        <f>'Adv Report'!V5</f>
        <v>1</v>
      </c>
      <c r="J333" s="71">
        <f t="shared" si="18"/>
        <v>1</v>
      </c>
      <c r="K333" s="12">
        <f>'Adv Report'!Q5</f>
        <v>0</v>
      </c>
      <c r="L333" s="12">
        <f>'Adv Report'!R5</f>
        <v>0</v>
      </c>
      <c r="M333" s="12">
        <f>'Adv Report'!S5</f>
        <v>0</v>
      </c>
      <c r="N333" s="71">
        <f t="shared" si="19"/>
        <v>0</v>
      </c>
      <c r="O333" s="82"/>
      <c r="P333" s="82"/>
      <c r="Q333" s="1"/>
      <c r="R333" s="1"/>
      <c r="S333" s="46"/>
      <c r="T333" s="49"/>
      <c r="U333" s="49"/>
      <c r="V333" s="3"/>
      <c r="W333" s="3"/>
      <c r="X333" s="3"/>
      <c r="Y333" s="2"/>
    </row>
    <row r="334" spans="1:25" ht="38.25" customHeight="1" x14ac:dyDescent="0.2">
      <c r="A334" s="9">
        <v>72</v>
      </c>
      <c r="B334" s="44" t="str">
        <f>'Adv Report'!O6</f>
        <v>0131</v>
      </c>
      <c r="C334" s="9" t="s">
        <v>922</v>
      </c>
      <c r="D334" s="9" t="s">
        <v>549</v>
      </c>
      <c r="E334" s="9" t="s">
        <v>412</v>
      </c>
      <c r="F334" s="71">
        <f t="shared" si="17"/>
        <v>1</v>
      </c>
      <c r="G334" s="12">
        <f>'Adv Report'!T6</f>
        <v>1</v>
      </c>
      <c r="H334" s="12">
        <f>'Adv Report'!U6</f>
        <v>0</v>
      </c>
      <c r="I334" s="12">
        <f>'Adv Report'!V6</f>
        <v>0</v>
      </c>
      <c r="J334" s="71">
        <f t="shared" si="18"/>
        <v>1</v>
      </c>
      <c r="K334" s="12">
        <f>'Adv Report'!Q6</f>
        <v>0</v>
      </c>
      <c r="L334" s="12">
        <f>'Adv Report'!R6</f>
        <v>0</v>
      </c>
      <c r="M334" s="12">
        <f>'Adv Report'!S6</f>
        <v>0</v>
      </c>
      <c r="N334" s="71">
        <f t="shared" si="19"/>
        <v>0</v>
      </c>
      <c r="O334" s="82"/>
      <c r="P334" s="82"/>
      <c r="Q334" s="1"/>
      <c r="R334" s="1"/>
      <c r="S334" s="46"/>
      <c r="T334" s="49"/>
      <c r="U334" s="49"/>
      <c r="V334" s="3"/>
      <c r="W334" s="3"/>
      <c r="X334" s="3"/>
      <c r="Y334" s="2"/>
    </row>
    <row r="335" spans="1:25" ht="38.25" customHeight="1" x14ac:dyDescent="0.2">
      <c r="A335" s="9">
        <v>73</v>
      </c>
      <c r="B335" s="44" t="str">
        <f>'Adv Report'!O7</f>
        <v>0584</v>
      </c>
      <c r="C335" s="9" t="s">
        <v>923</v>
      </c>
      <c r="D335" s="9" t="s">
        <v>451</v>
      </c>
      <c r="E335" s="9" t="s">
        <v>399</v>
      </c>
      <c r="F335" s="71">
        <f t="shared" si="17"/>
        <v>8</v>
      </c>
      <c r="G335" s="12">
        <f>'Adv Report'!T7</f>
        <v>2</v>
      </c>
      <c r="H335" s="12">
        <f>'Adv Report'!U7</f>
        <v>0</v>
      </c>
      <c r="I335" s="12">
        <f>'Adv Report'!V7</f>
        <v>4</v>
      </c>
      <c r="J335" s="71">
        <f t="shared" si="18"/>
        <v>6</v>
      </c>
      <c r="K335" s="12">
        <f>'Adv Report'!Q7</f>
        <v>2</v>
      </c>
      <c r="L335" s="12">
        <f>'Adv Report'!R7</f>
        <v>0</v>
      </c>
      <c r="M335" s="12">
        <f>'Adv Report'!S7</f>
        <v>0</v>
      </c>
      <c r="N335" s="71">
        <f t="shared" si="19"/>
        <v>2</v>
      </c>
      <c r="O335" s="82"/>
      <c r="P335" s="82"/>
      <c r="Q335" s="1"/>
      <c r="R335" s="1"/>
      <c r="S335" s="46"/>
      <c r="T335" s="49"/>
      <c r="U335" s="49"/>
      <c r="V335" s="3"/>
      <c r="W335" s="3"/>
      <c r="X335" s="3"/>
      <c r="Y335" s="2"/>
    </row>
    <row r="336" spans="1:25" ht="38.25" customHeight="1" x14ac:dyDescent="0.2">
      <c r="A336" s="9">
        <v>74</v>
      </c>
      <c r="B336" s="44" t="str">
        <f>'Adv Report'!O8</f>
        <v>0817</v>
      </c>
      <c r="C336" s="9" t="s">
        <v>924</v>
      </c>
      <c r="D336" s="9" t="s">
        <v>448</v>
      </c>
      <c r="E336" s="9" t="s">
        <v>406</v>
      </c>
      <c r="F336" s="71">
        <f t="shared" si="17"/>
        <v>3</v>
      </c>
      <c r="G336" s="12">
        <f>'Adv Report'!T8</f>
        <v>3</v>
      </c>
      <c r="H336" s="12">
        <f>'Adv Report'!U8</f>
        <v>0</v>
      </c>
      <c r="I336" s="12">
        <f>'Adv Report'!V8</f>
        <v>0</v>
      </c>
      <c r="J336" s="71">
        <f t="shared" si="18"/>
        <v>3</v>
      </c>
      <c r="K336" s="12">
        <f>'Adv Report'!Q8</f>
        <v>0</v>
      </c>
      <c r="L336" s="12">
        <f>'Adv Report'!R8</f>
        <v>0</v>
      </c>
      <c r="M336" s="12">
        <f>'Adv Report'!S8</f>
        <v>0</v>
      </c>
      <c r="N336" s="71">
        <f t="shared" si="19"/>
        <v>0</v>
      </c>
      <c r="O336" s="82"/>
      <c r="P336" s="82"/>
      <c r="Q336" s="1"/>
      <c r="R336" s="1"/>
      <c r="S336" s="46"/>
      <c r="T336" s="49"/>
      <c r="U336" s="49"/>
      <c r="V336" s="3"/>
      <c r="W336" s="3"/>
      <c r="X336" s="3"/>
      <c r="Y336" s="2"/>
    </row>
    <row r="337" spans="1:25" ht="38.25" customHeight="1" x14ac:dyDescent="0.2">
      <c r="A337" s="9">
        <v>75</v>
      </c>
      <c r="B337" s="44" t="str">
        <f>'Adv Report'!O9</f>
        <v>0117</v>
      </c>
      <c r="C337" s="9" t="s">
        <v>925</v>
      </c>
      <c r="D337" s="9" t="s">
        <v>776</v>
      </c>
      <c r="E337" s="9" t="s">
        <v>863</v>
      </c>
      <c r="F337" s="71">
        <f t="shared" si="17"/>
        <v>1</v>
      </c>
      <c r="G337" s="12">
        <f>'Adv Report'!T9</f>
        <v>1</v>
      </c>
      <c r="H337" s="12">
        <f>'Adv Report'!U9</f>
        <v>0</v>
      </c>
      <c r="I337" s="12">
        <f>'Adv Report'!V9</f>
        <v>0</v>
      </c>
      <c r="J337" s="71">
        <f t="shared" si="18"/>
        <v>1</v>
      </c>
      <c r="K337" s="12">
        <f>'Adv Report'!Q9</f>
        <v>0</v>
      </c>
      <c r="L337" s="12">
        <f>'Adv Report'!R9</f>
        <v>0</v>
      </c>
      <c r="M337" s="12">
        <f>'Adv Report'!S9</f>
        <v>0</v>
      </c>
      <c r="N337" s="71">
        <f t="shared" si="19"/>
        <v>0</v>
      </c>
      <c r="O337" s="82"/>
      <c r="P337" s="82"/>
      <c r="Q337" s="1"/>
      <c r="R337" s="1"/>
      <c r="S337" s="46"/>
      <c r="T337" s="49"/>
      <c r="U337" s="49"/>
      <c r="V337" s="3"/>
      <c r="W337" s="3"/>
      <c r="X337" s="3"/>
      <c r="Y337" s="2"/>
    </row>
    <row r="338" spans="1:25" ht="38.25" customHeight="1" x14ac:dyDescent="0.2">
      <c r="A338" s="9">
        <v>76</v>
      </c>
      <c r="B338" s="44" t="str">
        <f>'Adv Report'!O10</f>
        <v>0336</v>
      </c>
      <c r="C338" s="9" t="s">
        <v>926</v>
      </c>
      <c r="D338" s="9" t="s">
        <v>560</v>
      </c>
      <c r="E338" s="9" t="s">
        <v>428</v>
      </c>
      <c r="F338" s="71">
        <f t="shared" si="17"/>
        <v>2</v>
      </c>
      <c r="G338" s="12">
        <f>'Adv Report'!T10</f>
        <v>2</v>
      </c>
      <c r="H338" s="12">
        <f>'Adv Report'!U10</f>
        <v>0</v>
      </c>
      <c r="I338" s="12">
        <f>'Adv Report'!V10</f>
        <v>0</v>
      </c>
      <c r="J338" s="71">
        <f t="shared" si="18"/>
        <v>2</v>
      </c>
      <c r="K338" s="12">
        <f>'Adv Report'!Q10</f>
        <v>0</v>
      </c>
      <c r="L338" s="12">
        <f>'Adv Report'!R10</f>
        <v>0</v>
      </c>
      <c r="M338" s="12">
        <f>'Adv Report'!S10</f>
        <v>0</v>
      </c>
      <c r="N338" s="71">
        <f t="shared" si="19"/>
        <v>0</v>
      </c>
      <c r="O338" s="82"/>
      <c r="P338" s="82"/>
      <c r="Q338" s="1"/>
      <c r="R338" s="1"/>
      <c r="S338" s="46"/>
      <c r="T338" s="49"/>
      <c r="U338" s="49"/>
      <c r="V338" s="3"/>
      <c r="W338" s="3"/>
      <c r="X338" s="3"/>
      <c r="Y338" s="2"/>
    </row>
    <row r="339" spans="1:25" ht="38.25" customHeight="1" x14ac:dyDescent="0.2">
      <c r="A339" s="9">
        <v>77</v>
      </c>
      <c r="B339" s="44" t="str">
        <f>'Adv Report'!O11</f>
        <v>0602</v>
      </c>
      <c r="C339" s="9" t="s">
        <v>927</v>
      </c>
      <c r="D339" s="9" t="s">
        <v>625</v>
      </c>
      <c r="E339" s="9" t="s">
        <v>429</v>
      </c>
      <c r="F339" s="71">
        <f t="shared" si="17"/>
        <v>4</v>
      </c>
      <c r="G339" s="12">
        <f>'Adv Report'!T11</f>
        <v>4</v>
      </c>
      <c r="H339" s="12">
        <f>'Adv Report'!U11</f>
        <v>0</v>
      </c>
      <c r="I339" s="12">
        <f>'Adv Report'!V11</f>
        <v>0</v>
      </c>
      <c r="J339" s="71">
        <f t="shared" si="18"/>
        <v>4</v>
      </c>
      <c r="K339" s="12">
        <f>'Adv Report'!Q11</f>
        <v>0</v>
      </c>
      <c r="L339" s="12">
        <f>'Adv Report'!R11</f>
        <v>0</v>
      </c>
      <c r="M339" s="12">
        <f>'Adv Report'!S11</f>
        <v>0</v>
      </c>
      <c r="N339" s="71">
        <f t="shared" si="19"/>
        <v>0</v>
      </c>
      <c r="O339" s="82"/>
      <c r="P339" s="82"/>
      <c r="Q339" s="1"/>
      <c r="R339" s="1"/>
      <c r="S339" s="46"/>
      <c r="T339" s="49"/>
      <c r="U339" s="49"/>
      <c r="V339" s="3"/>
      <c r="W339" s="3"/>
      <c r="X339" s="3"/>
      <c r="Y339" s="2"/>
    </row>
    <row r="340" spans="1:25" ht="38.25" customHeight="1" x14ac:dyDescent="0.2">
      <c r="A340" s="9">
        <v>78</v>
      </c>
      <c r="B340" s="44" t="str">
        <f>'Adv Report'!O12</f>
        <v>0859</v>
      </c>
      <c r="C340" s="9" t="s">
        <v>928</v>
      </c>
      <c r="D340" s="9" t="s">
        <v>446</v>
      </c>
      <c r="E340" s="9" t="s">
        <v>399</v>
      </c>
      <c r="F340" s="71">
        <f t="shared" si="17"/>
        <v>2</v>
      </c>
      <c r="G340" s="12">
        <f>'Adv Report'!T12</f>
        <v>1</v>
      </c>
      <c r="H340" s="12">
        <f>'Adv Report'!U12</f>
        <v>0</v>
      </c>
      <c r="I340" s="12">
        <f>'Adv Report'!V12</f>
        <v>1</v>
      </c>
      <c r="J340" s="71">
        <f t="shared" si="18"/>
        <v>2</v>
      </c>
      <c r="K340" s="12">
        <f>'Adv Report'!Q12</f>
        <v>0</v>
      </c>
      <c r="L340" s="12">
        <f>'Adv Report'!R12</f>
        <v>0</v>
      </c>
      <c r="M340" s="12">
        <f>'Adv Report'!S12</f>
        <v>0</v>
      </c>
      <c r="N340" s="71">
        <f t="shared" si="19"/>
        <v>0</v>
      </c>
      <c r="O340" s="82"/>
      <c r="P340" s="82"/>
      <c r="Q340" s="1"/>
      <c r="R340" s="1"/>
      <c r="S340" s="46"/>
      <c r="T340" s="49"/>
      <c r="U340" s="49"/>
      <c r="V340" s="3"/>
      <c r="W340" s="3"/>
      <c r="X340" s="3"/>
      <c r="Y340" s="2"/>
    </row>
    <row r="341" spans="1:25" ht="38.25" customHeight="1" x14ac:dyDescent="0.2">
      <c r="A341" s="9">
        <v>79</v>
      </c>
      <c r="B341" s="44" t="str">
        <f>'Adv Report'!O13</f>
        <v>0925</v>
      </c>
      <c r="C341" s="9" t="s">
        <v>929</v>
      </c>
      <c r="D341" s="9" t="s">
        <v>657</v>
      </c>
      <c r="E341" s="9" t="s">
        <v>408</v>
      </c>
      <c r="F341" s="71">
        <f t="shared" si="17"/>
        <v>3</v>
      </c>
      <c r="G341" s="12">
        <f>'Adv Report'!T13</f>
        <v>2</v>
      </c>
      <c r="H341" s="12">
        <f>'Adv Report'!U13</f>
        <v>1</v>
      </c>
      <c r="I341" s="12">
        <f>'Adv Report'!V13</f>
        <v>0</v>
      </c>
      <c r="J341" s="71">
        <f t="shared" si="18"/>
        <v>3</v>
      </c>
      <c r="K341" s="12">
        <f>'Adv Report'!Q13</f>
        <v>0</v>
      </c>
      <c r="L341" s="12">
        <f>'Adv Report'!R13</f>
        <v>0</v>
      </c>
      <c r="M341" s="12">
        <f>'Adv Report'!S13</f>
        <v>0</v>
      </c>
      <c r="N341" s="71">
        <f t="shared" si="19"/>
        <v>0</v>
      </c>
      <c r="O341" s="82"/>
      <c r="P341" s="82"/>
      <c r="Q341" s="1"/>
      <c r="R341" s="1"/>
      <c r="S341" s="46"/>
      <c r="T341" s="49"/>
      <c r="U341" s="49"/>
      <c r="V341" s="3"/>
      <c r="W341" s="3"/>
      <c r="X341" s="3"/>
      <c r="Y341" s="2"/>
    </row>
    <row r="342" spans="1:25" ht="38.25" customHeight="1" x14ac:dyDescent="0.2">
      <c r="A342" s="9">
        <v>80</v>
      </c>
      <c r="B342" s="44" t="str">
        <f>'Adv Report'!O14</f>
        <v>0314</v>
      </c>
      <c r="C342" s="9" t="s">
        <v>930</v>
      </c>
      <c r="D342" s="9" t="s">
        <v>534</v>
      </c>
      <c r="E342" s="9" t="s">
        <v>863</v>
      </c>
      <c r="F342" s="71">
        <f t="shared" si="17"/>
        <v>0</v>
      </c>
      <c r="G342" s="12">
        <f>'Adv Report'!T14</f>
        <v>0</v>
      </c>
      <c r="H342" s="12">
        <f>'Adv Report'!U14</f>
        <v>0</v>
      </c>
      <c r="I342" s="12">
        <f>'Adv Report'!V14</f>
        <v>0</v>
      </c>
      <c r="J342" s="71">
        <f t="shared" si="18"/>
        <v>0</v>
      </c>
      <c r="K342" s="12">
        <f>'Adv Report'!Q14</f>
        <v>0</v>
      </c>
      <c r="L342" s="12">
        <f>'Adv Report'!R14</f>
        <v>0</v>
      </c>
      <c r="M342" s="12">
        <f>'Adv Report'!S14</f>
        <v>0</v>
      </c>
      <c r="N342" s="71">
        <f t="shared" si="19"/>
        <v>0</v>
      </c>
      <c r="O342" s="82"/>
      <c r="P342" s="82"/>
      <c r="Q342" s="1"/>
      <c r="R342" s="1"/>
      <c r="S342" s="46"/>
      <c r="T342" s="49"/>
      <c r="U342" s="49"/>
      <c r="V342" s="3"/>
      <c r="W342" s="3"/>
      <c r="X342" s="3"/>
      <c r="Y342" s="2"/>
    </row>
    <row r="343" spans="1:25" ht="38.25" customHeight="1" x14ac:dyDescent="0.2">
      <c r="A343" s="9">
        <v>81</v>
      </c>
      <c r="B343" s="44" t="str">
        <f>'Adv Report'!O15</f>
        <v>0821</v>
      </c>
      <c r="C343" s="9" t="s">
        <v>930</v>
      </c>
      <c r="D343" s="9" t="s">
        <v>469</v>
      </c>
      <c r="E343" s="9" t="s">
        <v>418</v>
      </c>
      <c r="F343" s="71">
        <f t="shared" si="17"/>
        <v>7</v>
      </c>
      <c r="G343" s="12">
        <f>'Adv Report'!T15</f>
        <v>5</v>
      </c>
      <c r="H343" s="12">
        <f>'Adv Report'!U15</f>
        <v>1</v>
      </c>
      <c r="I343" s="12">
        <f>'Adv Report'!V15</f>
        <v>1</v>
      </c>
      <c r="J343" s="71">
        <f t="shared" si="18"/>
        <v>7</v>
      </c>
      <c r="K343" s="12">
        <f>'Adv Report'!Q15</f>
        <v>0</v>
      </c>
      <c r="L343" s="12">
        <f>'Adv Report'!R15</f>
        <v>0</v>
      </c>
      <c r="M343" s="12">
        <f>'Adv Report'!S15</f>
        <v>0</v>
      </c>
      <c r="N343" s="71">
        <f t="shared" si="19"/>
        <v>0</v>
      </c>
      <c r="O343" s="82"/>
      <c r="P343" s="82"/>
      <c r="Q343" s="1"/>
      <c r="R343" s="1"/>
      <c r="S343" s="46"/>
      <c r="T343" s="49"/>
      <c r="U343" s="49"/>
      <c r="V343" s="3"/>
      <c r="W343" s="3"/>
      <c r="X343" s="3"/>
      <c r="Y343" s="2"/>
    </row>
    <row r="344" spans="1:25" ht="38.25" customHeight="1" x14ac:dyDescent="0.2">
      <c r="A344" s="9">
        <v>82</v>
      </c>
      <c r="B344" s="44" t="str">
        <f>'Adv Report'!O16</f>
        <v>0542</v>
      </c>
      <c r="C344" s="9" t="s">
        <v>930</v>
      </c>
      <c r="D344" s="9" t="s">
        <v>503</v>
      </c>
      <c r="E344" s="9" t="s">
        <v>398</v>
      </c>
      <c r="F344" s="71">
        <f t="shared" si="17"/>
        <v>2</v>
      </c>
      <c r="G344" s="12">
        <f>'Adv Report'!T16</f>
        <v>1</v>
      </c>
      <c r="H344" s="12">
        <f>'Adv Report'!U16</f>
        <v>0</v>
      </c>
      <c r="I344" s="12">
        <f>'Adv Report'!V16</f>
        <v>1</v>
      </c>
      <c r="J344" s="71">
        <f t="shared" si="18"/>
        <v>2</v>
      </c>
      <c r="K344" s="12">
        <f>'Adv Report'!Q16</f>
        <v>0</v>
      </c>
      <c r="L344" s="12">
        <f>'Adv Report'!R16</f>
        <v>0</v>
      </c>
      <c r="M344" s="12">
        <f>'Adv Report'!S16</f>
        <v>0</v>
      </c>
      <c r="N344" s="71">
        <f t="shared" si="19"/>
        <v>0</v>
      </c>
      <c r="O344" s="82"/>
      <c r="P344" s="82"/>
      <c r="Q344" s="1"/>
      <c r="R344" s="1"/>
      <c r="S344" s="46"/>
      <c r="T344" s="49"/>
      <c r="U344" s="49"/>
      <c r="V344" s="3"/>
      <c r="W344" s="3"/>
      <c r="X344" s="3"/>
      <c r="Y344" s="2"/>
    </row>
    <row r="345" spans="1:25" ht="38.25" customHeight="1" x14ac:dyDescent="0.2">
      <c r="A345" s="9">
        <v>83</v>
      </c>
      <c r="B345" s="44" t="str">
        <f>'Adv Report'!O17</f>
        <v>0614</v>
      </c>
      <c r="C345" s="9" t="s">
        <v>931</v>
      </c>
      <c r="D345" s="9" t="s">
        <v>529</v>
      </c>
      <c r="E345" s="9" t="s">
        <v>429</v>
      </c>
      <c r="F345" s="71">
        <f t="shared" si="17"/>
        <v>2</v>
      </c>
      <c r="G345" s="12">
        <f>'Adv Report'!T17</f>
        <v>1</v>
      </c>
      <c r="H345" s="12">
        <f>'Adv Report'!U17</f>
        <v>0</v>
      </c>
      <c r="I345" s="12">
        <f>'Adv Report'!V17</f>
        <v>1</v>
      </c>
      <c r="J345" s="71">
        <f t="shared" si="18"/>
        <v>2</v>
      </c>
      <c r="K345" s="12">
        <f>'Adv Report'!Q17</f>
        <v>0</v>
      </c>
      <c r="L345" s="12">
        <f>'Adv Report'!R17</f>
        <v>0</v>
      </c>
      <c r="M345" s="12">
        <f>'Adv Report'!S17</f>
        <v>0</v>
      </c>
      <c r="N345" s="71">
        <f t="shared" si="19"/>
        <v>0</v>
      </c>
      <c r="O345" s="82"/>
      <c r="P345" s="82"/>
      <c r="Q345" s="1"/>
      <c r="R345" s="1"/>
      <c r="S345" s="46"/>
      <c r="T345" s="49"/>
      <c r="U345" s="49"/>
      <c r="V345" s="3"/>
      <c r="W345" s="3"/>
      <c r="X345" s="3"/>
      <c r="Y345" s="2"/>
    </row>
    <row r="346" spans="1:25" ht="38.25" customHeight="1" x14ac:dyDescent="0.2">
      <c r="A346" s="9">
        <v>84</v>
      </c>
      <c r="B346" s="44" t="str">
        <f>'Adv Report'!O18</f>
        <v>0522</v>
      </c>
      <c r="C346" s="9" t="s">
        <v>931</v>
      </c>
      <c r="D346" s="9" t="s">
        <v>932</v>
      </c>
      <c r="E346" s="9" t="s">
        <v>654</v>
      </c>
      <c r="F346" s="71">
        <f t="shared" ref="F346:F381" si="20">J346+N346</f>
        <v>0</v>
      </c>
      <c r="G346" s="12">
        <f>'Adv Report'!T18</f>
        <v>0</v>
      </c>
      <c r="H346" s="12">
        <f>'Adv Report'!U18</f>
        <v>0</v>
      </c>
      <c r="I346" s="12">
        <f>'Adv Report'!V18</f>
        <v>0</v>
      </c>
      <c r="J346" s="71">
        <f t="shared" si="18"/>
        <v>0</v>
      </c>
      <c r="K346" s="12">
        <f>'Adv Report'!Q18</f>
        <v>0</v>
      </c>
      <c r="L346" s="12">
        <f>'Adv Report'!R18</f>
        <v>0</v>
      </c>
      <c r="M346" s="12">
        <f>'Adv Report'!S18</f>
        <v>0</v>
      </c>
      <c r="N346" s="71">
        <f t="shared" si="19"/>
        <v>0</v>
      </c>
      <c r="O346" s="82"/>
      <c r="P346" s="82"/>
      <c r="Q346" s="1"/>
      <c r="R346" s="1"/>
      <c r="S346" s="46"/>
      <c r="T346" s="49"/>
      <c r="U346" s="49"/>
      <c r="V346" s="3"/>
      <c r="W346" s="3"/>
      <c r="X346" s="3"/>
      <c r="Y346" s="2"/>
    </row>
    <row r="347" spans="1:25" ht="38.25" customHeight="1" x14ac:dyDescent="0.2">
      <c r="A347" s="9">
        <v>85</v>
      </c>
      <c r="B347" s="44" t="str">
        <f>'Adv Report'!O19</f>
        <v>0524</v>
      </c>
      <c r="C347" s="9" t="s">
        <v>931</v>
      </c>
      <c r="D347" s="9" t="s">
        <v>555</v>
      </c>
      <c r="E347" s="9" t="s">
        <v>894</v>
      </c>
      <c r="F347" s="71">
        <f t="shared" si="20"/>
        <v>0</v>
      </c>
      <c r="G347" s="12">
        <f>'Adv Report'!T19</f>
        <v>0</v>
      </c>
      <c r="H347" s="12">
        <f>'Adv Report'!U19</f>
        <v>0</v>
      </c>
      <c r="I347" s="12">
        <f>'Adv Report'!V19</f>
        <v>0</v>
      </c>
      <c r="J347" s="71">
        <f t="shared" si="18"/>
        <v>0</v>
      </c>
      <c r="K347" s="12">
        <f>'Adv Report'!Q19</f>
        <v>0</v>
      </c>
      <c r="L347" s="12">
        <f>'Adv Report'!R19</f>
        <v>0</v>
      </c>
      <c r="M347" s="12">
        <f>'Adv Report'!S19</f>
        <v>0</v>
      </c>
      <c r="N347" s="71">
        <f t="shared" si="19"/>
        <v>0</v>
      </c>
      <c r="O347" s="82"/>
      <c r="P347" s="82"/>
      <c r="Q347" s="1"/>
      <c r="R347" s="1"/>
      <c r="S347" s="46"/>
      <c r="T347" s="49"/>
      <c r="U347" s="49"/>
      <c r="V347" s="3"/>
      <c r="W347" s="3"/>
      <c r="X347" s="3"/>
      <c r="Y347" s="2"/>
    </row>
    <row r="348" spans="1:25" ht="38.25" customHeight="1" x14ac:dyDescent="0.2">
      <c r="A348" s="9">
        <v>86</v>
      </c>
      <c r="B348" s="44" t="str">
        <f>'Adv Report'!O20</f>
        <v>0512</v>
      </c>
      <c r="C348" s="9" t="s">
        <v>931</v>
      </c>
      <c r="D348" s="9" t="s">
        <v>593</v>
      </c>
      <c r="E348" s="9" t="s">
        <v>894</v>
      </c>
      <c r="F348" s="71">
        <f t="shared" si="20"/>
        <v>0</v>
      </c>
      <c r="G348" s="12">
        <f>'Adv Report'!T20</f>
        <v>0</v>
      </c>
      <c r="H348" s="12">
        <f>'Adv Report'!U20</f>
        <v>0</v>
      </c>
      <c r="I348" s="12">
        <f>'Adv Report'!V20</f>
        <v>0</v>
      </c>
      <c r="J348" s="71">
        <f t="shared" si="18"/>
        <v>0</v>
      </c>
      <c r="K348" s="12">
        <f>'Adv Report'!Q20</f>
        <v>0</v>
      </c>
      <c r="L348" s="12">
        <f>'Adv Report'!R20</f>
        <v>0</v>
      </c>
      <c r="M348" s="12">
        <f>'Adv Report'!S20</f>
        <v>0</v>
      </c>
      <c r="N348" s="71">
        <f t="shared" si="19"/>
        <v>0</v>
      </c>
      <c r="O348" s="82"/>
      <c r="P348" s="82"/>
      <c r="Q348" s="1"/>
      <c r="R348" s="1"/>
      <c r="S348" s="46"/>
      <c r="T348" s="49"/>
      <c r="U348" s="49"/>
      <c r="V348" s="3"/>
      <c r="W348" s="3"/>
      <c r="X348" s="3"/>
      <c r="Y348" s="2"/>
    </row>
    <row r="349" spans="1:25" ht="38.25" customHeight="1" x14ac:dyDescent="0.2">
      <c r="A349" s="9">
        <v>87</v>
      </c>
      <c r="B349" s="44" t="str">
        <f>'Adv Report'!O21</f>
        <v>0568</v>
      </c>
      <c r="C349" s="9" t="s">
        <v>933</v>
      </c>
      <c r="D349" s="9" t="s">
        <v>566</v>
      </c>
      <c r="E349" s="9" t="s">
        <v>412</v>
      </c>
      <c r="F349" s="71">
        <f t="shared" si="20"/>
        <v>1</v>
      </c>
      <c r="G349" s="12">
        <f>'Adv Report'!T21</f>
        <v>0</v>
      </c>
      <c r="H349" s="12">
        <f>'Adv Report'!U21</f>
        <v>1</v>
      </c>
      <c r="I349" s="12">
        <f>'Adv Report'!V21</f>
        <v>0</v>
      </c>
      <c r="J349" s="71">
        <f t="shared" si="18"/>
        <v>1</v>
      </c>
      <c r="K349" s="12">
        <f>'Adv Report'!Q21</f>
        <v>0</v>
      </c>
      <c r="L349" s="12">
        <f>'Adv Report'!R21</f>
        <v>0</v>
      </c>
      <c r="M349" s="12">
        <f>'Adv Report'!S21</f>
        <v>0</v>
      </c>
      <c r="N349" s="71">
        <f t="shared" si="19"/>
        <v>0</v>
      </c>
      <c r="O349" s="82"/>
      <c r="P349" s="82"/>
      <c r="Q349" s="1"/>
      <c r="R349" s="1"/>
      <c r="S349" s="46"/>
      <c r="T349" s="49"/>
      <c r="U349" s="49"/>
      <c r="V349" s="3"/>
      <c r="W349" s="3"/>
      <c r="X349" s="3"/>
      <c r="Y349" s="2"/>
    </row>
    <row r="350" spans="1:25" ht="38.25" customHeight="1" x14ac:dyDescent="0.2">
      <c r="A350" s="9">
        <v>88</v>
      </c>
      <c r="B350" s="44" t="str">
        <f>'Adv Report'!O22</f>
        <v>0344</v>
      </c>
      <c r="C350" s="9" t="s">
        <v>933</v>
      </c>
      <c r="D350" s="9" t="s">
        <v>568</v>
      </c>
      <c r="E350" s="9" t="s">
        <v>420</v>
      </c>
      <c r="F350" s="71">
        <f t="shared" si="20"/>
        <v>0</v>
      </c>
      <c r="G350" s="12">
        <f>'Adv Report'!T22</f>
        <v>0</v>
      </c>
      <c r="H350" s="12">
        <f>'Adv Report'!U22</f>
        <v>0</v>
      </c>
      <c r="I350" s="12">
        <f>'Adv Report'!V22</f>
        <v>0</v>
      </c>
      <c r="J350" s="71">
        <f t="shared" si="18"/>
        <v>0</v>
      </c>
      <c r="K350" s="12">
        <f>'Adv Report'!Q22</f>
        <v>0</v>
      </c>
      <c r="L350" s="12">
        <f>'Adv Report'!R22</f>
        <v>0</v>
      </c>
      <c r="M350" s="12">
        <f>'Adv Report'!S22</f>
        <v>0</v>
      </c>
      <c r="N350" s="71">
        <f t="shared" si="19"/>
        <v>0</v>
      </c>
      <c r="O350" s="82"/>
      <c r="P350" s="82"/>
      <c r="Q350" s="1"/>
      <c r="R350" s="1"/>
      <c r="S350" s="46"/>
      <c r="T350" s="49"/>
      <c r="U350" s="49"/>
      <c r="V350" s="3"/>
      <c r="W350" s="3"/>
      <c r="X350" s="3"/>
      <c r="Y350" s="2"/>
    </row>
    <row r="351" spans="1:25" ht="38.25" customHeight="1" x14ac:dyDescent="0.2">
      <c r="A351" s="9">
        <v>89</v>
      </c>
      <c r="B351" s="44" t="str">
        <f>'Adv Report'!O23</f>
        <v>0500</v>
      </c>
      <c r="C351" s="9" t="s">
        <v>934</v>
      </c>
      <c r="D351" s="9" t="s">
        <v>579</v>
      </c>
      <c r="E351" s="9" t="s">
        <v>430</v>
      </c>
      <c r="F351" s="71">
        <f t="shared" si="20"/>
        <v>0</v>
      </c>
      <c r="G351" s="12">
        <f>'Adv Report'!T23</f>
        <v>0</v>
      </c>
      <c r="H351" s="12">
        <f>'Adv Report'!U23</f>
        <v>0</v>
      </c>
      <c r="I351" s="12">
        <f>'Adv Report'!V23</f>
        <v>0</v>
      </c>
      <c r="J351" s="71">
        <f t="shared" si="18"/>
        <v>0</v>
      </c>
      <c r="K351" s="12">
        <f>'Adv Report'!Q23</f>
        <v>0</v>
      </c>
      <c r="L351" s="12">
        <f>'Adv Report'!R23</f>
        <v>0</v>
      </c>
      <c r="M351" s="12">
        <f>'Adv Report'!S23</f>
        <v>0</v>
      </c>
      <c r="N351" s="71">
        <f t="shared" si="19"/>
        <v>0</v>
      </c>
      <c r="O351" s="82"/>
      <c r="P351" s="82"/>
      <c r="Q351" s="1"/>
      <c r="R351" s="1"/>
      <c r="S351" s="46"/>
      <c r="T351" s="49"/>
      <c r="U351" s="49"/>
      <c r="V351" s="3"/>
      <c r="W351" s="3"/>
      <c r="X351" s="3"/>
      <c r="Y351" s="2"/>
    </row>
    <row r="352" spans="1:25" ht="38.25" customHeight="1" x14ac:dyDescent="0.2">
      <c r="A352" s="9">
        <v>90</v>
      </c>
      <c r="B352" s="44" t="str">
        <f>'Adv Report'!O24</f>
        <v>0532</v>
      </c>
      <c r="C352" s="9" t="s">
        <v>934</v>
      </c>
      <c r="D352" s="9" t="s">
        <v>496</v>
      </c>
      <c r="E352" s="9" t="s">
        <v>412</v>
      </c>
      <c r="F352" s="71">
        <f t="shared" si="20"/>
        <v>1</v>
      </c>
      <c r="G352" s="12">
        <f>'Adv Report'!T24</f>
        <v>1</v>
      </c>
      <c r="H352" s="12">
        <f>'Adv Report'!U24</f>
        <v>0</v>
      </c>
      <c r="I352" s="12">
        <f>'Adv Report'!V24</f>
        <v>0</v>
      </c>
      <c r="J352" s="71">
        <f t="shared" si="18"/>
        <v>1</v>
      </c>
      <c r="K352" s="12">
        <f>'Adv Report'!Q24</f>
        <v>0</v>
      </c>
      <c r="L352" s="12">
        <f>'Adv Report'!R24</f>
        <v>0</v>
      </c>
      <c r="M352" s="12">
        <f>'Adv Report'!S24</f>
        <v>0</v>
      </c>
      <c r="N352" s="71">
        <f t="shared" si="19"/>
        <v>0</v>
      </c>
      <c r="O352" s="82"/>
      <c r="P352" s="82"/>
      <c r="Q352" s="1"/>
      <c r="R352" s="1"/>
      <c r="S352" s="46"/>
      <c r="T352" s="49"/>
      <c r="U352" s="49"/>
      <c r="V352" s="3"/>
      <c r="W352" s="3"/>
      <c r="X352" s="3"/>
      <c r="Y352" s="2"/>
    </row>
    <row r="353" spans="1:25" ht="38.25" customHeight="1" x14ac:dyDescent="0.2">
      <c r="A353" s="9">
        <v>91</v>
      </c>
      <c r="B353" s="44" t="str">
        <f>'Adv Report'!O25</f>
        <v>0416</v>
      </c>
      <c r="C353" s="9" t="s">
        <v>935</v>
      </c>
      <c r="D353" s="9" t="s">
        <v>456</v>
      </c>
      <c r="E353" s="9" t="s">
        <v>864</v>
      </c>
      <c r="F353" s="71">
        <f t="shared" si="20"/>
        <v>0</v>
      </c>
      <c r="G353" s="12">
        <f>'Adv Report'!T25</f>
        <v>0</v>
      </c>
      <c r="H353" s="12">
        <f>'Adv Report'!U25</f>
        <v>0</v>
      </c>
      <c r="I353" s="12">
        <f>'Adv Report'!V25</f>
        <v>0</v>
      </c>
      <c r="J353" s="71">
        <f t="shared" si="18"/>
        <v>0</v>
      </c>
      <c r="K353" s="12">
        <f>'Adv Report'!Q25</f>
        <v>0</v>
      </c>
      <c r="L353" s="12">
        <f>'Adv Report'!R25</f>
        <v>0</v>
      </c>
      <c r="M353" s="12">
        <f>'Adv Report'!S25</f>
        <v>0</v>
      </c>
      <c r="N353" s="71">
        <f t="shared" si="19"/>
        <v>0</v>
      </c>
      <c r="O353" s="82"/>
      <c r="P353" s="82"/>
      <c r="Q353" s="1"/>
      <c r="R353" s="1"/>
      <c r="S353" s="46"/>
      <c r="T353" s="49"/>
      <c r="U353" s="49"/>
      <c r="V353" s="3"/>
      <c r="W353" s="3"/>
      <c r="X353" s="3"/>
      <c r="Y353" s="2"/>
    </row>
    <row r="354" spans="1:25" ht="38.25" customHeight="1" x14ac:dyDescent="0.2">
      <c r="A354" s="9">
        <v>92</v>
      </c>
      <c r="B354" s="44" t="str">
        <f>'Adv Report'!O26</f>
        <v>0404</v>
      </c>
      <c r="C354" s="9" t="s">
        <v>936</v>
      </c>
      <c r="D354" s="9" t="s">
        <v>510</v>
      </c>
      <c r="E354" s="9" t="s">
        <v>864</v>
      </c>
      <c r="F354" s="71">
        <f t="shared" si="20"/>
        <v>0</v>
      </c>
      <c r="G354" s="12">
        <f>'Adv Report'!T26</f>
        <v>0</v>
      </c>
      <c r="H354" s="12">
        <f>'Adv Report'!U26</f>
        <v>0</v>
      </c>
      <c r="I354" s="12">
        <f>'Adv Report'!V26</f>
        <v>0</v>
      </c>
      <c r="J354" s="71">
        <f t="shared" si="18"/>
        <v>0</v>
      </c>
      <c r="K354" s="12">
        <f>'Adv Report'!Q26</f>
        <v>0</v>
      </c>
      <c r="L354" s="12">
        <f>'Adv Report'!R26</f>
        <v>0</v>
      </c>
      <c r="M354" s="12">
        <f>'Adv Report'!S26</f>
        <v>0</v>
      </c>
      <c r="N354" s="71">
        <f t="shared" si="19"/>
        <v>0</v>
      </c>
      <c r="O354" s="82"/>
      <c r="P354" s="82"/>
      <c r="Q354" s="1"/>
      <c r="R354" s="1"/>
      <c r="S354" s="46"/>
      <c r="T354" s="49"/>
      <c r="U354" s="49"/>
      <c r="V354" s="3"/>
      <c r="W354" s="3"/>
      <c r="X354" s="3"/>
      <c r="Y354" s="2"/>
    </row>
    <row r="355" spans="1:25" ht="38.25" customHeight="1" x14ac:dyDescent="0.2">
      <c r="A355" s="9">
        <v>93</v>
      </c>
      <c r="B355" s="44" t="str">
        <f>'Adv Report'!O27</f>
        <v>0622</v>
      </c>
      <c r="C355" s="9" t="s">
        <v>936</v>
      </c>
      <c r="D355" s="9" t="s">
        <v>587</v>
      </c>
      <c r="E355" s="9" t="s">
        <v>429</v>
      </c>
      <c r="F355" s="71">
        <f t="shared" si="20"/>
        <v>0</v>
      </c>
      <c r="G355" s="12">
        <f>'Adv Report'!T27</f>
        <v>0</v>
      </c>
      <c r="H355" s="12">
        <f>'Adv Report'!U27</f>
        <v>0</v>
      </c>
      <c r="I355" s="12">
        <f>'Adv Report'!V27</f>
        <v>0</v>
      </c>
      <c r="J355" s="71">
        <f t="shared" si="18"/>
        <v>0</v>
      </c>
      <c r="K355" s="12">
        <f>'Adv Report'!Q27</f>
        <v>0</v>
      </c>
      <c r="L355" s="12">
        <f>'Adv Report'!R27</f>
        <v>0</v>
      </c>
      <c r="M355" s="12">
        <f>'Adv Report'!S27</f>
        <v>0</v>
      </c>
      <c r="N355" s="71">
        <f t="shared" si="19"/>
        <v>0</v>
      </c>
      <c r="O355" s="82"/>
      <c r="P355" s="82"/>
      <c r="Q355" s="1"/>
      <c r="R355" s="1"/>
      <c r="S355" s="46"/>
      <c r="T355" s="49"/>
      <c r="U355" s="49"/>
      <c r="V355" s="3"/>
      <c r="W355" s="3"/>
      <c r="X355" s="3"/>
      <c r="Y355" s="2"/>
    </row>
    <row r="356" spans="1:25" ht="38.25" customHeight="1" x14ac:dyDescent="0.2">
      <c r="A356" s="9">
        <v>94</v>
      </c>
      <c r="B356" s="44" t="str">
        <f>'Adv Report'!O28</f>
        <v>0606</v>
      </c>
      <c r="C356" s="9" t="s">
        <v>937</v>
      </c>
      <c r="D356" s="9" t="s">
        <v>625</v>
      </c>
      <c r="E356" s="9" t="s">
        <v>429</v>
      </c>
      <c r="F356" s="71">
        <f t="shared" si="20"/>
        <v>0</v>
      </c>
      <c r="G356" s="12">
        <f>'Adv Report'!T28</f>
        <v>0</v>
      </c>
      <c r="H356" s="12">
        <f>'Adv Report'!U28</f>
        <v>0</v>
      </c>
      <c r="I356" s="12">
        <f>'Adv Report'!V28</f>
        <v>0</v>
      </c>
      <c r="J356" s="71">
        <f t="shared" si="18"/>
        <v>0</v>
      </c>
      <c r="K356" s="12">
        <f>'Adv Report'!Q28</f>
        <v>0</v>
      </c>
      <c r="L356" s="12">
        <f>'Adv Report'!R28</f>
        <v>0</v>
      </c>
      <c r="M356" s="12">
        <f>'Adv Report'!S28</f>
        <v>0</v>
      </c>
      <c r="N356" s="71">
        <f t="shared" si="19"/>
        <v>0</v>
      </c>
      <c r="O356" s="82"/>
      <c r="P356" s="82"/>
      <c r="Q356" s="1"/>
      <c r="R356" s="1"/>
      <c r="S356" s="46"/>
      <c r="T356" s="49"/>
      <c r="U356" s="49"/>
      <c r="V356" s="3"/>
      <c r="W356" s="3"/>
      <c r="X356" s="3"/>
      <c r="Y356" s="2"/>
    </row>
    <row r="357" spans="1:25" ht="38.25" customHeight="1" x14ac:dyDescent="0.2">
      <c r="A357" s="9">
        <v>95</v>
      </c>
      <c r="B357" s="44" t="str">
        <f>'Adv Report'!O29</f>
        <v>0905</v>
      </c>
      <c r="C357" s="9" t="s">
        <v>938</v>
      </c>
      <c r="D357" s="9" t="s">
        <v>903</v>
      </c>
      <c r="E357" s="9" t="s">
        <v>436</v>
      </c>
      <c r="F357" s="71">
        <f t="shared" si="20"/>
        <v>9</v>
      </c>
      <c r="G357" s="12">
        <f>'Adv Report'!T29</f>
        <v>2</v>
      </c>
      <c r="H357" s="12">
        <f>'Adv Report'!U29</f>
        <v>0</v>
      </c>
      <c r="I357" s="12">
        <f>'Adv Report'!V29</f>
        <v>7</v>
      </c>
      <c r="J357" s="71">
        <f t="shared" si="18"/>
        <v>9</v>
      </c>
      <c r="K357" s="12">
        <f>'Adv Report'!Q29</f>
        <v>0</v>
      </c>
      <c r="L357" s="12">
        <f>'Adv Report'!R29</f>
        <v>0</v>
      </c>
      <c r="M357" s="12">
        <f>'Adv Report'!S29</f>
        <v>0</v>
      </c>
      <c r="N357" s="71">
        <f t="shared" si="19"/>
        <v>0</v>
      </c>
      <c r="O357" s="82"/>
      <c r="P357" s="82"/>
      <c r="Q357" s="1"/>
      <c r="R357" s="1"/>
      <c r="S357" s="46"/>
      <c r="T357" s="49"/>
      <c r="U357" s="49"/>
      <c r="V357" s="3"/>
      <c r="W357" s="3"/>
      <c r="X357" s="3"/>
      <c r="Y357" s="2"/>
    </row>
    <row r="358" spans="1:25" ht="38.25" customHeight="1" x14ac:dyDescent="0.2">
      <c r="A358" s="9">
        <v>96</v>
      </c>
      <c r="B358" s="44" t="str">
        <f>'Adv Report'!O30</f>
        <v>0374</v>
      </c>
      <c r="C358" s="9" t="s">
        <v>939</v>
      </c>
      <c r="D358" s="9" t="s">
        <v>574</v>
      </c>
      <c r="E358" s="9" t="s">
        <v>410</v>
      </c>
      <c r="F358" s="71">
        <f t="shared" si="20"/>
        <v>2</v>
      </c>
      <c r="G358" s="12">
        <f>'Adv Report'!T30</f>
        <v>0</v>
      </c>
      <c r="H358" s="12">
        <f>'Adv Report'!U30</f>
        <v>0</v>
      </c>
      <c r="I358" s="12">
        <f>'Adv Report'!V30</f>
        <v>2</v>
      </c>
      <c r="J358" s="71">
        <f t="shared" si="18"/>
        <v>2</v>
      </c>
      <c r="K358" s="12">
        <f>'Adv Report'!Q30</f>
        <v>0</v>
      </c>
      <c r="L358" s="12">
        <f>'Adv Report'!R30</f>
        <v>0</v>
      </c>
      <c r="M358" s="12">
        <f>'Adv Report'!S30</f>
        <v>0</v>
      </c>
      <c r="N358" s="71">
        <f t="shared" si="19"/>
        <v>0</v>
      </c>
      <c r="O358" s="82"/>
      <c r="P358" s="82"/>
      <c r="Q358" s="1"/>
      <c r="R358" s="1"/>
      <c r="S358" s="46"/>
      <c r="T358" s="49"/>
      <c r="U358" s="49"/>
      <c r="V358" s="3"/>
      <c r="W358" s="3"/>
      <c r="X358" s="3"/>
      <c r="Y358" s="2"/>
    </row>
    <row r="359" spans="1:25" ht="38.25" customHeight="1" x14ac:dyDescent="0.2">
      <c r="A359" s="9">
        <v>97</v>
      </c>
      <c r="B359" s="44" t="str">
        <f>'Adv Report'!O31</f>
        <v>0538</v>
      </c>
      <c r="C359" s="9" t="s">
        <v>940</v>
      </c>
      <c r="D359" s="9" t="s">
        <v>941</v>
      </c>
      <c r="E359" s="9" t="s">
        <v>894</v>
      </c>
      <c r="F359" s="71">
        <f t="shared" si="20"/>
        <v>0</v>
      </c>
      <c r="G359" s="12">
        <f>'Adv Report'!T31</f>
        <v>0</v>
      </c>
      <c r="H359" s="12">
        <f>'Adv Report'!U31</f>
        <v>0</v>
      </c>
      <c r="I359" s="12">
        <f>'Adv Report'!V31</f>
        <v>0</v>
      </c>
      <c r="J359" s="71">
        <f t="shared" si="18"/>
        <v>0</v>
      </c>
      <c r="K359" s="12">
        <f>'Adv Report'!Q31</f>
        <v>0</v>
      </c>
      <c r="L359" s="12">
        <f>'Adv Report'!R31</f>
        <v>0</v>
      </c>
      <c r="M359" s="12">
        <f>'Adv Report'!S31</f>
        <v>0</v>
      </c>
      <c r="N359" s="71">
        <f t="shared" si="19"/>
        <v>0</v>
      </c>
      <c r="O359" s="82"/>
      <c r="P359" s="82"/>
      <c r="Q359" s="1"/>
      <c r="R359" s="1"/>
      <c r="S359" s="46"/>
      <c r="T359" s="49"/>
      <c r="U359" s="49"/>
      <c r="V359" s="3"/>
      <c r="W359" s="3"/>
      <c r="X359" s="3"/>
      <c r="Y359" s="2"/>
    </row>
    <row r="360" spans="1:25" ht="38.25" customHeight="1" x14ac:dyDescent="0.2">
      <c r="A360" s="9">
        <v>98</v>
      </c>
      <c r="B360" s="44" t="str">
        <f>'Adv Report'!O32</f>
        <v>0767</v>
      </c>
      <c r="C360" s="9" t="s">
        <v>942</v>
      </c>
      <c r="D360" s="9" t="s">
        <v>585</v>
      </c>
      <c r="E360" s="9" t="s">
        <v>435</v>
      </c>
      <c r="F360" s="71">
        <f t="shared" si="20"/>
        <v>7</v>
      </c>
      <c r="G360" s="12">
        <f>'Adv Report'!T32</f>
        <v>4</v>
      </c>
      <c r="H360" s="12">
        <f>'Adv Report'!U32</f>
        <v>0</v>
      </c>
      <c r="I360" s="12">
        <f>'Adv Report'!V32</f>
        <v>3</v>
      </c>
      <c r="J360" s="71">
        <f t="shared" si="18"/>
        <v>7</v>
      </c>
      <c r="K360" s="12">
        <f>'Adv Report'!Q32</f>
        <v>0</v>
      </c>
      <c r="L360" s="12">
        <f>'Adv Report'!R32</f>
        <v>0</v>
      </c>
      <c r="M360" s="12">
        <f>'Adv Report'!S32</f>
        <v>0</v>
      </c>
      <c r="N360" s="71">
        <f t="shared" si="19"/>
        <v>0</v>
      </c>
      <c r="O360" s="82"/>
      <c r="P360" s="82"/>
      <c r="Q360" s="1"/>
      <c r="R360" s="1"/>
      <c r="S360" s="46"/>
      <c r="T360" s="49"/>
      <c r="U360" s="49"/>
      <c r="V360" s="3"/>
      <c r="W360" s="3"/>
      <c r="X360" s="3"/>
      <c r="Y360" s="2"/>
    </row>
    <row r="361" spans="1:25" ht="38.25" customHeight="1" x14ac:dyDescent="0.2">
      <c r="A361" s="9">
        <v>99</v>
      </c>
      <c r="B361" s="44">
        <f>'Adv Report'!O33</f>
        <v>0</v>
      </c>
      <c r="C361" s="9"/>
      <c r="D361" s="9"/>
      <c r="E361" s="9"/>
      <c r="F361" s="71">
        <f t="shared" si="20"/>
        <v>0</v>
      </c>
      <c r="G361" s="12">
        <f>'Adv Report'!T33</f>
        <v>0</v>
      </c>
      <c r="H361" s="12">
        <f>'Adv Report'!U33</f>
        <v>0</v>
      </c>
      <c r="I361" s="12">
        <f>'Adv Report'!V33</f>
        <v>0</v>
      </c>
      <c r="J361" s="71">
        <f t="shared" si="18"/>
        <v>0</v>
      </c>
      <c r="K361" s="12">
        <f>'Adv Report'!Q33</f>
        <v>0</v>
      </c>
      <c r="L361" s="12">
        <f>'Adv Report'!R33</f>
        <v>0</v>
      </c>
      <c r="M361" s="12">
        <f>'Adv Report'!S33</f>
        <v>0</v>
      </c>
      <c r="N361" s="71">
        <f t="shared" si="19"/>
        <v>0</v>
      </c>
      <c r="O361" s="82"/>
      <c r="P361" s="82"/>
      <c r="Q361" s="1"/>
      <c r="R361" s="1"/>
      <c r="S361" s="46"/>
      <c r="T361" s="49"/>
      <c r="U361" s="49"/>
      <c r="V361" s="3"/>
      <c r="W361" s="3"/>
      <c r="X361" s="3"/>
      <c r="Y361" s="2"/>
    </row>
    <row r="362" spans="1:25" ht="38.25" customHeight="1" x14ac:dyDescent="0.2">
      <c r="A362" s="9">
        <v>100</v>
      </c>
      <c r="B362" s="44">
        <f>'Adv Report'!O34</f>
        <v>0</v>
      </c>
      <c r="C362" s="9"/>
      <c r="D362" s="9"/>
      <c r="E362" s="9"/>
      <c r="F362" s="71">
        <f t="shared" si="20"/>
        <v>0</v>
      </c>
      <c r="G362" s="12">
        <f>'Adv Report'!T34</f>
        <v>0</v>
      </c>
      <c r="H362" s="12">
        <f>'Adv Report'!U34</f>
        <v>0</v>
      </c>
      <c r="I362" s="12">
        <f>'Adv Report'!V34</f>
        <v>0</v>
      </c>
      <c r="J362" s="71">
        <f t="shared" si="18"/>
        <v>0</v>
      </c>
      <c r="K362" s="12">
        <f>'Adv Report'!Q34</f>
        <v>0</v>
      </c>
      <c r="L362" s="12">
        <f>'Adv Report'!R34</f>
        <v>0</v>
      </c>
      <c r="M362" s="12">
        <f>'Adv Report'!S34</f>
        <v>0</v>
      </c>
      <c r="N362" s="71">
        <f t="shared" si="19"/>
        <v>0</v>
      </c>
      <c r="O362" s="82"/>
      <c r="P362" s="82"/>
      <c r="Q362" s="1"/>
      <c r="R362" s="1"/>
      <c r="S362" s="46"/>
      <c r="T362" s="49"/>
      <c r="U362" s="49"/>
      <c r="V362" s="3"/>
      <c r="W362" s="3"/>
      <c r="X362" s="3"/>
      <c r="Y362" s="2"/>
    </row>
    <row r="363" spans="1:25" ht="38.25" customHeight="1" x14ac:dyDescent="0.2">
      <c r="A363" s="9">
        <v>101</v>
      </c>
      <c r="B363" s="44">
        <f>'Adv Report'!O35</f>
        <v>0</v>
      </c>
      <c r="C363" s="9"/>
      <c r="D363" s="9"/>
      <c r="E363" s="9"/>
      <c r="F363" s="71">
        <f t="shared" si="20"/>
        <v>0</v>
      </c>
      <c r="G363" s="12">
        <f>'Adv Report'!T35</f>
        <v>0</v>
      </c>
      <c r="H363" s="12">
        <f>'Adv Report'!U35</f>
        <v>0</v>
      </c>
      <c r="I363" s="12">
        <f>'Adv Report'!V35</f>
        <v>0</v>
      </c>
      <c r="J363" s="71">
        <f t="shared" si="18"/>
        <v>0</v>
      </c>
      <c r="K363" s="12">
        <f>'Adv Report'!Q35</f>
        <v>0</v>
      </c>
      <c r="L363" s="12">
        <f>'Adv Report'!R35</f>
        <v>0</v>
      </c>
      <c r="M363" s="12">
        <f>'Adv Report'!S35</f>
        <v>0</v>
      </c>
      <c r="N363" s="71">
        <f t="shared" si="19"/>
        <v>0</v>
      </c>
      <c r="O363" s="82"/>
      <c r="P363" s="82"/>
      <c r="Q363" s="1"/>
      <c r="R363" s="1"/>
      <c r="S363" s="46"/>
      <c r="T363" s="49"/>
      <c r="U363" s="49"/>
      <c r="V363" s="3"/>
      <c r="W363" s="3"/>
      <c r="X363" s="3"/>
      <c r="Y363" s="2"/>
    </row>
    <row r="364" spans="1:25" ht="38.25" customHeight="1" x14ac:dyDescent="0.2">
      <c r="A364" s="9">
        <v>102</v>
      </c>
      <c r="B364" s="44">
        <f>'Adv Report'!O36</f>
        <v>0</v>
      </c>
      <c r="C364" s="9"/>
      <c r="D364" s="9"/>
      <c r="E364" s="9"/>
      <c r="F364" s="71">
        <f t="shared" si="20"/>
        <v>0</v>
      </c>
      <c r="G364" s="12">
        <f>'Adv Report'!T36</f>
        <v>0</v>
      </c>
      <c r="H364" s="12">
        <f>'Adv Report'!U36</f>
        <v>0</v>
      </c>
      <c r="I364" s="12">
        <f>'Adv Report'!V36</f>
        <v>0</v>
      </c>
      <c r="J364" s="71">
        <f t="shared" si="18"/>
        <v>0</v>
      </c>
      <c r="K364" s="12">
        <f>'Adv Report'!Q36</f>
        <v>0</v>
      </c>
      <c r="L364" s="12">
        <f>'Adv Report'!R36</f>
        <v>0</v>
      </c>
      <c r="M364" s="12">
        <f>'Adv Report'!S36</f>
        <v>0</v>
      </c>
      <c r="N364" s="71">
        <f t="shared" si="19"/>
        <v>0</v>
      </c>
      <c r="O364" s="82"/>
      <c r="P364" s="82"/>
      <c r="Q364" s="1"/>
      <c r="R364" s="1"/>
      <c r="S364" s="46"/>
      <c r="T364" s="49"/>
      <c r="U364" s="49"/>
      <c r="V364" s="3"/>
      <c r="W364" s="3"/>
      <c r="X364" s="3"/>
      <c r="Y364" s="2"/>
    </row>
    <row r="365" spans="1:25" ht="38.25" customHeight="1" x14ac:dyDescent="0.2">
      <c r="A365" s="9">
        <v>103</v>
      </c>
      <c r="B365" s="44">
        <f>'Adv Report'!O37</f>
        <v>0</v>
      </c>
      <c r="C365" s="9"/>
      <c r="D365" s="9"/>
      <c r="E365" s="9"/>
      <c r="F365" s="71">
        <f t="shared" si="20"/>
        <v>0</v>
      </c>
      <c r="G365" s="12">
        <f>'Adv Report'!T37</f>
        <v>0</v>
      </c>
      <c r="H365" s="12">
        <f>'Adv Report'!U37</f>
        <v>0</v>
      </c>
      <c r="I365" s="12">
        <f>'Adv Report'!V37</f>
        <v>0</v>
      </c>
      <c r="J365" s="71">
        <f t="shared" si="18"/>
        <v>0</v>
      </c>
      <c r="K365" s="12">
        <f>'Adv Report'!Q37</f>
        <v>0</v>
      </c>
      <c r="L365" s="12">
        <f>'Adv Report'!R37</f>
        <v>0</v>
      </c>
      <c r="M365" s="12">
        <f>'Adv Report'!S37</f>
        <v>0</v>
      </c>
      <c r="N365" s="71">
        <f t="shared" si="19"/>
        <v>0</v>
      </c>
      <c r="O365" s="82"/>
      <c r="P365" s="82"/>
      <c r="Q365" s="1"/>
      <c r="R365" s="1"/>
      <c r="S365" s="46"/>
      <c r="T365" s="49"/>
      <c r="U365" s="49"/>
      <c r="V365" s="3"/>
      <c r="W365" s="3"/>
      <c r="X365" s="3"/>
      <c r="Y365" s="2"/>
    </row>
    <row r="366" spans="1:25" ht="38.25" customHeight="1" x14ac:dyDescent="0.2">
      <c r="A366" s="9">
        <v>104</v>
      </c>
      <c r="B366" s="44">
        <f>'Adv Report'!O38</f>
        <v>0</v>
      </c>
      <c r="C366" s="9"/>
      <c r="D366" s="9"/>
      <c r="E366" s="9"/>
      <c r="F366" s="71">
        <f t="shared" si="20"/>
        <v>0</v>
      </c>
      <c r="G366" s="12">
        <f>'Adv Report'!T38</f>
        <v>0</v>
      </c>
      <c r="H366" s="12">
        <f>'Adv Report'!U38</f>
        <v>0</v>
      </c>
      <c r="I366" s="12">
        <f>'Adv Report'!V38</f>
        <v>0</v>
      </c>
      <c r="J366" s="71">
        <f t="shared" si="18"/>
        <v>0</v>
      </c>
      <c r="K366" s="12">
        <f>'Adv Report'!Q38</f>
        <v>0</v>
      </c>
      <c r="L366" s="12">
        <f>'Adv Report'!R38</f>
        <v>0</v>
      </c>
      <c r="M366" s="12">
        <f>'Adv Report'!S38</f>
        <v>0</v>
      </c>
      <c r="N366" s="71">
        <f t="shared" si="19"/>
        <v>0</v>
      </c>
      <c r="O366" s="82"/>
      <c r="P366" s="82"/>
      <c r="Q366" s="1"/>
      <c r="R366" s="1"/>
      <c r="S366" s="46"/>
      <c r="T366" s="49"/>
      <c r="U366" s="49"/>
      <c r="V366" s="3"/>
      <c r="W366" s="3"/>
      <c r="X366" s="3"/>
      <c r="Y366" s="2"/>
    </row>
    <row r="367" spans="1:25" ht="38.25" customHeight="1" x14ac:dyDescent="0.2">
      <c r="A367" s="9">
        <v>105</v>
      </c>
      <c r="B367" s="44">
        <f>'Adv Report'!O39</f>
        <v>0</v>
      </c>
      <c r="C367" s="9"/>
      <c r="D367" s="9"/>
      <c r="E367" s="9"/>
      <c r="F367" s="71">
        <f t="shared" si="20"/>
        <v>0</v>
      </c>
      <c r="G367" s="12">
        <f>'Adv Report'!T39</f>
        <v>0</v>
      </c>
      <c r="H367" s="12">
        <f>'Adv Report'!U39</f>
        <v>0</v>
      </c>
      <c r="I367" s="12">
        <f>'Adv Report'!V39</f>
        <v>0</v>
      </c>
      <c r="J367" s="71">
        <f t="shared" si="18"/>
        <v>0</v>
      </c>
      <c r="K367" s="12">
        <f>'Adv Report'!Q39</f>
        <v>0</v>
      </c>
      <c r="L367" s="12">
        <f>'Adv Report'!R39</f>
        <v>0</v>
      </c>
      <c r="M367" s="12">
        <f>'Adv Report'!S39</f>
        <v>0</v>
      </c>
      <c r="N367" s="71">
        <f t="shared" si="19"/>
        <v>0</v>
      </c>
      <c r="O367" s="82"/>
      <c r="P367" s="82"/>
      <c r="Q367" s="1"/>
      <c r="R367" s="1"/>
      <c r="S367" s="46"/>
      <c r="T367" s="49"/>
      <c r="U367" s="49"/>
      <c r="V367" s="3"/>
      <c r="W367" s="3"/>
      <c r="X367" s="3"/>
      <c r="Y367" s="2"/>
    </row>
    <row r="368" spans="1:25" ht="38.25" customHeight="1" x14ac:dyDescent="0.2">
      <c r="A368" s="9">
        <v>106</v>
      </c>
      <c r="B368" s="44">
        <f>'Adv Report'!O40</f>
        <v>0</v>
      </c>
      <c r="C368" s="9"/>
      <c r="D368" s="9"/>
      <c r="E368" s="9"/>
      <c r="F368" s="71">
        <f t="shared" si="20"/>
        <v>0</v>
      </c>
      <c r="G368" s="12">
        <f>'Adv Report'!T40</f>
        <v>0</v>
      </c>
      <c r="H368" s="12">
        <f>'Adv Report'!U40</f>
        <v>0</v>
      </c>
      <c r="I368" s="12">
        <f>'Adv Report'!V40</f>
        <v>0</v>
      </c>
      <c r="J368" s="71">
        <f t="shared" si="18"/>
        <v>0</v>
      </c>
      <c r="K368" s="12">
        <f>'Adv Report'!Q40</f>
        <v>0</v>
      </c>
      <c r="L368" s="12">
        <f>'Adv Report'!R40</f>
        <v>0</v>
      </c>
      <c r="M368" s="12">
        <f>'Adv Report'!S40</f>
        <v>0</v>
      </c>
      <c r="N368" s="71">
        <f t="shared" si="19"/>
        <v>0</v>
      </c>
      <c r="O368" s="82"/>
      <c r="P368" s="82"/>
      <c r="Q368" s="1"/>
      <c r="R368" s="1"/>
      <c r="S368" s="46"/>
      <c r="T368" s="49"/>
      <c r="U368" s="49"/>
      <c r="V368" s="3"/>
      <c r="W368" s="3"/>
      <c r="X368" s="3"/>
      <c r="Y368" s="2"/>
    </row>
    <row r="369" spans="1:25" ht="38.25" customHeight="1" x14ac:dyDescent="0.2">
      <c r="A369" s="9">
        <v>107</v>
      </c>
      <c r="B369" s="44">
        <f>'Adv Report'!O41</f>
        <v>0</v>
      </c>
      <c r="C369" s="9"/>
      <c r="D369" s="9"/>
      <c r="E369" s="9"/>
      <c r="F369" s="71">
        <f t="shared" si="20"/>
        <v>0</v>
      </c>
      <c r="G369" s="12">
        <f>'Adv Report'!T41</f>
        <v>0</v>
      </c>
      <c r="H369" s="12">
        <f>'Adv Report'!U41</f>
        <v>0</v>
      </c>
      <c r="I369" s="12">
        <f>'Adv Report'!V41</f>
        <v>0</v>
      </c>
      <c r="J369" s="71">
        <f t="shared" si="18"/>
        <v>0</v>
      </c>
      <c r="K369" s="12">
        <f>'Adv Report'!Q41</f>
        <v>0</v>
      </c>
      <c r="L369" s="12">
        <f>'Adv Report'!R41</f>
        <v>0</v>
      </c>
      <c r="M369" s="12">
        <f>'Adv Report'!S41</f>
        <v>0</v>
      </c>
      <c r="N369" s="71">
        <f t="shared" si="19"/>
        <v>0</v>
      </c>
      <c r="O369" s="82"/>
      <c r="P369" s="82"/>
      <c r="Q369" s="1"/>
      <c r="R369" s="1"/>
      <c r="S369" s="46"/>
      <c r="T369" s="49"/>
      <c r="U369" s="49"/>
      <c r="V369" s="3"/>
      <c r="W369" s="3"/>
      <c r="X369" s="3"/>
      <c r="Y369" s="2"/>
    </row>
    <row r="370" spans="1:25" ht="38.25" customHeight="1" x14ac:dyDescent="0.2">
      <c r="A370" s="9">
        <v>108</v>
      </c>
      <c r="B370" s="44">
        <f>'Adv Report'!O42</f>
        <v>0</v>
      </c>
      <c r="C370" s="9"/>
      <c r="D370" s="9"/>
      <c r="E370" s="9"/>
      <c r="F370" s="71">
        <f t="shared" si="20"/>
        <v>0</v>
      </c>
      <c r="G370" s="12">
        <f>'Adv Report'!T42</f>
        <v>0</v>
      </c>
      <c r="H370" s="12">
        <f>'Adv Report'!U42</f>
        <v>0</v>
      </c>
      <c r="I370" s="12">
        <f>'Adv Report'!V42</f>
        <v>0</v>
      </c>
      <c r="J370" s="71">
        <f t="shared" si="18"/>
        <v>0</v>
      </c>
      <c r="K370" s="12">
        <f>'Adv Report'!Q42</f>
        <v>0</v>
      </c>
      <c r="L370" s="12">
        <f>'Adv Report'!R42</f>
        <v>0</v>
      </c>
      <c r="M370" s="12">
        <f>'Adv Report'!S42</f>
        <v>0</v>
      </c>
      <c r="N370" s="71">
        <f t="shared" si="19"/>
        <v>0</v>
      </c>
      <c r="O370" s="82"/>
      <c r="P370" s="82"/>
      <c r="Q370" s="1"/>
      <c r="R370" s="1"/>
      <c r="S370" s="46"/>
      <c r="T370" s="49"/>
      <c r="U370" s="49"/>
      <c r="V370" s="3"/>
      <c r="W370" s="3"/>
      <c r="X370" s="3"/>
      <c r="Y370" s="2"/>
    </row>
    <row r="371" spans="1:25" ht="38.25" customHeight="1" x14ac:dyDescent="0.2">
      <c r="A371" s="9">
        <v>109</v>
      </c>
      <c r="B371" s="44">
        <f>'Adv Report'!O43</f>
        <v>0</v>
      </c>
      <c r="C371" s="9"/>
      <c r="D371" s="9"/>
      <c r="E371" s="9"/>
      <c r="F371" s="71">
        <f t="shared" si="20"/>
        <v>0</v>
      </c>
      <c r="G371" s="12">
        <f>'Adv Report'!T43</f>
        <v>0</v>
      </c>
      <c r="H371" s="12">
        <f>'Adv Report'!U43</f>
        <v>0</v>
      </c>
      <c r="I371" s="12">
        <f>'Adv Report'!V43</f>
        <v>0</v>
      </c>
      <c r="J371" s="71">
        <f t="shared" si="18"/>
        <v>0</v>
      </c>
      <c r="K371" s="12">
        <f>'Adv Report'!Q43</f>
        <v>0</v>
      </c>
      <c r="L371" s="12">
        <f>'Adv Report'!R43</f>
        <v>0</v>
      </c>
      <c r="M371" s="12">
        <f>'Adv Report'!S43</f>
        <v>0</v>
      </c>
      <c r="N371" s="71">
        <f t="shared" si="19"/>
        <v>0</v>
      </c>
      <c r="O371" s="82"/>
      <c r="P371" s="82"/>
      <c r="Q371" s="1"/>
      <c r="R371" s="1"/>
      <c r="S371" s="46"/>
      <c r="T371" s="49"/>
      <c r="U371" s="49"/>
      <c r="V371" s="3"/>
      <c r="W371" s="3"/>
      <c r="X371" s="3"/>
      <c r="Y371" s="2"/>
    </row>
    <row r="372" spans="1:25" ht="38.25" customHeight="1" x14ac:dyDescent="0.2">
      <c r="A372" s="9">
        <v>110</v>
      </c>
      <c r="B372" s="44">
        <f>'Adv Report'!O44</f>
        <v>0</v>
      </c>
      <c r="C372" s="9"/>
      <c r="D372" s="9"/>
      <c r="E372" s="9"/>
      <c r="F372" s="71">
        <f t="shared" si="20"/>
        <v>0</v>
      </c>
      <c r="G372" s="12">
        <f>'Adv Report'!T44</f>
        <v>0</v>
      </c>
      <c r="H372" s="12">
        <f>'Adv Report'!U44</f>
        <v>0</v>
      </c>
      <c r="I372" s="12">
        <f>'Adv Report'!V44</f>
        <v>0</v>
      </c>
      <c r="J372" s="71">
        <f t="shared" si="18"/>
        <v>0</v>
      </c>
      <c r="K372" s="12">
        <f>'Adv Report'!Q44</f>
        <v>0</v>
      </c>
      <c r="L372" s="12">
        <f>'Adv Report'!R44</f>
        <v>0</v>
      </c>
      <c r="M372" s="12">
        <f>'Adv Report'!S44</f>
        <v>0</v>
      </c>
      <c r="N372" s="71">
        <f t="shared" si="19"/>
        <v>0</v>
      </c>
      <c r="O372" s="82"/>
      <c r="P372" s="82"/>
      <c r="Q372" s="1"/>
      <c r="R372" s="1"/>
      <c r="S372" s="46"/>
      <c r="T372" s="49"/>
      <c r="U372" s="49"/>
      <c r="V372" s="3"/>
      <c r="W372" s="3"/>
      <c r="X372" s="3"/>
      <c r="Y372" s="2"/>
    </row>
    <row r="373" spans="1:25" ht="38.25" customHeight="1" x14ac:dyDescent="0.2">
      <c r="A373" s="9">
        <v>111</v>
      </c>
      <c r="B373" s="44">
        <f>'Adv Report'!O45</f>
        <v>0</v>
      </c>
      <c r="C373" s="9"/>
      <c r="D373" s="9"/>
      <c r="E373" s="9"/>
      <c r="F373" s="71">
        <f t="shared" si="20"/>
        <v>0</v>
      </c>
      <c r="G373" s="12">
        <f>'Adv Report'!T45</f>
        <v>0</v>
      </c>
      <c r="H373" s="12">
        <f>'Adv Report'!U45</f>
        <v>0</v>
      </c>
      <c r="I373" s="12">
        <f>'Adv Report'!V45</f>
        <v>0</v>
      </c>
      <c r="J373" s="71">
        <f t="shared" si="18"/>
        <v>0</v>
      </c>
      <c r="K373" s="12">
        <f>'Adv Report'!Q45</f>
        <v>0</v>
      </c>
      <c r="L373" s="12">
        <f>'Adv Report'!R45</f>
        <v>0</v>
      </c>
      <c r="M373" s="12">
        <f>'Adv Report'!S45</f>
        <v>0</v>
      </c>
      <c r="N373" s="71">
        <f t="shared" si="19"/>
        <v>0</v>
      </c>
      <c r="O373" s="82"/>
      <c r="P373" s="82"/>
      <c r="Q373" s="1"/>
      <c r="R373" s="1"/>
      <c r="S373" s="46"/>
      <c r="T373" s="49"/>
      <c r="U373" s="49"/>
      <c r="V373" s="3"/>
      <c r="W373" s="3"/>
      <c r="X373" s="3"/>
      <c r="Y373" s="2"/>
    </row>
    <row r="374" spans="1:25" ht="38.25" customHeight="1" x14ac:dyDescent="0.2">
      <c r="A374" s="9">
        <v>112</v>
      </c>
      <c r="B374" s="44">
        <f>'Adv Report'!O46</f>
        <v>0</v>
      </c>
      <c r="C374" s="9"/>
      <c r="D374" s="9"/>
      <c r="E374" s="9"/>
      <c r="F374" s="71">
        <f t="shared" si="20"/>
        <v>0</v>
      </c>
      <c r="G374" s="12">
        <f>'Adv Report'!T46</f>
        <v>0</v>
      </c>
      <c r="H374" s="12">
        <f>'Adv Report'!U46</f>
        <v>0</v>
      </c>
      <c r="I374" s="12">
        <f>'Adv Report'!V46</f>
        <v>0</v>
      </c>
      <c r="J374" s="71">
        <f t="shared" si="18"/>
        <v>0</v>
      </c>
      <c r="K374" s="12">
        <f>'Adv Report'!Q46</f>
        <v>0</v>
      </c>
      <c r="L374" s="12">
        <f>'Adv Report'!R46</f>
        <v>0</v>
      </c>
      <c r="M374" s="12">
        <f>'Adv Report'!S46</f>
        <v>0</v>
      </c>
      <c r="N374" s="71">
        <f t="shared" si="19"/>
        <v>0</v>
      </c>
      <c r="O374" s="82"/>
      <c r="P374" s="82"/>
      <c r="Q374" s="1"/>
      <c r="R374" s="1"/>
      <c r="S374" s="46"/>
      <c r="T374" s="49"/>
      <c r="U374" s="49"/>
      <c r="V374" s="3"/>
      <c r="W374" s="3"/>
      <c r="X374" s="3"/>
      <c r="Y374" s="2"/>
    </row>
    <row r="375" spans="1:25" ht="38.25" customHeight="1" x14ac:dyDescent="0.2">
      <c r="A375" s="9">
        <v>113</v>
      </c>
      <c r="B375" s="44">
        <f>'Adv Report'!O47</f>
        <v>0</v>
      </c>
      <c r="C375" s="9"/>
      <c r="D375" s="9"/>
      <c r="E375" s="9"/>
      <c r="F375" s="71">
        <f t="shared" si="20"/>
        <v>0</v>
      </c>
      <c r="G375" s="12">
        <f>'Adv Report'!T47</f>
        <v>0</v>
      </c>
      <c r="H375" s="12">
        <f>'Adv Report'!U47</f>
        <v>0</v>
      </c>
      <c r="I375" s="12">
        <f>'Adv Report'!V47</f>
        <v>0</v>
      </c>
      <c r="J375" s="71">
        <f t="shared" si="18"/>
        <v>0</v>
      </c>
      <c r="K375" s="12">
        <f>'Adv Report'!Q47</f>
        <v>0</v>
      </c>
      <c r="L375" s="12">
        <f>'Adv Report'!R47</f>
        <v>0</v>
      </c>
      <c r="M375" s="12">
        <f>'Adv Report'!S47</f>
        <v>0</v>
      </c>
      <c r="N375" s="71">
        <f t="shared" si="19"/>
        <v>0</v>
      </c>
      <c r="O375" s="82"/>
      <c r="P375" s="82"/>
      <c r="Q375" s="1"/>
      <c r="R375" s="1"/>
      <c r="S375" s="46"/>
      <c r="T375" s="49"/>
      <c r="U375" s="49"/>
      <c r="V375" s="3"/>
      <c r="W375" s="3"/>
      <c r="X375" s="3"/>
      <c r="Y375" s="2"/>
    </row>
    <row r="376" spans="1:25" ht="38.25" customHeight="1" x14ac:dyDescent="0.2">
      <c r="A376" s="9">
        <v>114</v>
      </c>
      <c r="B376" s="44">
        <f>'Adv Report'!O48</f>
        <v>0</v>
      </c>
      <c r="C376" s="9"/>
      <c r="D376" s="9"/>
      <c r="E376" s="9"/>
      <c r="F376" s="71">
        <f t="shared" si="20"/>
        <v>0</v>
      </c>
      <c r="G376" s="12">
        <f>'Adv Report'!T48</f>
        <v>0</v>
      </c>
      <c r="H376" s="12">
        <f>'Adv Report'!U48</f>
        <v>0</v>
      </c>
      <c r="I376" s="12">
        <f>'Adv Report'!V48</f>
        <v>0</v>
      </c>
      <c r="J376" s="71">
        <f t="shared" si="18"/>
        <v>0</v>
      </c>
      <c r="K376" s="12">
        <f>'Adv Report'!Q48</f>
        <v>0</v>
      </c>
      <c r="L376" s="12">
        <f>'Adv Report'!R48</f>
        <v>0</v>
      </c>
      <c r="M376" s="12">
        <f>'Adv Report'!S48</f>
        <v>0</v>
      </c>
      <c r="N376" s="71">
        <f t="shared" si="19"/>
        <v>0</v>
      </c>
      <c r="O376" s="82"/>
      <c r="P376" s="82"/>
      <c r="Q376" s="1"/>
      <c r="R376" s="1"/>
      <c r="S376" s="46"/>
      <c r="T376" s="49"/>
      <c r="U376" s="49"/>
      <c r="V376" s="3"/>
      <c r="W376" s="3"/>
      <c r="X376" s="3"/>
      <c r="Y376" s="2"/>
    </row>
    <row r="377" spans="1:25" ht="38.25" customHeight="1" x14ac:dyDescent="0.2">
      <c r="A377" s="9">
        <v>115</v>
      </c>
      <c r="B377" s="44">
        <f>'Adv Report'!O49</f>
        <v>0</v>
      </c>
      <c r="C377" s="9"/>
      <c r="D377" s="9"/>
      <c r="E377" s="9"/>
      <c r="F377" s="71">
        <f t="shared" si="20"/>
        <v>0</v>
      </c>
      <c r="G377" s="12">
        <f>'Adv Report'!T49</f>
        <v>0</v>
      </c>
      <c r="H377" s="12">
        <f>'Adv Report'!U49</f>
        <v>0</v>
      </c>
      <c r="I377" s="12">
        <f>'Adv Report'!V49</f>
        <v>0</v>
      </c>
      <c r="J377" s="71">
        <f t="shared" si="18"/>
        <v>0</v>
      </c>
      <c r="K377" s="12">
        <f>'Adv Report'!Q49</f>
        <v>0</v>
      </c>
      <c r="L377" s="12">
        <f>'Adv Report'!R49</f>
        <v>0</v>
      </c>
      <c r="M377" s="12">
        <f>'Adv Report'!S49</f>
        <v>0</v>
      </c>
      <c r="N377" s="71">
        <f t="shared" si="19"/>
        <v>0</v>
      </c>
      <c r="O377" s="82"/>
      <c r="P377" s="82"/>
      <c r="Q377" s="1"/>
      <c r="R377" s="1"/>
      <c r="S377" s="46"/>
      <c r="T377" s="49"/>
      <c r="U377" s="49"/>
      <c r="V377" s="3"/>
      <c r="W377" s="3"/>
      <c r="X377" s="3"/>
      <c r="Y377" s="2"/>
    </row>
    <row r="378" spans="1:25" ht="38.25" customHeight="1" x14ac:dyDescent="0.2">
      <c r="A378" s="9">
        <v>116</v>
      </c>
      <c r="B378" s="44">
        <f>'Adv Report'!O50</f>
        <v>0</v>
      </c>
      <c r="C378" s="9"/>
      <c r="D378" s="9"/>
      <c r="E378" s="9"/>
      <c r="F378" s="71">
        <f t="shared" si="20"/>
        <v>0</v>
      </c>
      <c r="G378" s="12">
        <f>'Adv Report'!T50</f>
        <v>0</v>
      </c>
      <c r="H378" s="12">
        <f>'Adv Report'!U50</f>
        <v>0</v>
      </c>
      <c r="I378" s="12">
        <f>'Adv Report'!V50</f>
        <v>0</v>
      </c>
      <c r="J378" s="71">
        <f t="shared" si="18"/>
        <v>0</v>
      </c>
      <c r="K378" s="12">
        <f>'Adv Report'!Q50</f>
        <v>0</v>
      </c>
      <c r="L378" s="12">
        <f>'Adv Report'!R50</f>
        <v>0</v>
      </c>
      <c r="M378" s="12">
        <f>'Adv Report'!S50</f>
        <v>0</v>
      </c>
      <c r="N378" s="71">
        <f t="shared" si="19"/>
        <v>0</v>
      </c>
      <c r="O378" s="82"/>
      <c r="P378" s="82"/>
      <c r="Q378" s="1"/>
      <c r="R378" s="1"/>
      <c r="S378" s="46"/>
      <c r="T378" s="49"/>
      <c r="U378" s="49"/>
      <c r="V378" s="3"/>
      <c r="W378" s="3"/>
      <c r="X378" s="3"/>
      <c r="Y378" s="2"/>
    </row>
    <row r="379" spans="1:25" ht="38.25" customHeight="1" x14ac:dyDescent="0.2">
      <c r="A379" s="9">
        <v>117</v>
      </c>
      <c r="B379" s="44">
        <f>'Adv Report'!O51</f>
        <v>0</v>
      </c>
      <c r="C379" s="9"/>
      <c r="D379" s="9"/>
      <c r="E379" s="9"/>
      <c r="F379" s="71">
        <f t="shared" si="20"/>
        <v>0</v>
      </c>
      <c r="G379" s="12">
        <f>'Adv Report'!T51</f>
        <v>0</v>
      </c>
      <c r="H379" s="12">
        <f>'Adv Report'!U51</f>
        <v>0</v>
      </c>
      <c r="I379" s="12">
        <f>'Adv Report'!V51</f>
        <v>0</v>
      </c>
      <c r="J379" s="71">
        <f t="shared" si="18"/>
        <v>0</v>
      </c>
      <c r="K379" s="12">
        <f>'Adv Report'!Q51</f>
        <v>0</v>
      </c>
      <c r="L379" s="12">
        <f>'Adv Report'!R51</f>
        <v>0</v>
      </c>
      <c r="M379" s="12">
        <f>'Adv Report'!S51</f>
        <v>0</v>
      </c>
      <c r="N379" s="71">
        <f t="shared" si="19"/>
        <v>0</v>
      </c>
      <c r="O379" s="82"/>
      <c r="P379" s="82"/>
      <c r="Q379" s="1"/>
      <c r="R379" s="1"/>
      <c r="S379" s="46"/>
      <c r="T379" s="49"/>
      <c r="U379" s="49"/>
      <c r="V379" s="3"/>
      <c r="W379" s="3"/>
      <c r="X379" s="3"/>
      <c r="Y379" s="2"/>
    </row>
    <row r="380" spans="1:25" ht="38.25" customHeight="1" x14ac:dyDescent="0.2">
      <c r="A380" s="9">
        <v>118</v>
      </c>
      <c r="B380" s="44">
        <f>'Adv Report'!O71</f>
        <v>0</v>
      </c>
      <c r="C380" s="9"/>
      <c r="D380" s="9"/>
      <c r="E380" s="9"/>
      <c r="F380" s="71">
        <f t="shared" si="20"/>
        <v>0</v>
      </c>
      <c r="G380" s="12">
        <f>'Adv Report'!T71</f>
        <v>0</v>
      </c>
      <c r="H380" s="12">
        <f>'Adv Report'!U71</f>
        <v>0</v>
      </c>
      <c r="I380" s="12">
        <f>'Adv Report'!V71</f>
        <v>0</v>
      </c>
      <c r="J380" s="71">
        <f t="shared" si="18"/>
        <v>0</v>
      </c>
      <c r="K380" s="12">
        <f>'Adv Report'!Q71</f>
        <v>0</v>
      </c>
      <c r="L380" s="12">
        <f>'Adv Report'!R71</f>
        <v>0</v>
      </c>
      <c r="M380" s="12">
        <f>'Adv Report'!S71</f>
        <v>0</v>
      </c>
      <c r="N380" s="71">
        <f t="shared" si="19"/>
        <v>0</v>
      </c>
      <c r="O380" s="82"/>
      <c r="P380" s="82"/>
      <c r="Q380" s="1"/>
      <c r="R380" s="1"/>
      <c r="S380" s="46"/>
      <c r="T380" s="49"/>
      <c r="U380" s="49"/>
      <c r="V380" s="3"/>
      <c r="W380" s="3"/>
      <c r="X380" s="3"/>
      <c r="Y380" s="2"/>
    </row>
    <row r="381" spans="1:25" ht="38.25" customHeight="1" x14ac:dyDescent="0.2">
      <c r="A381" s="9">
        <v>119</v>
      </c>
      <c r="B381" s="44">
        <f>'Adv Report'!O72</f>
        <v>0</v>
      </c>
      <c r="C381" s="9"/>
      <c r="D381" s="9"/>
      <c r="E381" s="9"/>
      <c r="F381" s="71">
        <f t="shared" si="20"/>
        <v>0</v>
      </c>
      <c r="G381" s="12">
        <f>'Adv Report'!T72</f>
        <v>0</v>
      </c>
      <c r="H381" s="12">
        <f>'Adv Report'!U72</f>
        <v>0</v>
      </c>
      <c r="I381" s="12">
        <f>'Adv Report'!V72</f>
        <v>0</v>
      </c>
      <c r="J381" s="71">
        <f t="shared" si="18"/>
        <v>0</v>
      </c>
      <c r="K381" s="12">
        <f>'Adv Report'!Q72</f>
        <v>0</v>
      </c>
      <c r="L381" s="12">
        <f>'Adv Report'!R72</f>
        <v>0</v>
      </c>
      <c r="M381" s="12">
        <f>'Adv Report'!S72</f>
        <v>0</v>
      </c>
      <c r="N381" s="71">
        <f t="shared" si="19"/>
        <v>0</v>
      </c>
      <c r="O381" s="82"/>
      <c r="P381" s="82"/>
      <c r="Q381" s="1"/>
      <c r="R381" s="1"/>
      <c r="S381" s="46"/>
      <c r="T381" s="49"/>
      <c r="U381" s="49"/>
      <c r="V381" s="3"/>
      <c r="W381" s="3"/>
      <c r="X381" s="3"/>
      <c r="Y381" s="2"/>
    </row>
  </sheetData>
  <mergeCells count="70">
    <mergeCell ref="Q97:S97"/>
    <mergeCell ref="V97:Y97"/>
    <mergeCell ref="Q86:Y86"/>
    <mergeCell ref="O54:P54"/>
    <mergeCell ref="V85:Y85"/>
    <mergeCell ref="O60:P60"/>
    <mergeCell ref="O64:P64"/>
    <mergeCell ref="O68:P68"/>
    <mergeCell ref="Q85:S85"/>
    <mergeCell ref="O73:P73"/>
    <mergeCell ref="Q96:S96"/>
    <mergeCell ref="O78:P78"/>
    <mergeCell ref="O40:P40"/>
    <mergeCell ref="V96:Y96"/>
    <mergeCell ref="O48:P48"/>
    <mergeCell ref="Q50:S50"/>
    <mergeCell ref="V50:Y50"/>
    <mergeCell ref="Q51:Y51"/>
    <mergeCell ref="V76:Y76"/>
    <mergeCell ref="O44:P44"/>
    <mergeCell ref="Q76:S76"/>
    <mergeCell ref="Q77:Y77"/>
    <mergeCell ref="A331:N331"/>
    <mergeCell ref="A6:C6"/>
    <mergeCell ref="A7:E8"/>
    <mergeCell ref="L2:Y6"/>
    <mergeCell ref="O9:P9"/>
    <mergeCell ref="F7:N7"/>
    <mergeCell ref="O15:P15"/>
    <mergeCell ref="O25:P25"/>
    <mergeCell ref="Q25:Y25"/>
    <mergeCell ref="O20:P20"/>
    <mergeCell ref="Q24:S24"/>
    <mergeCell ref="V24:Y24"/>
    <mergeCell ref="O183:P183"/>
    <mergeCell ref="O159:P159"/>
    <mergeCell ref="O96:P96"/>
    <mergeCell ref="O97:P97"/>
    <mergeCell ref="O100:P100"/>
    <mergeCell ref="O103:P103"/>
    <mergeCell ref="O130:P130"/>
    <mergeCell ref="O106:P106"/>
    <mergeCell ref="O120:P120"/>
    <mergeCell ref="O121:P121"/>
    <mergeCell ref="O124:P124"/>
    <mergeCell ref="O127:P127"/>
    <mergeCell ref="A110:N110"/>
    <mergeCell ref="A261:N261"/>
    <mergeCell ref="O171:P171"/>
    <mergeCell ref="O175:P175"/>
    <mergeCell ref="O179:P179"/>
    <mergeCell ref="O144:P144"/>
    <mergeCell ref="O163:P163"/>
    <mergeCell ref="O167:P167"/>
    <mergeCell ref="O33:P33"/>
    <mergeCell ref="A1:Y1"/>
    <mergeCell ref="A5:C5"/>
    <mergeCell ref="E5:F5"/>
    <mergeCell ref="E6:F6"/>
    <mergeCell ref="O10:P10"/>
    <mergeCell ref="F8:F9"/>
    <mergeCell ref="G8:J8"/>
    <mergeCell ref="K8:N8"/>
    <mergeCell ref="R10:Y10"/>
    <mergeCell ref="Q9:Q10"/>
    <mergeCell ref="A2:K2"/>
    <mergeCell ref="A3:K3"/>
    <mergeCell ref="G6:H6"/>
    <mergeCell ref="O7:Y8"/>
    <mergeCell ref="I6:K6"/>
  </mergeCells>
  <conditionalFormatting sqref="E10:E109">
    <cfRule type="duplicateValues" dxfId="226" priority="192" stopIfTrue="1"/>
  </conditionalFormatting>
  <conditionalFormatting sqref="E332:E381 E10:E109 E262:E330 E111:E260 R11:R21 R26:R49 R87:R95 R78:R84 R52:R75 R98:R381">
    <cfRule type="duplicateValues" dxfId="225" priority="344" stopIfTrue="1"/>
  </conditionalFormatting>
  <conditionalFormatting sqref="E332:E381 E10:E109 E262:E330 E111:E260 R11:S21 R26:S49 R87:S95 R78:S84 R52:S75 R98:S381">
    <cfRule type="duplicateValues" dxfId="224" priority="325" stopIfTrue="1"/>
    <cfRule type="duplicateValues" dxfId="223" priority="324" stopIfTrue="1"/>
    <cfRule type="duplicateValues" dxfId="222" priority="323" stopIfTrue="1"/>
    <cfRule type="duplicateValues" dxfId="221" priority="304" stopIfTrue="1"/>
  </conditionalFormatting>
  <conditionalFormatting sqref="P191">
    <cfRule type="cellIs" dxfId="220" priority="129" stopIfTrue="1" operator="lessThan">
      <formula>0.3</formula>
    </cfRule>
    <cfRule type="cellIs" dxfId="219" priority="131" stopIfTrue="1" operator="greaterThan">
      <formula>0.3</formula>
    </cfRule>
    <cfRule type="cellIs" dxfId="218" priority="130" stopIfTrue="1" operator="equal">
      <formula>0.3</formula>
    </cfRule>
  </conditionalFormatting>
  <conditionalFormatting sqref="Q24">
    <cfRule type="duplicateValues" dxfId="217" priority="115" stopIfTrue="1"/>
    <cfRule type="duplicateValues" dxfId="216" priority="116" stopIfTrue="1"/>
    <cfRule type="duplicateValues" dxfId="215" priority="117" stopIfTrue="1"/>
    <cfRule type="duplicateValues" dxfId="214" priority="118" stopIfTrue="1"/>
    <cfRule type="duplicateValues" dxfId="213" priority="113" stopIfTrue="1"/>
    <cfRule type="duplicateValues" dxfId="212" priority="112" stopIfTrue="1"/>
    <cfRule type="duplicateValues" dxfId="211" priority="111" stopIfTrue="1"/>
    <cfRule type="duplicateValues" dxfId="210" priority="110" stopIfTrue="1"/>
    <cfRule type="duplicateValues" dxfId="209" priority="109" stopIfTrue="1"/>
    <cfRule type="duplicateValues" dxfId="208" priority="114" stopIfTrue="1"/>
  </conditionalFormatting>
  <conditionalFormatting sqref="Q50">
    <cfRule type="duplicateValues" dxfId="207" priority="101" stopIfTrue="1"/>
    <cfRule type="duplicateValues" dxfId="206" priority="100" stopIfTrue="1"/>
    <cfRule type="duplicateValues" dxfId="205" priority="99" stopIfTrue="1"/>
    <cfRule type="duplicateValues" dxfId="204" priority="108" stopIfTrue="1"/>
    <cfRule type="duplicateValues" dxfId="203" priority="107" stopIfTrue="1"/>
    <cfRule type="duplicateValues" dxfId="202" priority="106" stopIfTrue="1"/>
    <cfRule type="duplicateValues" dxfId="201" priority="105" stopIfTrue="1"/>
    <cfRule type="duplicateValues" dxfId="200" priority="104" stopIfTrue="1"/>
    <cfRule type="duplicateValues" dxfId="199" priority="103" stopIfTrue="1"/>
    <cfRule type="duplicateValues" dxfId="198" priority="102" stopIfTrue="1"/>
  </conditionalFormatting>
  <conditionalFormatting sqref="Q76">
    <cfRule type="duplicateValues" dxfId="197" priority="89" stopIfTrue="1"/>
    <cfRule type="duplicateValues" dxfId="196" priority="92" stopIfTrue="1"/>
    <cfRule type="duplicateValues" dxfId="195" priority="90" stopIfTrue="1"/>
    <cfRule type="duplicateValues" dxfId="194" priority="91" stopIfTrue="1"/>
    <cfRule type="duplicateValues" dxfId="193" priority="93" stopIfTrue="1"/>
    <cfRule type="duplicateValues" dxfId="192" priority="95" stopIfTrue="1"/>
    <cfRule type="duplicateValues" dxfId="191" priority="96" stopIfTrue="1"/>
    <cfRule type="duplicateValues" dxfId="190" priority="97" stopIfTrue="1"/>
    <cfRule type="duplicateValues" dxfId="189" priority="98" stopIfTrue="1"/>
    <cfRule type="duplicateValues" dxfId="188" priority="94" stopIfTrue="1"/>
  </conditionalFormatting>
  <conditionalFormatting sqref="Q77">
    <cfRule type="duplicateValues" dxfId="187" priority="121" stopIfTrue="1"/>
    <cfRule type="duplicateValues" dxfId="186" priority="122" stopIfTrue="1"/>
    <cfRule type="duplicateValues" dxfId="185" priority="123" stopIfTrue="1"/>
    <cfRule type="duplicateValues" dxfId="184" priority="124" stopIfTrue="1"/>
    <cfRule type="duplicateValues" dxfId="183" priority="126" stopIfTrue="1"/>
    <cfRule type="duplicateValues" dxfId="182" priority="127" stopIfTrue="1"/>
    <cfRule type="duplicateValues" dxfId="181" priority="128" stopIfTrue="1"/>
    <cfRule type="duplicateValues" dxfId="180" priority="119" stopIfTrue="1"/>
    <cfRule type="duplicateValues" dxfId="179" priority="125" stopIfTrue="1"/>
    <cfRule type="duplicateValues" dxfId="178" priority="120" stopIfTrue="1"/>
  </conditionalFormatting>
  <conditionalFormatting sqref="Q85">
    <cfRule type="duplicateValues" dxfId="177" priority="79" stopIfTrue="1"/>
    <cfRule type="duplicateValues" dxfId="176" priority="80" stopIfTrue="1"/>
    <cfRule type="duplicateValues" dxfId="175" priority="82" stopIfTrue="1"/>
    <cfRule type="duplicateValues" dxfId="174" priority="83" stopIfTrue="1"/>
    <cfRule type="duplicateValues" dxfId="173" priority="84" stopIfTrue="1"/>
    <cfRule type="duplicateValues" dxfId="172" priority="85" stopIfTrue="1"/>
    <cfRule type="duplicateValues" dxfId="171" priority="86" stopIfTrue="1"/>
    <cfRule type="duplicateValues" dxfId="170" priority="81" stopIfTrue="1"/>
    <cfRule type="duplicateValues" dxfId="169" priority="87" stopIfTrue="1"/>
    <cfRule type="duplicateValues" dxfId="168" priority="88" stopIfTrue="1"/>
  </conditionalFormatting>
  <conditionalFormatting sqref="Q86">
    <cfRule type="duplicateValues" dxfId="167" priority="70" stopIfTrue="1"/>
    <cfRule type="duplicateValues" dxfId="166" priority="71" stopIfTrue="1"/>
    <cfRule type="duplicateValues" dxfId="165" priority="72" stopIfTrue="1"/>
    <cfRule type="duplicateValues" dxfId="164" priority="73" stopIfTrue="1"/>
    <cfRule type="duplicateValues" dxfId="163" priority="74" stopIfTrue="1"/>
    <cfRule type="duplicateValues" dxfId="162" priority="75" stopIfTrue="1"/>
    <cfRule type="duplicateValues" dxfId="161" priority="76" stopIfTrue="1"/>
    <cfRule type="duplicateValues" dxfId="160" priority="77" stopIfTrue="1"/>
    <cfRule type="duplicateValues" dxfId="159" priority="78" stopIfTrue="1"/>
    <cfRule type="duplicateValues" dxfId="158" priority="69" stopIfTrue="1"/>
  </conditionalFormatting>
  <conditionalFormatting sqref="Q96">
    <cfRule type="duplicateValues" dxfId="157" priority="36" stopIfTrue="1"/>
    <cfRule type="duplicateValues" dxfId="156" priority="38" stopIfTrue="1"/>
    <cfRule type="duplicateValues" dxfId="155" priority="45" stopIfTrue="1"/>
    <cfRule type="duplicateValues" dxfId="154" priority="44" stopIfTrue="1"/>
    <cfRule type="duplicateValues" dxfId="153" priority="43" stopIfTrue="1"/>
    <cfRule type="duplicateValues" dxfId="152" priority="42" stopIfTrue="1"/>
    <cfRule type="duplicateValues" dxfId="151" priority="41" stopIfTrue="1"/>
    <cfRule type="duplicateValues" dxfId="150" priority="40" stopIfTrue="1"/>
    <cfRule type="duplicateValues" dxfId="149" priority="39" stopIfTrue="1"/>
    <cfRule type="duplicateValues" dxfId="148" priority="37" stopIfTrue="1"/>
  </conditionalFormatting>
  <conditionalFormatting sqref="Q97">
    <cfRule type="duplicateValues" dxfId="147" priority="33" stopIfTrue="1"/>
    <cfRule type="duplicateValues" dxfId="146" priority="32" stopIfTrue="1"/>
    <cfRule type="duplicateValues" dxfId="145" priority="31" stopIfTrue="1"/>
    <cfRule type="duplicateValues" dxfId="144" priority="30" stopIfTrue="1"/>
    <cfRule type="duplicateValues" dxfId="143" priority="29" stopIfTrue="1"/>
    <cfRule type="duplicateValues" dxfId="142" priority="28" stopIfTrue="1"/>
    <cfRule type="duplicateValues" dxfId="141" priority="27" stopIfTrue="1"/>
    <cfRule type="duplicateValues" dxfId="140" priority="35" stopIfTrue="1"/>
    <cfRule type="duplicateValues" dxfId="139" priority="34" stopIfTrue="1"/>
    <cfRule type="duplicateValues" dxfId="138" priority="26" stopIfTrue="1"/>
  </conditionalFormatting>
  <conditionalFormatting sqref="R11:R21 R26:R49 R87:R95 R78:R84 R52:R75 R98:R381">
    <cfRule type="duplicateValues" dxfId="137" priority="702" stopIfTrue="1"/>
  </conditionalFormatting>
  <conditionalFormatting sqref="R22:R23">
    <cfRule type="duplicateValues" dxfId="136" priority="150" stopIfTrue="1"/>
    <cfRule type="duplicateValues" dxfId="135" priority="151" stopIfTrue="1"/>
  </conditionalFormatting>
  <conditionalFormatting sqref="R11:S21 R26:S49 R87:S95 R78:S84 R52:S75 R98:S381">
    <cfRule type="duplicateValues" dxfId="134" priority="658" stopIfTrue="1"/>
    <cfRule type="duplicateValues" dxfId="133" priority="659" stopIfTrue="1"/>
    <cfRule type="duplicateValues" dxfId="132" priority="660" stopIfTrue="1"/>
    <cfRule type="duplicateValues" dxfId="131" priority="661" stopIfTrue="1"/>
  </conditionalFormatting>
  <conditionalFormatting sqref="R22:S23">
    <cfRule type="duplicateValues" dxfId="130" priority="154" stopIfTrue="1"/>
    <cfRule type="duplicateValues" dxfId="129" priority="155" stopIfTrue="1"/>
    <cfRule type="duplicateValues" dxfId="128" priority="157" stopIfTrue="1"/>
    <cfRule type="duplicateValues" dxfId="127" priority="158" stopIfTrue="1"/>
    <cfRule type="duplicateValues" dxfId="126" priority="159" stopIfTrue="1"/>
    <cfRule type="duplicateValues" dxfId="125" priority="156" stopIfTrue="1"/>
    <cfRule type="duplicateValues" dxfId="124" priority="152" stopIfTrue="1"/>
    <cfRule type="duplicateValues" dxfId="123" priority="153" stopIfTrue="1"/>
  </conditionalFormatting>
  <conditionalFormatting sqref="V11:V24">
    <cfRule type="containsText" dxfId="122" priority="133" stopIfTrue="1" operator="containsText" text="Support">
      <formula>NOT(ISERROR(SEARCH("Support",V11)))</formula>
    </cfRule>
    <cfRule type="containsText" dxfId="121" priority="132" stopIfTrue="1" operator="containsText" text="Cross utilized">
      <formula>NOT(ISERROR(SEARCH("Cross utilized",V11)))</formula>
    </cfRule>
    <cfRule type="containsText" dxfId="120" priority="134" stopIfTrue="1" operator="containsText" text="OT">
      <formula>NOT(ISERROR(SEARCH("OT",V11)))</formula>
    </cfRule>
    <cfRule type="containsText" dxfId="119" priority="135" stopIfTrue="1" operator="containsText" text="screening">
      <formula>NOT(ISERROR(SEARCH("screening",V11)))</formula>
    </cfRule>
    <cfRule type="containsText" dxfId="118" priority="136" stopIfTrue="1" operator="containsText" text="rxs">
      <formula>NOT(ISERROR(SEARCH("rxs",V11)))</formula>
    </cfRule>
    <cfRule type="containsText" dxfId="117" priority="137" stopIfTrue="1" operator="containsText" text="cto">
      <formula>NOT(ISERROR(SEARCH("cto",V11)))</formula>
    </cfRule>
    <cfRule type="containsText" dxfId="116" priority="139" stopIfTrue="1" operator="containsText" text="Chaser">
      <formula>NOT(ISERROR(SEARCH("Chaser",V11)))</formula>
    </cfRule>
  </conditionalFormatting>
  <conditionalFormatting sqref="V26:V50 V52:V76 V78:V85 V87:V96 V98:V381">
    <cfRule type="containsText" dxfId="115" priority="194" stopIfTrue="1" operator="containsText" text="TG">
      <formula>NOT(ISERROR(SEARCH("TG",V26)))</formula>
    </cfRule>
    <cfRule type="containsText" dxfId="114" priority="193" stopIfTrue="1" operator="containsText" text="DL">
      <formula>NOT(ISERROR(SEARCH("DL",V26)))</formula>
    </cfRule>
    <cfRule type="containsText" dxfId="113" priority="200" stopIfTrue="1" operator="containsText" text="Chaser">
      <formula>NOT(ISERROR(SEARCH("Chaser",V26)))</formula>
    </cfRule>
    <cfRule type="containsText" dxfId="112" priority="141" stopIfTrue="1" operator="containsText" text="Cros Utilized">
      <formula>NOT(ISERROR(SEARCH("Cros Utilized",V26)))</formula>
    </cfRule>
    <cfRule type="containsText" dxfId="111" priority="142" stopIfTrue="1" operator="containsText" text="Support">
      <formula>NOT(ISERROR(SEARCH("Support",V26)))</formula>
    </cfRule>
    <cfRule type="containsText" dxfId="110" priority="199" stopIfTrue="1" operator="containsText" text="CTO">
      <formula>NOT(ISERROR(SEARCH("CTO",V26)))</formula>
    </cfRule>
    <cfRule type="containsText" dxfId="109" priority="198" stopIfTrue="1" operator="containsText" text="RXS">
      <formula>NOT(ISERROR(SEARCH("RXS",V26)))</formula>
    </cfRule>
    <cfRule type="containsText" dxfId="108" priority="169" stopIfTrue="1" operator="containsText" text="Chaser">
      <formula>NOT(ISERROR(SEARCH("Chaser",V26)))</formula>
    </cfRule>
    <cfRule type="containsText" dxfId="107" priority="197" stopIfTrue="1" operator="containsText" text="Screening">
      <formula>NOT(ISERROR(SEARCH("Screening",V26)))</formula>
    </cfRule>
    <cfRule type="containsText" dxfId="106" priority="196" stopIfTrue="1" operator="containsText" text="Shift">
      <formula>NOT(ISERROR(SEARCH("Shift",V26)))</formula>
    </cfRule>
    <cfRule type="containsText" dxfId="105" priority="195" stopIfTrue="1" operator="containsText" text="OT">
      <formula>NOT(ISERROR(SEARCH("OT",V26)))</formula>
    </cfRule>
  </conditionalFormatting>
  <conditionalFormatting sqref="V26:V50 V52:V76 V78:V85">
    <cfRule type="containsText" dxfId="104" priority="188" stopIfTrue="1" operator="containsText" text="CTO">
      <formula>NOT(ISERROR(SEARCH("CTO",V26)))</formula>
    </cfRule>
    <cfRule type="containsText" dxfId="103" priority="165" stopIfTrue="1" operator="containsText" text="Shift">
      <formula>NOT(ISERROR(SEARCH("Shift",V26)))</formula>
    </cfRule>
    <cfRule type="containsText" dxfId="102" priority="166" stopIfTrue="1" operator="containsText" text="Screening">
      <formula>NOT(ISERROR(SEARCH("Screening",V26)))</formula>
    </cfRule>
    <cfRule type="containsText" dxfId="101" priority="167" stopIfTrue="1" operator="containsText" text="RXS">
      <formula>NOT(ISERROR(SEARCH("RXS",V26)))</formula>
    </cfRule>
    <cfRule type="containsText" dxfId="100" priority="168" stopIfTrue="1" operator="containsText" text="CTO">
      <formula>NOT(ISERROR(SEARCH("CTO",V26)))</formula>
    </cfRule>
    <cfRule type="containsText" dxfId="99" priority="172" stopIfTrue="1" operator="containsText" text="DL">
      <formula>NOT(ISERROR(SEARCH("DL",V26)))</formula>
    </cfRule>
    <cfRule type="containsText" dxfId="98" priority="173" stopIfTrue="1" operator="containsText" text="TG">
      <formula>NOT(ISERROR(SEARCH("TG",V26)))</formula>
    </cfRule>
    <cfRule type="containsText" dxfId="97" priority="174" stopIfTrue="1" operator="containsText" text="OT">
      <formula>NOT(ISERROR(SEARCH("OT",V26)))</formula>
    </cfRule>
    <cfRule type="containsText" dxfId="96" priority="175" stopIfTrue="1" operator="containsText" text="Shift">
      <formula>NOT(ISERROR(SEARCH("Shift",V26)))</formula>
    </cfRule>
    <cfRule type="containsText" dxfId="95" priority="176" stopIfTrue="1" operator="containsText" text="Screening">
      <formula>NOT(ISERROR(SEARCH("Screening",V26)))</formula>
    </cfRule>
    <cfRule type="containsText" dxfId="94" priority="177" stopIfTrue="1" operator="containsText" text="RXS">
      <formula>NOT(ISERROR(SEARCH("RXS",V26)))</formula>
    </cfRule>
    <cfRule type="containsText" dxfId="93" priority="178" stopIfTrue="1" operator="containsText" text="CTO">
      <formula>NOT(ISERROR(SEARCH("CTO",V26)))</formula>
    </cfRule>
    <cfRule type="containsText" dxfId="92" priority="179" stopIfTrue="1" operator="containsText" text="Chaser">
      <formula>NOT(ISERROR(SEARCH("Chaser",V26)))</formula>
    </cfRule>
    <cfRule type="containsText" dxfId="91" priority="182" stopIfTrue="1" operator="containsText" text="DL">
      <formula>NOT(ISERROR(SEARCH("DL",V26)))</formula>
    </cfRule>
    <cfRule type="containsText" dxfId="90" priority="183" stopIfTrue="1" operator="containsText" text="TG">
      <formula>NOT(ISERROR(SEARCH("TG",V26)))</formula>
    </cfRule>
    <cfRule type="containsText" dxfId="89" priority="184" stopIfTrue="1" operator="containsText" text="OT">
      <formula>NOT(ISERROR(SEARCH("OT",V26)))</formula>
    </cfRule>
    <cfRule type="containsText" dxfId="88" priority="186" stopIfTrue="1" operator="containsText" text="Screening">
      <formula>NOT(ISERROR(SEARCH("Screening",V26)))</formula>
    </cfRule>
    <cfRule type="containsText" dxfId="87" priority="187" stopIfTrue="1" operator="containsText" text="RXS">
      <formula>NOT(ISERROR(SEARCH("RXS",V26)))</formula>
    </cfRule>
    <cfRule type="containsText" dxfId="86" priority="189" stopIfTrue="1" operator="containsText" text="Chaser">
      <formula>NOT(ISERROR(SEARCH("Chaser",V26)))</formula>
    </cfRule>
    <cfRule type="containsText" dxfId="85" priority="185" stopIfTrue="1" operator="containsText" text="Shift">
      <formula>NOT(ISERROR(SEARCH("Shift",V26)))</formula>
    </cfRule>
    <cfRule type="containsText" dxfId="84" priority="164" stopIfTrue="1" operator="containsText" text="OT">
      <formula>NOT(ISERROR(SEARCH("OT",V26)))</formula>
    </cfRule>
    <cfRule type="containsText" dxfId="83" priority="162" stopIfTrue="1" operator="containsText" text="DL">
      <formula>NOT(ISERROR(SEARCH("DL",V26)))</formula>
    </cfRule>
    <cfRule type="containsText" dxfId="82" priority="163" stopIfTrue="1" operator="containsText" text="TG">
      <formula>NOT(ISERROR(SEARCH("TG",V26)))</formula>
    </cfRule>
  </conditionalFormatting>
  <conditionalFormatting sqref="V87:V95">
    <cfRule type="containsText" dxfId="81" priority="15" stopIfTrue="1" operator="containsText" text="RXS">
      <formula>NOT(ISERROR(SEARCH("RXS",V87)))</formula>
    </cfRule>
    <cfRule type="containsText" dxfId="80" priority="14" stopIfTrue="1" operator="containsText" text="Screening">
      <formula>NOT(ISERROR(SEARCH("Screening",V87)))</formula>
    </cfRule>
    <cfRule type="containsText" dxfId="79" priority="13" stopIfTrue="1" operator="containsText" text="Shift">
      <formula>NOT(ISERROR(SEARCH("Shift",V87)))</formula>
    </cfRule>
    <cfRule type="containsText" dxfId="78" priority="12" stopIfTrue="1" operator="containsText" text="OT">
      <formula>NOT(ISERROR(SEARCH("OT",V87)))</formula>
    </cfRule>
    <cfRule type="containsText" dxfId="77" priority="17" stopIfTrue="1" operator="containsText" text="Chaser">
      <formula>NOT(ISERROR(SEARCH("Chaser",V87)))</formula>
    </cfRule>
    <cfRule type="containsText" dxfId="76" priority="16" stopIfTrue="1" operator="containsText" text="CTO">
      <formula>NOT(ISERROR(SEARCH("CTO",V87)))</formula>
    </cfRule>
    <cfRule type="containsText" dxfId="75" priority="25" stopIfTrue="1" operator="containsText" text="Chaser">
      <formula>NOT(ISERROR(SEARCH("Chaser",V87)))</formula>
    </cfRule>
    <cfRule type="containsText" dxfId="74" priority="8" stopIfTrue="1" operator="containsText" text="RXS">
      <formula>NOT(ISERROR(SEARCH("RXS",V87)))</formula>
    </cfRule>
    <cfRule type="containsText" dxfId="73" priority="9" stopIfTrue="1" operator="containsText" text="CTO">
      <formula>NOT(ISERROR(SEARCH("CTO",V87)))</formula>
    </cfRule>
    <cfRule type="containsText" dxfId="72" priority="10" stopIfTrue="1" operator="containsText" text="DL">
      <formula>NOT(ISERROR(SEARCH("DL",V87)))</formula>
    </cfRule>
    <cfRule type="containsText" dxfId="71" priority="11" stopIfTrue="1" operator="containsText" text="TG">
      <formula>NOT(ISERROR(SEARCH("TG",V87)))</formula>
    </cfRule>
    <cfRule type="containsText" dxfId="70" priority="7" stopIfTrue="1" operator="containsText" text="Screening">
      <formula>NOT(ISERROR(SEARCH("Screening",V87)))</formula>
    </cfRule>
    <cfRule type="containsText" dxfId="69" priority="6" stopIfTrue="1" operator="containsText" text="Shift">
      <formula>NOT(ISERROR(SEARCH("Shift",V87)))</formula>
    </cfRule>
    <cfRule type="containsText" dxfId="68" priority="5" stopIfTrue="1" operator="containsText" text="OT">
      <formula>NOT(ISERROR(SEARCH("OT",V87)))</formula>
    </cfRule>
    <cfRule type="containsText" dxfId="67" priority="4" stopIfTrue="1" operator="containsText" text="TG">
      <formula>NOT(ISERROR(SEARCH("TG",V87)))</formula>
    </cfRule>
    <cfRule type="containsText" dxfId="66" priority="3" stopIfTrue="1" operator="containsText" text="DL">
      <formula>NOT(ISERROR(SEARCH("DL",V87)))</formula>
    </cfRule>
    <cfRule type="containsText" dxfId="65" priority="2" operator="containsText" text="DP">
      <formula>NOT(ISERROR(SEARCH("DP",V87)))</formula>
    </cfRule>
  </conditionalFormatting>
  <conditionalFormatting sqref="V87:V96 V26:V50 V52:V76 V78:V85 V98:V381">
    <cfRule type="containsText" dxfId="64" priority="140" stopIfTrue="1" operator="containsText" text="Cross Utilized">
      <formula>NOT(ISERROR(SEARCH("Cross Utilized",V26)))</formula>
    </cfRule>
  </conditionalFormatting>
  <conditionalFormatting sqref="V87:V96">
    <cfRule type="containsText" dxfId="63" priority="24" stopIfTrue="1" operator="containsText" text="CTO">
      <formula>NOT(ISERROR(SEARCH("CTO",V87)))</formula>
    </cfRule>
    <cfRule type="containsText" dxfId="62" priority="23" stopIfTrue="1" operator="containsText" text="RXS">
      <formula>NOT(ISERROR(SEARCH("RXS",V87)))</formula>
    </cfRule>
    <cfRule type="containsText" dxfId="61" priority="22" stopIfTrue="1" operator="containsText" text="Screening">
      <formula>NOT(ISERROR(SEARCH("Screening",V87)))</formula>
    </cfRule>
    <cfRule type="containsText" dxfId="60" priority="21" stopIfTrue="1" operator="containsText" text="Shift">
      <formula>NOT(ISERROR(SEARCH("Shift",V87)))</formula>
    </cfRule>
    <cfRule type="containsText" dxfId="59" priority="19" stopIfTrue="1" operator="containsText" text="TG">
      <formula>NOT(ISERROR(SEARCH("TG",V87)))</formula>
    </cfRule>
    <cfRule type="containsText" dxfId="58" priority="18" stopIfTrue="1" operator="containsText" text="DL">
      <formula>NOT(ISERROR(SEARCH("DL",V87)))</formula>
    </cfRule>
    <cfRule type="containsText" dxfId="57" priority="20" stopIfTrue="1" operator="containsText" text="OT">
      <formula>NOT(ISERROR(SEARCH("OT",V87)))</formula>
    </cfRule>
  </conditionalFormatting>
  <conditionalFormatting sqref="V96">
    <cfRule type="containsText" dxfId="56" priority="65" stopIfTrue="1" operator="containsText" text="Screening">
      <formula>NOT(ISERROR(SEARCH("Screening",V96)))</formula>
    </cfRule>
    <cfRule type="containsText" dxfId="55" priority="66" stopIfTrue="1" operator="containsText" text="RXS">
      <formula>NOT(ISERROR(SEARCH("RXS",V96)))</formula>
    </cfRule>
    <cfRule type="containsText" dxfId="54" priority="67" stopIfTrue="1" operator="containsText" text="CTO">
      <formula>NOT(ISERROR(SEARCH("CTO",V96)))</formula>
    </cfRule>
    <cfRule type="containsText" dxfId="53" priority="54" stopIfTrue="1" operator="containsText" text="TG">
      <formula>NOT(ISERROR(SEARCH("TG",V96)))</formula>
    </cfRule>
    <cfRule type="containsText" dxfId="52" priority="53" stopIfTrue="1" operator="containsText" text="DL">
      <formula>NOT(ISERROR(SEARCH("DL",V96)))</formula>
    </cfRule>
    <cfRule type="containsText" dxfId="51" priority="58" stopIfTrue="1" operator="containsText" text="RXS">
      <formula>NOT(ISERROR(SEARCH("RXS",V96)))</formula>
    </cfRule>
    <cfRule type="containsText" dxfId="50" priority="68" stopIfTrue="1" operator="containsText" text="Chaser">
      <formula>NOT(ISERROR(SEARCH("Chaser",V96)))</formula>
    </cfRule>
    <cfRule type="containsText" dxfId="49" priority="63" stopIfTrue="1" operator="containsText" text="OT">
      <formula>NOT(ISERROR(SEARCH("OT",V96)))</formula>
    </cfRule>
    <cfRule type="containsText" dxfId="48" priority="57" stopIfTrue="1" operator="containsText" text="Screening">
      <formula>NOT(ISERROR(SEARCH("Screening",V96)))</formula>
    </cfRule>
    <cfRule type="containsText" dxfId="47" priority="56" stopIfTrue="1" operator="containsText" text="Shift">
      <formula>NOT(ISERROR(SEARCH("Shift",V96)))</formula>
    </cfRule>
    <cfRule type="containsText" dxfId="46" priority="64" stopIfTrue="1" operator="containsText" text="Shift">
      <formula>NOT(ISERROR(SEARCH("Shift",V96)))</formula>
    </cfRule>
    <cfRule type="containsText" dxfId="45" priority="55" stopIfTrue="1" operator="containsText" text="OT">
      <formula>NOT(ISERROR(SEARCH("OT",V96)))</formula>
    </cfRule>
    <cfRule type="containsText" dxfId="44" priority="61" stopIfTrue="1" operator="containsText" text="DL">
      <formula>NOT(ISERROR(SEARCH("DL",V96)))</formula>
    </cfRule>
    <cfRule type="containsText" dxfId="43" priority="60" stopIfTrue="1" operator="containsText" text="Chaser">
      <formula>NOT(ISERROR(SEARCH("Chaser",V96)))</formula>
    </cfRule>
    <cfRule type="containsText" dxfId="42" priority="59" stopIfTrue="1" operator="containsText" text="CTO">
      <formula>NOT(ISERROR(SEARCH("CTO",V96)))</formula>
    </cfRule>
    <cfRule type="containsText" dxfId="41" priority="62" stopIfTrue="1" operator="containsText" text="TG">
      <formula>NOT(ISERROR(SEARCH("TG",V96)))</formula>
    </cfRule>
  </conditionalFormatting>
  <pageMargins left="0.25" right="0.25" top="0.25" bottom="0.25" header="0" footer="0"/>
  <pageSetup paperSize="9" scale="33" fitToHeight="0" orientation="portrait" r:id="rId1"/>
  <headerFooter alignWithMargins="0">
    <oddFooter>&amp;L&amp;1#&amp;"Calibri"&amp;6&amp;K737373BUSINESS DOCUMENT  This document is intended for business use and should be distributed to intended recipients only.</oddFooter>
  </headerFooter>
  <ignoredErrors>
    <ignoredError sqref="P160:P162 P164:P166 P168:P170 P174 P176:P178 P181 P186 P188:P190 V24 V50 V76"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E460-C7AC-4FEC-9D72-2C358E456028}">
  <dimension ref="A1"/>
  <sheetViews>
    <sheetView workbookViewId="0"/>
  </sheetViews>
  <sheetFormatPr defaultRowHeight="12.7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5"/>
  <sheetViews>
    <sheetView zoomScale="90" zoomScaleNormal="90" workbookViewId="0">
      <pane ySplit="1" topLeftCell="A2" activePane="bottomLeft" state="frozen"/>
      <selection pane="bottomLeft" activeCell="H46" sqref="H46"/>
    </sheetView>
  </sheetViews>
  <sheetFormatPr defaultColWidth="9.140625" defaultRowHeight="12.75" x14ac:dyDescent="0.2"/>
  <cols>
    <col min="1" max="1" width="25" style="43" bestFit="1" customWidth="1"/>
    <col min="2" max="2" width="8.42578125" style="43" bestFit="1" customWidth="1"/>
    <col min="3" max="3" width="20.42578125" style="43" customWidth="1"/>
    <col min="4" max="4" width="29.42578125" style="43" customWidth="1"/>
    <col min="5" max="5" width="20.28515625" style="43" bestFit="1" customWidth="1"/>
    <col min="6" max="6" width="18" style="43" bestFit="1" customWidth="1"/>
    <col min="7" max="7" width="18.28515625" style="43" bestFit="1" customWidth="1"/>
    <col min="8" max="8" width="19.42578125" style="43" bestFit="1" customWidth="1"/>
    <col min="9" max="9" width="17" style="43" bestFit="1" customWidth="1"/>
    <col min="10" max="10" width="17.28515625" style="43" bestFit="1" customWidth="1"/>
    <col min="11" max="11" width="12.85546875" style="43" bestFit="1" customWidth="1"/>
    <col min="12" max="12" width="17.140625" style="43" bestFit="1" customWidth="1"/>
    <col min="13" max="13" width="21.85546875" style="43" customWidth="1"/>
    <col min="14" max="16384" width="9.140625" style="43"/>
  </cols>
  <sheetData>
    <row r="1" spans="1:13" ht="18.75" x14ac:dyDescent="0.3">
      <c r="A1" s="81" t="s">
        <v>156</v>
      </c>
      <c r="B1" s="69" t="s">
        <v>13</v>
      </c>
      <c r="C1" s="69" t="s">
        <v>157</v>
      </c>
      <c r="D1" s="69" t="s">
        <v>158</v>
      </c>
      <c r="E1" s="79" t="s">
        <v>159</v>
      </c>
      <c r="F1" s="79" t="s">
        <v>160</v>
      </c>
      <c r="G1" s="79" t="s">
        <v>161</v>
      </c>
      <c r="H1" s="80" t="s">
        <v>162</v>
      </c>
      <c r="I1" s="80" t="s">
        <v>163</v>
      </c>
      <c r="J1" s="80" t="s">
        <v>164</v>
      </c>
      <c r="K1" s="69" t="s">
        <v>165</v>
      </c>
      <c r="L1" s="69" t="s">
        <v>166</v>
      </c>
      <c r="M1" s="69" t="s">
        <v>167</v>
      </c>
    </row>
    <row r="2" spans="1:13" ht="18.75" x14ac:dyDescent="0.3">
      <c r="A2" s="66"/>
      <c r="B2" s="66"/>
      <c r="C2" s="66"/>
      <c r="D2" s="67"/>
      <c r="E2" s="67"/>
      <c r="F2" s="67"/>
      <c r="G2" s="67"/>
      <c r="H2" s="64"/>
      <c r="I2" s="64"/>
      <c r="J2" s="64"/>
      <c r="K2" s="65">
        <f>SUM(E2:J2)</f>
        <v>0</v>
      </c>
      <c r="L2" s="64"/>
      <c r="M2" s="64"/>
    </row>
    <row r="3" spans="1:13" ht="18.75" x14ac:dyDescent="0.3">
      <c r="A3" s="66"/>
      <c r="B3" s="66"/>
      <c r="C3" s="66"/>
      <c r="D3" s="67"/>
      <c r="E3" s="67"/>
      <c r="F3" s="67"/>
      <c r="G3" s="67"/>
      <c r="H3" s="64"/>
      <c r="I3" s="64"/>
      <c r="J3" s="64"/>
      <c r="K3" s="65">
        <f t="shared" ref="K3:K51" si="0">SUM(E3:J3)</f>
        <v>0</v>
      </c>
      <c r="L3" s="64"/>
      <c r="M3" s="64"/>
    </row>
    <row r="4" spans="1:13" ht="18.75" x14ac:dyDescent="0.3">
      <c r="A4" s="66"/>
      <c r="B4" s="66"/>
      <c r="C4" s="66"/>
      <c r="D4" s="67"/>
      <c r="E4" s="67"/>
      <c r="F4" s="67"/>
      <c r="G4" s="67"/>
      <c r="H4" s="64"/>
      <c r="I4" s="64"/>
      <c r="J4" s="64"/>
      <c r="K4" s="65">
        <f t="shared" si="0"/>
        <v>0</v>
      </c>
      <c r="L4" s="64"/>
      <c r="M4" s="64"/>
    </row>
    <row r="5" spans="1:13" ht="18.75" x14ac:dyDescent="0.3">
      <c r="A5" s="66"/>
      <c r="B5" s="66"/>
      <c r="C5" s="66"/>
      <c r="D5" s="67"/>
      <c r="E5" s="67"/>
      <c r="F5" s="67"/>
      <c r="G5" s="67"/>
      <c r="H5" s="64"/>
      <c r="I5" s="64"/>
      <c r="J5" s="64"/>
      <c r="K5" s="65">
        <f t="shared" si="0"/>
        <v>0</v>
      </c>
      <c r="L5" s="64"/>
      <c r="M5" s="64"/>
    </row>
    <row r="6" spans="1:13" ht="18.75" x14ac:dyDescent="0.3">
      <c r="A6" s="66"/>
      <c r="B6" s="66"/>
      <c r="C6" s="66"/>
      <c r="D6" s="67"/>
      <c r="E6" s="67"/>
      <c r="F6" s="67"/>
      <c r="G6" s="67"/>
      <c r="H6" s="64"/>
      <c r="I6" s="64"/>
      <c r="J6" s="64"/>
      <c r="K6" s="65">
        <f t="shared" si="0"/>
        <v>0</v>
      </c>
      <c r="L6" s="64"/>
      <c r="M6" s="64"/>
    </row>
    <row r="7" spans="1:13" ht="18.75" x14ac:dyDescent="0.3">
      <c r="A7" s="66"/>
      <c r="B7" s="66"/>
      <c r="C7" s="66"/>
      <c r="D7" s="67"/>
      <c r="E7" s="67"/>
      <c r="F7" s="67"/>
      <c r="G7" s="67"/>
      <c r="H7" s="64"/>
      <c r="I7" s="64"/>
      <c r="J7" s="64"/>
      <c r="K7" s="65">
        <f t="shared" si="0"/>
        <v>0</v>
      </c>
      <c r="L7" s="64"/>
      <c r="M7" s="64"/>
    </row>
    <row r="8" spans="1:13" ht="18.75" x14ac:dyDescent="0.3">
      <c r="A8" s="66"/>
      <c r="B8" s="66"/>
      <c r="C8" s="66"/>
      <c r="D8" s="67"/>
      <c r="E8" s="67"/>
      <c r="F8" s="67"/>
      <c r="G8" s="67"/>
      <c r="H8" s="64"/>
      <c r="I8" s="64"/>
      <c r="J8" s="64"/>
      <c r="K8" s="65">
        <f t="shared" si="0"/>
        <v>0</v>
      </c>
      <c r="L8" s="64"/>
      <c r="M8" s="64"/>
    </row>
    <row r="9" spans="1:13" ht="18.75" x14ac:dyDescent="0.3">
      <c r="A9" s="66"/>
      <c r="B9" s="66"/>
      <c r="C9" s="66"/>
      <c r="D9" s="67"/>
      <c r="E9" s="67"/>
      <c r="F9" s="67"/>
      <c r="G9" s="67"/>
      <c r="H9" s="64"/>
      <c r="I9" s="64"/>
      <c r="J9" s="64"/>
      <c r="K9" s="65">
        <f t="shared" si="0"/>
        <v>0</v>
      </c>
      <c r="L9" s="64"/>
      <c r="M9" s="64"/>
    </row>
    <row r="10" spans="1:13" ht="18.75" x14ac:dyDescent="0.3">
      <c r="A10" s="66"/>
      <c r="B10" s="66"/>
      <c r="C10" s="66"/>
      <c r="D10" s="67"/>
      <c r="E10" s="67"/>
      <c r="F10" s="67"/>
      <c r="G10" s="67"/>
      <c r="H10" s="64"/>
      <c r="I10" s="64"/>
      <c r="J10" s="64"/>
      <c r="K10" s="65">
        <f t="shared" si="0"/>
        <v>0</v>
      </c>
      <c r="L10" s="64"/>
      <c r="M10" s="64"/>
    </row>
    <row r="11" spans="1:13" ht="18.75" x14ac:dyDescent="0.3">
      <c r="A11" s="66"/>
      <c r="B11" s="66"/>
      <c r="C11" s="66"/>
      <c r="D11" s="67"/>
      <c r="E11" s="67"/>
      <c r="F11" s="67"/>
      <c r="G11" s="67"/>
      <c r="H11" s="64"/>
      <c r="I11" s="64"/>
      <c r="J11" s="64"/>
      <c r="K11" s="65">
        <f t="shared" si="0"/>
        <v>0</v>
      </c>
      <c r="L11" s="64"/>
      <c r="M11" s="64"/>
    </row>
    <row r="12" spans="1:13" ht="18.75" x14ac:dyDescent="0.3">
      <c r="A12" s="66"/>
      <c r="B12" s="66"/>
      <c r="C12" s="66"/>
      <c r="D12" s="67"/>
      <c r="E12" s="67"/>
      <c r="F12" s="67"/>
      <c r="G12" s="67"/>
      <c r="H12" s="64"/>
      <c r="I12" s="64"/>
      <c r="J12" s="64"/>
      <c r="K12" s="65">
        <f t="shared" si="0"/>
        <v>0</v>
      </c>
      <c r="L12" s="64"/>
      <c r="M12" s="64"/>
    </row>
    <row r="13" spans="1:13" ht="18.75" x14ac:dyDescent="0.3">
      <c r="A13" s="66"/>
      <c r="B13" s="66"/>
      <c r="C13" s="66"/>
      <c r="D13" s="67"/>
      <c r="E13" s="67"/>
      <c r="F13" s="67"/>
      <c r="G13" s="67"/>
      <c r="H13" s="64"/>
      <c r="I13" s="64"/>
      <c r="J13" s="64"/>
      <c r="K13" s="65">
        <f t="shared" si="0"/>
        <v>0</v>
      </c>
      <c r="L13" s="64"/>
      <c r="M13" s="64"/>
    </row>
    <row r="14" spans="1:13" ht="18.75" x14ac:dyDescent="0.3">
      <c r="A14" s="66"/>
      <c r="B14" s="66"/>
      <c r="C14" s="66"/>
      <c r="D14" s="67"/>
      <c r="E14" s="67"/>
      <c r="F14" s="67"/>
      <c r="G14" s="67"/>
      <c r="H14" s="64"/>
      <c r="I14" s="64"/>
      <c r="J14" s="64"/>
      <c r="K14" s="65">
        <f t="shared" si="0"/>
        <v>0</v>
      </c>
      <c r="L14" s="64"/>
      <c r="M14" s="64"/>
    </row>
    <row r="15" spans="1:13" ht="18.75" x14ac:dyDescent="0.3">
      <c r="A15" s="66"/>
      <c r="B15" s="66"/>
      <c r="C15" s="66"/>
      <c r="D15" s="67"/>
      <c r="E15" s="67"/>
      <c r="F15" s="67"/>
      <c r="G15" s="67"/>
      <c r="H15" s="64"/>
      <c r="I15" s="64"/>
      <c r="J15" s="64"/>
      <c r="K15" s="65">
        <f t="shared" si="0"/>
        <v>0</v>
      </c>
      <c r="L15" s="64"/>
      <c r="M15" s="64"/>
    </row>
    <row r="16" spans="1:13" ht="18.75" x14ac:dyDescent="0.3">
      <c r="A16" s="66"/>
      <c r="B16" s="66"/>
      <c r="C16" s="66"/>
      <c r="D16" s="67"/>
      <c r="E16" s="67"/>
      <c r="F16" s="67"/>
      <c r="G16" s="67"/>
      <c r="H16" s="64"/>
      <c r="I16" s="64"/>
      <c r="J16" s="64"/>
      <c r="K16" s="65">
        <f t="shared" si="0"/>
        <v>0</v>
      </c>
      <c r="L16" s="64"/>
      <c r="M16" s="64"/>
    </row>
    <row r="17" spans="1:13" ht="18.75" x14ac:dyDescent="0.3">
      <c r="A17" s="66"/>
      <c r="B17" s="66"/>
      <c r="C17" s="66"/>
      <c r="D17" s="67"/>
      <c r="E17" s="67"/>
      <c r="F17" s="67"/>
      <c r="G17" s="67"/>
      <c r="H17" s="64"/>
      <c r="I17" s="64"/>
      <c r="J17" s="64"/>
      <c r="K17" s="65">
        <f t="shared" si="0"/>
        <v>0</v>
      </c>
      <c r="L17" s="64"/>
      <c r="M17" s="64"/>
    </row>
    <row r="18" spans="1:13" ht="18.75" x14ac:dyDescent="0.3">
      <c r="A18" s="66"/>
      <c r="B18" s="66"/>
      <c r="C18" s="66"/>
      <c r="D18" s="67"/>
      <c r="E18" s="67"/>
      <c r="F18" s="67"/>
      <c r="G18" s="67"/>
      <c r="H18" s="64"/>
      <c r="I18" s="64"/>
      <c r="J18" s="64"/>
      <c r="K18" s="65">
        <f t="shared" si="0"/>
        <v>0</v>
      </c>
      <c r="L18" s="64"/>
      <c r="M18" s="64"/>
    </row>
    <row r="19" spans="1:13" ht="18.75" x14ac:dyDescent="0.3">
      <c r="A19" s="66"/>
      <c r="B19" s="66"/>
      <c r="C19" s="66"/>
      <c r="D19" s="67"/>
      <c r="E19" s="67"/>
      <c r="F19" s="67"/>
      <c r="G19" s="67"/>
      <c r="H19" s="64"/>
      <c r="I19" s="64"/>
      <c r="J19" s="64"/>
      <c r="K19" s="65">
        <f t="shared" si="0"/>
        <v>0</v>
      </c>
      <c r="L19" s="64"/>
      <c r="M19" s="64"/>
    </row>
    <row r="20" spans="1:13" ht="18.75" x14ac:dyDescent="0.3">
      <c r="A20" s="66"/>
      <c r="B20" s="66"/>
      <c r="C20" s="66"/>
      <c r="D20" s="67"/>
      <c r="E20" s="67"/>
      <c r="F20" s="67"/>
      <c r="G20" s="67"/>
      <c r="H20" s="64"/>
      <c r="I20" s="64"/>
      <c r="J20" s="64"/>
      <c r="K20" s="65">
        <f t="shared" si="0"/>
        <v>0</v>
      </c>
      <c r="L20" s="64"/>
      <c r="M20" s="64"/>
    </row>
    <row r="21" spans="1:13" ht="18.75" x14ac:dyDescent="0.3">
      <c r="A21" s="66"/>
      <c r="B21" s="66"/>
      <c r="C21" s="66"/>
      <c r="D21" s="67"/>
      <c r="E21" s="67"/>
      <c r="F21" s="67"/>
      <c r="G21" s="67"/>
      <c r="H21" s="64"/>
      <c r="I21" s="64"/>
      <c r="J21" s="64"/>
      <c r="K21" s="65">
        <f t="shared" si="0"/>
        <v>0</v>
      </c>
      <c r="L21" s="64"/>
      <c r="M21" s="64"/>
    </row>
    <row r="22" spans="1:13" ht="18.75" x14ac:dyDescent="0.3">
      <c r="A22" s="66"/>
      <c r="B22" s="66"/>
      <c r="C22" s="66"/>
      <c r="D22" s="67"/>
      <c r="E22" s="67"/>
      <c r="F22" s="67"/>
      <c r="G22" s="67"/>
      <c r="H22" s="64"/>
      <c r="I22" s="64"/>
      <c r="J22" s="64"/>
      <c r="K22" s="65">
        <f t="shared" si="0"/>
        <v>0</v>
      </c>
      <c r="L22" s="64"/>
      <c r="M22" s="64"/>
    </row>
    <row r="23" spans="1:13" ht="18.75" x14ac:dyDescent="0.3">
      <c r="A23" s="66"/>
      <c r="B23" s="66"/>
      <c r="C23" s="66"/>
      <c r="D23" s="67"/>
      <c r="E23" s="67"/>
      <c r="F23" s="67"/>
      <c r="G23" s="67"/>
      <c r="H23" s="64"/>
      <c r="I23" s="64"/>
      <c r="J23" s="64"/>
      <c r="K23" s="65">
        <f t="shared" si="0"/>
        <v>0</v>
      </c>
      <c r="L23" s="64"/>
      <c r="M23" s="64"/>
    </row>
    <row r="24" spans="1:13" ht="18.75" x14ac:dyDescent="0.3">
      <c r="A24" s="66"/>
      <c r="B24" s="66"/>
      <c r="C24" s="66"/>
      <c r="D24" s="67"/>
      <c r="E24" s="67"/>
      <c r="F24" s="67"/>
      <c r="G24" s="67"/>
      <c r="H24" s="64"/>
      <c r="I24" s="64"/>
      <c r="J24" s="64"/>
      <c r="K24" s="65">
        <f t="shared" si="0"/>
        <v>0</v>
      </c>
      <c r="L24" s="64"/>
      <c r="M24" s="64"/>
    </row>
    <row r="25" spans="1:13" ht="18.75" x14ac:dyDescent="0.3">
      <c r="A25" s="66"/>
      <c r="B25" s="66"/>
      <c r="C25" s="66"/>
      <c r="D25" s="67"/>
      <c r="E25" s="67"/>
      <c r="F25" s="67"/>
      <c r="G25" s="67"/>
      <c r="H25" s="64"/>
      <c r="I25" s="64"/>
      <c r="J25" s="64"/>
      <c r="K25" s="65">
        <f t="shared" si="0"/>
        <v>0</v>
      </c>
      <c r="L25" s="64"/>
      <c r="M25" s="64"/>
    </row>
    <row r="26" spans="1:13" ht="18.75" x14ac:dyDescent="0.3">
      <c r="A26" s="66"/>
      <c r="B26" s="66"/>
      <c r="C26" s="66"/>
      <c r="D26" s="67"/>
      <c r="E26" s="67"/>
      <c r="F26" s="67"/>
      <c r="G26" s="67"/>
      <c r="H26" s="64"/>
      <c r="I26" s="64"/>
      <c r="J26" s="64"/>
      <c r="K26" s="65">
        <f t="shared" si="0"/>
        <v>0</v>
      </c>
      <c r="L26" s="64"/>
      <c r="M26" s="64"/>
    </row>
    <row r="27" spans="1:13" ht="18.75" x14ac:dyDescent="0.3">
      <c r="A27" s="66"/>
      <c r="B27" s="66"/>
      <c r="C27" s="66"/>
      <c r="D27" s="67"/>
      <c r="E27" s="67"/>
      <c r="F27" s="67"/>
      <c r="G27" s="67"/>
      <c r="H27" s="64"/>
      <c r="I27" s="64"/>
      <c r="J27" s="64"/>
      <c r="K27" s="65">
        <f t="shared" si="0"/>
        <v>0</v>
      </c>
      <c r="L27" s="64"/>
      <c r="M27" s="64"/>
    </row>
    <row r="28" spans="1:13" ht="18.75" x14ac:dyDescent="0.3">
      <c r="A28" s="66"/>
      <c r="B28" s="66"/>
      <c r="C28" s="66"/>
      <c r="D28" s="67"/>
      <c r="E28" s="67"/>
      <c r="F28" s="67"/>
      <c r="G28" s="67"/>
      <c r="H28" s="64"/>
      <c r="I28" s="64"/>
      <c r="J28" s="64"/>
      <c r="K28" s="65">
        <f t="shared" si="0"/>
        <v>0</v>
      </c>
      <c r="L28" s="64"/>
      <c r="M28" s="64"/>
    </row>
    <row r="29" spans="1:13" ht="18.75" x14ac:dyDescent="0.3">
      <c r="A29" s="66"/>
      <c r="B29" s="66"/>
      <c r="C29" s="66"/>
      <c r="D29" s="67"/>
      <c r="E29" s="67"/>
      <c r="F29" s="67"/>
      <c r="G29" s="67"/>
      <c r="H29" s="64"/>
      <c r="I29" s="64"/>
      <c r="J29" s="64"/>
      <c r="K29" s="65">
        <f t="shared" si="0"/>
        <v>0</v>
      </c>
      <c r="L29" s="64"/>
      <c r="M29" s="64"/>
    </row>
    <row r="30" spans="1:13" ht="18.75" x14ac:dyDescent="0.3">
      <c r="A30" s="66"/>
      <c r="B30" s="66"/>
      <c r="C30" s="66"/>
      <c r="D30" s="67"/>
      <c r="E30" s="67"/>
      <c r="F30" s="67"/>
      <c r="G30" s="67"/>
      <c r="H30" s="64"/>
      <c r="I30" s="64"/>
      <c r="J30" s="64"/>
      <c r="K30" s="65">
        <f t="shared" si="0"/>
        <v>0</v>
      </c>
      <c r="L30" s="64"/>
      <c r="M30" s="64"/>
    </row>
    <row r="31" spans="1:13" ht="18.75" x14ac:dyDescent="0.3">
      <c r="A31" s="66"/>
      <c r="B31" s="66"/>
      <c r="C31" s="66"/>
      <c r="D31" s="67"/>
      <c r="E31" s="67"/>
      <c r="F31" s="67"/>
      <c r="G31" s="67"/>
      <c r="H31" s="64"/>
      <c r="I31" s="64"/>
      <c r="J31" s="64"/>
      <c r="K31" s="65">
        <f t="shared" si="0"/>
        <v>0</v>
      </c>
      <c r="L31" s="64"/>
      <c r="M31" s="64"/>
    </row>
    <row r="32" spans="1:13" ht="18.75" x14ac:dyDescent="0.3">
      <c r="A32" s="66"/>
      <c r="B32" s="66"/>
      <c r="C32" s="66"/>
      <c r="D32" s="67"/>
      <c r="E32" s="67"/>
      <c r="F32" s="67"/>
      <c r="G32" s="67"/>
      <c r="H32" s="64"/>
      <c r="I32" s="64"/>
      <c r="J32" s="64"/>
      <c r="K32" s="65">
        <f t="shared" si="0"/>
        <v>0</v>
      </c>
      <c r="L32" s="64"/>
      <c r="M32" s="64"/>
    </row>
    <row r="33" spans="1:13" ht="18.75" x14ac:dyDescent="0.3">
      <c r="A33" s="66"/>
      <c r="B33" s="66"/>
      <c r="C33" s="66"/>
      <c r="D33" s="67"/>
      <c r="E33" s="67"/>
      <c r="F33" s="67"/>
      <c r="G33" s="67"/>
      <c r="H33" s="64"/>
      <c r="I33" s="64"/>
      <c r="J33" s="64"/>
      <c r="K33" s="65">
        <f t="shared" si="0"/>
        <v>0</v>
      </c>
      <c r="L33" s="64"/>
      <c r="M33" s="64"/>
    </row>
    <row r="34" spans="1:13" ht="18.75" x14ac:dyDescent="0.3">
      <c r="A34" s="66"/>
      <c r="B34" s="66"/>
      <c r="C34" s="66"/>
      <c r="D34" s="67"/>
      <c r="E34" s="67"/>
      <c r="F34" s="67"/>
      <c r="G34" s="67"/>
      <c r="H34" s="64"/>
      <c r="I34" s="64"/>
      <c r="J34" s="64"/>
      <c r="K34" s="65">
        <f t="shared" si="0"/>
        <v>0</v>
      </c>
      <c r="L34" s="64"/>
      <c r="M34" s="64"/>
    </row>
    <row r="35" spans="1:13" ht="18.75" x14ac:dyDescent="0.3">
      <c r="A35" s="66"/>
      <c r="B35" s="66"/>
      <c r="C35" s="66"/>
      <c r="D35" s="67"/>
      <c r="E35" s="67"/>
      <c r="F35" s="67"/>
      <c r="G35" s="67"/>
      <c r="H35" s="64"/>
      <c r="I35" s="64"/>
      <c r="J35" s="64"/>
      <c r="K35" s="65">
        <f t="shared" si="0"/>
        <v>0</v>
      </c>
      <c r="L35" s="64"/>
      <c r="M35" s="64"/>
    </row>
    <row r="36" spans="1:13" ht="18.75" x14ac:dyDescent="0.3">
      <c r="A36" s="66"/>
      <c r="B36" s="66"/>
      <c r="C36" s="66"/>
      <c r="D36" s="67"/>
      <c r="E36" s="67"/>
      <c r="F36" s="67"/>
      <c r="G36" s="67"/>
      <c r="H36" s="64"/>
      <c r="I36" s="64"/>
      <c r="J36" s="64"/>
      <c r="K36" s="65">
        <f t="shared" si="0"/>
        <v>0</v>
      </c>
      <c r="L36" s="64"/>
      <c r="M36" s="64"/>
    </row>
    <row r="37" spans="1:13" ht="18.75" x14ac:dyDescent="0.3">
      <c r="A37" s="66"/>
      <c r="B37" s="66"/>
      <c r="C37" s="66"/>
      <c r="D37" s="67"/>
      <c r="E37" s="67"/>
      <c r="F37" s="67"/>
      <c r="G37" s="67"/>
      <c r="H37" s="64"/>
      <c r="I37" s="64"/>
      <c r="J37" s="64"/>
      <c r="K37" s="65">
        <f t="shared" si="0"/>
        <v>0</v>
      </c>
      <c r="L37" s="64"/>
      <c r="M37" s="64"/>
    </row>
    <row r="38" spans="1:13" ht="18.75" x14ac:dyDescent="0.3">
      <c r="A38" s="66"/>
      <c r="B38" s="66"/>
      <c r="C38" s="66"/>
      <c r="D38" s="67"/>
      <c r="E38" s="67"/>
      <c r="F38" s="67"/>
      <c r="G38" s="67"/>
      <c r="H38" s="64"/>
      <c r="I38" s="64"/>
      <c r="J38" s="64"/>
      <c r="K38" s="65">
        <f t="shared" si="0"/>
        <v>0</v>
      </c>
      <c r="L38" s="64"/>
      <c r="M38" s="64"/>
    </row>
    <row r="39" spans="1:13" ht="18.75" x14ac:dyDescent="0.3">
      <c r="A39" s="66"/>
      <c r="B39" s="66"/>
      <c r="C39" s="66"/>
      <c r="D39" s="67"/>
      <c r="E39" s="67"/>
      <c r="F39" s="67"/>
      <c r="G39" s="67"/>
      <c r="H39" s="64"/>
      <c r="I39" s="64"/>
      <c r="J39" s="64"/>
      <c r="K39" s="65">
        <f t="shared" si="0"/>
        <v>0</v>
      </c>
      <c r="L39" s="64"/>
      <c r="M39" s="64"/>
    </row>
    <row r="40" spans="1:13" ht="18.75" x14ac:dyDescent="0.3">
      <c r="A40" s="66"/>
      <c r="B40" s="66"/>
      <c r="C40" s="66"/>
      <c r="D40" s="67"/>
      <c r="E40" s="67"/>
      <c r="F40" s="67"/>
      <c r="G40" s="67"/>
      <c r="H40" s="64"/>
      <c r="I40" s="64"/>
      <c r="J40" s="64"/>
      <c r="K40" s="65">
        <f t="shared" si="0"/>
        <v>0</v>
      </c>
      <c r="L40" s="64"/>
      <c r="M40" s="64"/>
    </row>
    <row r="41" spans="1:13" ht="18.75" x14ac:dyDescent="0.3">
      <c r="A41" s="66"/>
      <c r="B41" s="66"/>
      <c r="C41" s="66"/>
      <c r="D41" s="67"/>
      <c r="E41" s="67"/>
      <c r="F41" s="67"/>
      <c r="G41" s="67"/>
      <c r="H41" s="64"/>
      <c r="I41" s="64"/>
      <c r="J41" s="64"/>
      <c r="K41" s="65">
        <f t="shared" si="0"/>
        <v>0</v>
      </c>
      <c r="L41" s="64"/>
      <c r="M41" s="64"/>
    </row>
    <row r="42" spans="1:13" ht="18.75" x14ac:dyDescent="0.3">
      <c r="A42" s="66"/>
      <c r="B42" s="66"/>
      <c r="C42" s="66"/>
      <c r="D42" s="67"/>
      <c r="E42" s="67"/>
      <c r="F42" s="67"/>
      <c r="G42" s="67"/>
      <c r="H42" s="64"/>
      <c r="I42" s="64"/>
      <c r="J42" s="64"/>
      <c r="K42" s="65">
        <f t="shared" si="0"/>
        <v>0</v>
      </c>
      <c r="L42" s="64"/>
      <c r="M42" s="64"/>
    </row>
    <row r="43" spans="1:13" ht="18.75" x14ac:dyDescent="0.3">
      <c r="A43" s="66"/>
      <c r="B43" s="66"/>
      <c r="C43" s="66"/>
      <c r="D43" s="67"/>
      <c r="E43" s="67"/>
      <c r="F43" s="67"/>
      <c r="G43" s="67"/>
      <c r="H43" s="64"/>
      <c r="I43" s="64"/>
      <c r="J43" s="64"/>
      <c r="K43" s="65">
        <f t="shared" si="0"/>
        <v>0</v>
      </c>
      <c r="L43" s="64"/>
      <c r="M43" s="64"/>
    </row>
    <row r="44" spans="1:13" ht="18.75" x14ac:dyDescent="0.3">
      <c r="A44" s="66"/>
      <c r="B44" s="66"/>
      <c r="C44" s="66"/>
      <c r="D44" s="67"/>
      <c r="E44" s="67"/>
      <c r="F44" s="67"/>
      <c r="G44" s="67"/>
      <c r="H44" s="64"/>
      <c r="I44" s="64"/>
      <c r="J44" s="64"/>
      <c r="K44" s="65">
        <f t="shared" si="0"/>
        <v>0</v>
      </c>
      <c r="L44" s="64"/>
      <c r="M44" s="64"/>
    </row>
    <row r="45" spans="1:13" ht="18.75" x14ac:dyDescent="0.3">
      <c r="A45" s="66"/>
      <c r="B45" s="66"/>
      <c r="C45" s="66"/>
      <c r="D45" s="67"/>
      <c r="E45" s="67"/>
      <c r="F45" s="67"/>
      <c r="G45" s="67"/>
      <c r="H45" s="64"/>
      <c r="I45" s="64"/>
      <c r="J45" s="64"/>
      <c r="K45" s="65">
        <f t="shared" si="0"/>
        <v>0</v>
      </c>
      <c r="L45" s="64"/>
      <c r="M45" s="64"/>
    </row>
    <row r="46" spans="1:13" ht="18.75" x14ac:dyDescent="0.3">
      <c r="A46" s="66"/>
      <c r="B46" s="66"/>
      <c r="C46" s="66"/>
      <c r="D46" s="67"/>
      <c r="E46" s="67"/>
      <c r="F46" s="67"/>
      <c r="G46" s="67"/>
      <c r="H46" s="64"/>
      <c r="I46" s="64"/>
      <c r="J46" s="64"/>
      <c r="K46" s="65">
        <f t="shared" si="0"/>
        <v>0</v>
      </c>
      <c r="L46" s="64"/>
      <c r="M46" s="64"/>
    </row>
    <row r="47" spans="1:13" ht="18.75" x14ac:dyDescent="0.3">
      <c r="A47" s="66"/>
      <c r="B47" s="66"/>
      <c r="C47" s="66"/>
      <c r="D47" s="67"/>
      <c r="E47" s="67"/>
      <c r="F47" s="67"/>
      <c r="G47" s="67"/>
      <c r="H47" s="64"/>
      <c r="I47" s="64"/>
      <c r="J47" s="64"/>
      <c r="K47" s="65">
        <f t="shared" si="0"/>
        <v>0</v>
      </c>
      <c r="L47" s="64"/>
      <c r="M47" s="64"/>
    </row>
    <row r="48" spans="1:13" ht="18.75" x14ac:dyDescent="0.3">
      <c r="A48" s="66"/>
      <c r="B48" s="66"/>
      <c r="C48" s="66"/>
      <c r="D48" s="67"/>
      <c r="E48" s="67"/>
      <c r="F48" s="67"/>
      <c r="G48" s="67"/>
      <c r="H48" s="64"/>
      <c r="I48" s="64"/>
      <c r="J48" s="64"/>
      <c r="K48" s="65">
        <f t="shared" si="0"/>
        <v>0</v>
      </c>
      <c r="L48" s="64"/>
      <c r="M48" s="64"/>
    </row>
    <row r="49" spans="1:13" ht="18.75" x14ac:dyDescent="0.3">
      <c r="A49" s="66"/>
      <c r="B49" s="66"/>
      <c r="C49" s="66"/>
      <c r="D49" s="67"/>
      <c r="E49" s="67"/>
      <c r="F49" s="67"/>
      <c r="G49" s="67"/>
      <c r="H49" s="64"/>
      <c r="I49" s="64"/>
      <c r="J49" s="64"/>
      <c r="K49" s="65">
        <f t="shared" si="0"/>
        <v>0</v>
      </c>
      <c r="L49" s="64"/>
      <c r="M49" s="64"/>
    </row>
    <row r="50" spans="1:13" ht="18.75" x14ac:dyDescent="0.3">
      <c r="A50" s="66"/>
      <c r="B50" s="66"/>
      <c r="C50" s="66"/>
      <c r="D50" s="67"/>
      <c r="E50" s="67"/>
      <c r="F50" s="67"/>
      <c r="G50" s="67"/>
      <c r="H50" s="64"/>
      <c r="I50" s="64"/>
      <c r="J50" s="64"/>
      <c r="K50" s="65">
        <f t="shared" si="0"/>
        <v>0</v>
      </c>
      <c r="L50" s="64"/>
      <c r="M50" s="64"/>
    </row>
    <row r="51" spans="1:13" ht="18.75" x14ac:dyDescent="0.3">
      <c r="A51" s="66"/>
      <c r="B51" s="66"/>
      <c r="C51" s="66"/>
      <c r="D51" s="67"/>
      <c r="E51" s="67"/>
      <c r="F51" s="67"/>
      <c r="G51" s="67"/>
      <c r="H51" s="64"/>
      <c r="I51" s="64"/>
      <c r="J51" s="64"/>
      <c r="K51" s="65">
        <f t="shared" si="0"/>
        <v>0</v>
      </c>
      <c r="L51" s="64"/>
      <c r="M51" s="64"/>
    </row>
    <row r="52" spans="1:13" ht="18.75" x14ac:dyDescent="0.3">
      <c r="A52" s="428" t="s">
        <v>19</v>
      </c>
      <c r="B52" s="429"/>
      <c r="C52" s="429"/>
      <c r="D52" s="430"/>
      <c r="E52" s="65">
        <f t="shared" ref="E52:L52" si="1">SUM(E2:E51)</f>
        <v>0</v>
      </c>
      <c r="F52" s="65">
        <f t="shared" si="1"/>
        <v>0</v>
      </c>
      <c r="G52" s="65">
        <f t="shared" si="1"/>
        <v>0</v>
      </c>
      <c r="H52" s="65">
        <f t="shared" si="1"/>
        <v>0</v>
      </c>
      <c r="I52" s="65">
        <f t="shared" si="1"/>
        <v>0</v>
      </c>
      <c r="J52" s="65">
        <f t="shared" si="1"/>
        <v>0</v>
      </c>
      <c r="K52" s="65">
        <f t="shared" si="1"/>
        <v>0</v>
      </c>
      <c r="L52" s="65">
        <f t="shared" si="1"/>
        <v>0</v>
      </c>
      <c r="M52" s="64"/>
    </row>
    <row r="53" spans="1:13" ht="18.75" x14ac:dyDescent="0.3">
      <c r="A53" s="81" t="s">
        <v>168</v>
      </c>
      <c r="B53" s="69" t="s">
        <v>13</v>
      </c>
      <c r="C53" s="69" t="s">
        <v>157</v>
      </c>
      <c r="D53" s="69" t="s">
        <v>158</v>
      </c>
      <c r="E53" s="79" t="s">
        <v>159</v>
      </c>
      <c r="F53" s="79" t="s">
        <v>160</v>
      </c>
      <c r="G53" s="79" t="s">
        <v>161</v>
      </c>
      <c r="H53" s="80" t="s">
        <v>162</v>
      </c>
      <c r="I53" s="80" t="s">
        <v>163</v>
      </c>
      <c r="J53" s="80" t="s">
        <v>164</v>
      </c>
      <c r="K53" s="69" t="s">
        <v>165</v>
      </c>
      <c r="L53" s="69" t="s">
        <v>166</v>
      </c>
      <c r="M53" s="69" t="s">
        <v>167</v>
      </c>
    </row>
    <row r="54" spans="1:13" ht="18.75" x14ac:dyDescent="0.3">
      <c r="A54" s="68"/>
      <c r="B54" s="68"/>
      <c r="C54" s="68"/>
      <c r="D54" s="64"/>
      <c r="E54" s="64"/>
      <c r="F54" s="64"/>
      <c r="G54" s="64"/>
      <c r="H54" s="64"/>
      <c r="I54" s="64"/>
      <c r="J54" s="64"/>
      <c r="K54" s="65">
        <f>SUM(E54:J54)</f>
        <v>0</v>
      </c>
      <c r="L54" s="64"/>
      <c r="M54" s="64"/>
    </row>
    <row r="55" spans="1:13" ht="18.75" x14ac:dyDescent="0.3">
      <c r="A55" s="68"/>
      <c r="B55" s="68"/>
      <c r="C55" s="68"/>
      <c r="D55" s="64"/>
      <c r="E55" s="64"/>
      <c r="F55" s="64"/>
      <c r="G55" s="64"/>
      <c r="H55" s="64"/>
      <c r="I55" s="64"/>
      <c r="J55" s="64"/>
      <c r="K55" s="65">
        <f t="shared" ref="K55:K104" si="2">SUM(E55:J55)</f>
        <v>0</v>
      </c>
      <c r="L55" s="64"/>
      <c r="M55" s="64"/>
    </row>
    <row r="56" spans="1:13" ht="18.75" x14ac:dyDescent="0.3">
      <c r="A56" s="68"/>
      <c r="B56" s="68"/>
      <c r="C56" s="68"/>
      <c r="D56" s="64"/>
      <c r="E56" s="64"/>
      <c r="F56" s="64"/>
      <c r="G56" s="64"/>
      <c r="H56" s="64"/>
      <c r="I56" s="64"/>
      <c r="J56" s="64"/>
      <c r="K56" s="65">
        <f t="shared" si="2"/>
        <v>0</v>
      </c>
      <c r="L56" s="64"/>
      <c r="M56" s="64"/>
    </row>
    <row r="57" spans="1:13" ht="18.75" x14ac:dyDescent="0.3">
      <c r="A57" s="68"/>
      <c r="B57" s="68"/>
      <c r="C57" s="68"/>
      <c r="D57" s="64"/>
      <c r="E57" s="64"/>
      <c r="F57" s="64"/>
      <c r="G57" s="64"/>
      <c r="H57" s="64"/>
      <c r="I57" s="64"/>
      <c r="J57" s="64"/>
      <c r="K57" s="65">
        <f t="shared" si="2"/>
        <v>0</v>
      </c>
      <c r="L57" s="64"/>
      <c r="M57" s="64"/>
    </row>
    <row r="58" spans="1:13" ht="18.75" x14ac:dyDescent="0.3">
      <c r="A58" s="68"/>
      <c r="B58" s="68"/>
      <c r="C58" s="68"/>
      <c r="D58" s="64"/>
      <c r="E58" s="64"/>
      <c r="F58" s="64"/>
      <c r="G58" s="64"/>
      <c r="H58" s="64"/>
      <c r="I58" s="64"/>
      <c r="J58" s="64"/>
      <c r="K58" s="65">
        <f t="shared" si="2"/>
        <v>0</v>
      </c>
      <c r="L58" s="64"/>
      <c r="M58" s="64"/>
    </row>
    <row r="59" spans="1:13" ht="18.75" x14ac:dyDescent="0.3">
      <c r="A59" s="68"/>
      <c r="B59" s="68"/>
      <c r="C59" s="68"/>
      <c r="D59" s="64"/>
      <c r="E59" s="64"/>
      <c r="F59" s="64"/>
      <c r="G59" s="64"/>
      <c r="H59" s="64"/>
      <c r="I59" s="64"/>
      <c r="J59" s="64"/>
      <c r="K59" s="65">
        <f t="shared" si="2"/>
        <v>0</v>
      </c>
      <c r="L59" s="64"/>
      <c r="M59" s="64"/>
    </row>
    <row r="60" spans="1:13" ht="18.75" x14ac:dyDescent="0.3">
      <c r="A60" s="68"/>
      <c r="B60" s="68"/>
      <c r="C60" s="68"/>
      <c r="D60" s="64"/>
      <c r="E60" s="64"/>
      <c r="F60" s="64"/>
      <c r="G60" s="64"/>
      <c r="H60" s="64"/>
      <c r="I60" s="64"/>
      <c r="J60" s="64"/>
      <c r="K60" s="65">
        <f t="shared" si="2"/>
        <v>0</v>
      </c>
      <c r="L60" s="64"/>
      <c r="M60" s="64"/>
    </row>
    <row r="61" spans="1:13" ht="18.75" x14ac:dyDescent="0.3">
      <c r="A61" s="68"/>
      <c r="B61" s="68"/>
      <c r="C61" s="68"/>
      <c r="D61" s="64"/>
      <c r="E61" s="64"/>
      <c r="F61" s="64"/>
      <c r="G61" s="64"/>
      <c r="H61" s="64"/>
      <c r="I61" s="64"/>
      <c r="J61" s="64"/>
      <c r="K61" s="65">
        <f t="shared" si="2"/>
        <v>0</v>
      </c>
      <c r="L61" s="64"/>
      <c r="M61" s="64"/>
    </row>
    <row r="62" spans="1:13" ht="18.75" x14ac:dyDescent="0.3">
      <c r="A62" s="68"/>
      <c r="B62" s="68"/>
      <c r="C62" s="68"/>
      <c r="D62" s="64"/>
      <c r="E62" s="64"/>
      <c r="F62" s="64"/>
      <c r="G62" s="64"/>
      <c r="H62" s="64"/>
      <c r="I62" s="64"/>
      <c r="J62" s="64"/>
      <c r="K62" s="65">
        <f t="shared" si="2"/>
        <v>0</v>
      </c>
      <c r="L62" s="64"/>
      <c r="M62" s="64"/>
    </row>
    <row r="63" spans="1:13" ht="18.75" x14ac:dyDescent="0.3">
      <c r="A63" s="68"/>
      <c r="B63" s="68"/>
      <c r="C63" s="68"/>
      <c r="D63" s="64"/>
      <c r="E63" s="64"/>
      <c r="F63" s="64"/>
      <c r="G63" s="64"/>
      <c r="H63" s="64"/>
      <c r="I63" s="64"/>
      <c r="J63" s="64"/>
      <c r="K63" s="65">
        <f t="shared" si="2"/>
        <v>0</v>
      </c>
      <c r="L63" s="64"/>
      <c r="M63" s="64"/>
    </row>
    <row r="64" spans="1:13" ht="18.75" x14ac:dyDescent="0.3">
      <c r="A64" s="68"/>
      <c r="B64" s="68"/>
      <c r="C64" s="68"/>
      <c r="D64" s="64"/>
      <c r="E64" s="64"/>
      <c r="F64" s="64"/>
      <c r="G64" s="64"/>
      <c r="H64" s="64"/>
      <c r="I64" s="64"/>
      <c r="J64" s="64"/>
      <c r="K64" s="65">
        <f t="shared" si="2"/>
        <v>0</v>
      </c>
      <c r="L64" s="64"/>
      <c r="M64" s="64"/>
    </row>
    <row r="65" spans="1:13" ht="18.75" x14ac:dyDescent="0.3">
      <c r="A65" s="68"/>
      <c r="B65" s="68"/>
      <c r="C65" s="68"/>
      <c r="D65" s="64"/>
      <c r="E65" s="64"/>
      <c r="F65" s="64"/>
      <c r="G65" s="64"/>
      <c r="H65" s="64"/>
      <c r="I65" s="64"/>
      <c r="J65" s="64"/>
      <c r="K65" s="65">
        <f t="shared" si="2"/>
        <v>0</v>
      </c>
      <c r="L65" s="64"/>
      <c r="M65" s="64"/>
    </row>
    <row r="66" spans="1:13" ht="18.75" x14ac:dyDescent="0.3">
      <c r="A66" s="68"/>
      <c r="B66" s="68"/>
      <c r="C66" s="68"/>
      <c r="D66" s="64"/>
      <c r="E66" s="64"/>
      <c r="F66" s="64"/>
      <c r="G66" s="64"/>
      <c r="H66" s="64"/>
      <c r="I66" s="64"/>
      <c r="J66" s="64"/>
      <c r="K66" s="65">
        <f t="shared" si="2"/>
        <v>0</v>
      </c>
      <c r="L66" s="64"/>
      <c r="M66" s="64"/>
    </row>
    <row r="67" spans="1:13" ht="18.75" x14ac:dyDescent="0.3">
      <c r="A67" s="68"/>
      <c r="B67" s="68"/>
      <c r="C67" s="68"/>
      <c r="D67" s="64"/>
      <c r="E67" s="64"/>
      <c r="F67" s="64"/>
      <c r="G67" s="64"/>
      <c r="H67" s="64"/>
      <c r="I67" s="64"/>
      <c r="J67" s="64"/>
      <c r="K67" s="65">
        <f t="shared" si="2"/>
        <v>0</v>
      </c>
      <c r="L67" s="64"/>
      <c r="M67" s="64"/>
    </row>
    <row r="68" spans="1:13" ht="18.75" x14ac:dyDescent="0.3">
      <c r="A68" s="68"/>
      <c r="B68" s="68"/>
      <c r="C68" s="68"/>
      <c r="D68" s="64"/>
      <c r="E68" s="64"/>
      <c r="F68" s="64"/>
      <c r="G68" s="64"/>
      <c r="H68" s="64"/>
      <c r="I68" s="64"/>
      <c r="J68" s="64"/>
      <c r="K68" s="65">
        <f t="shared" si="2"/>
        <v>0</v>
      </c>
      <c r="L68" s="64"/>
      <c r="M68" s="64"/>
    </row>
    <row r="69" spans="1:13" ht="18.75" x14ac:dyDescent="0.3">
      <c r="A69" s="68"/>
      <c r="B69" s="68"/>
      <c r="C69" s="68"/>
      <c r="D69" s="64"/>
      <c r="E69" s="64"/>
      <c r="F69" s="64"/>
      <c r="G69" s="64"/>
      <c r="H69" s="64"/>
      <c r="I69" s="64"/>
      <c r="J69" s="64"/>
      <c r="K69" s="65">
        <f t="shared" si="2"/>
        <v>0</v>
      </c>
      <c r="L69" s="64"/>
      <c r="M69" s="64"/>
    </row>
    <row r="70" spans="1:13" ht="18.75" x14ac:dyDescent="0.3">
      <c r="A70" s="68"/>
      <c r="B70" s="68"/>
      <c r="C70" s="68"/>
      <c r="D70" s="64"/>
      <c r="E70" s="64"/>
      <c r="F70" s="64"/>
      <c r="G70" s="64"/>
      <c r="H70" s="64"/>
      <c r="I70" s="64"/>
      <c r="J70" s="64"/>
      <c r="K70" s="65">
        <f t="shared" si="2"/>
        <v>0</v>
      </c>
      <c r="L70" s="64"/>
      <c r="M70" s="64"/>
    </row>
    <row r="71" spans="1:13" ht="18.75" x14ac:dyDescent="0.3">
      <c r="A71" s="68"/>
      <c r="B71" s="68"/>
      <c r="C71" s="68"/>
      <c r="D71" s="64"/>
      <c r="E71" s="64"/>
      <c r="F71" s="64"/>
      <c r="G71" s="64"/>
      <c r="H71" s="64"/>
      <c r="I71" s="64"/>
      <c r="J71" s="64"/>
      <c r="K71" s="65">
        <f t="shared" si="2"/>
        <v>0</v>
      </c>
      <c r="L71" s="64"/>
      <c r="M71" s="64"/>
    </row>
    <row r="72" spans="1:13" ht="18.75" x14ac:dyDescent="0.3">
      <c r="A72" s="68"/>
      <c r="B72" s="68"/>
      <c r="C72" s="68"/>
      <c r="D72" s="64"/>
      <c r="E72" s="64"/>
      <c r="F72" s="64"/>
      <c r="G72" s="64"/>
      <c r="H72" s="64"/>
      <c r="I72" s="64"/>
      <c r="J72" s="64"/>
      <c r="K72" s="65">
        <f t="shared" si="2"/>
        <v>0</v>
      </c>
      <c r="L72" s="64"/>
      <c r="M72" s="64"/>
    </row>
    <row r="73" spans="1:13" ht="18.75" x14ac:dyDescent="0.3">
      <c r="A73" s="68"/>
      <c r="B73" s="68"/>
      <c r="C73" s="68"/>
      <c r="D73" s="64"/>
      <c r="E73" s="64"/>
      <c r="F73" s="64"/>
      <c r="G73" s="64"/>
      <c r="H73" s="64"/>
      <c r="I73" s="64"/>
      <c r="J73" s="64"/>
      <c r="K73" s="65">
        <f t="shared" si="2"/>
        <v>0</v>
      </c>
      <c r="L73" s="64"/>
      <c r="M73" s="64"/>
    </row>
    <row r="74" spans="1:13" ht="18.75" x14ac:dyDescent="0.3">
      <c r="A74" s="68"/>
      <c r="B74" s="68"/>
      <c r="C74" s="68"/>
      <c r="D74" s="64"/>
      <c r="E74" s="64"/>
      <c r="F74" s="64"/>
      <c r="G74" s="64"/>
      <c r="H74" s="64"/>
      <c r="I74" s="64"/>
      <c r="J74" s="64"/>
      <c r="K74" s="65">
        <f t="shared" si="2"/>
        <v>0</v>
      </c>
      <c r="L74" s="64"/>
      <c r="M74" s="64"/>
    </row>
    <row r="75" spans="1:13" ht="18.75" x14ac:dyDescent="0.3">
      <c r="A75" s="68"/>
      <c r="B75" s="68"/>
      <c r="C75" s="68"/>
      <c r="D75" s="64"/>
      <c r="E75" s="64"/>
      <c r="F75" s="64"/>
      <c r="G75" s="64"/>
      <c r="H75" s="64"/>
      <c r="I75" s="64"/>
      <c r="J75" s="64"/>
      <c r="K75" s="65">
        <f t="shared" si="2"/>
        <v>0</v>
      </c>
      <c r="L75" s="64"/>
      <c r="M75" s="64"/>
    </row>
    <row r="76" spans="1:13" ht="18.75" x14ac:dyDescent="0.3">
      <c r="A76" s="68"/>
      <c r="B76" s="68"/>
      <c r="C76" s="68"/>
      <c r="D76" s="64"/>
      <c r="E76" s="64"/>
      <c r="F76" s="64"/>
      <c r="G76" s="64"/>
      <c r="H76" s="64"/>
      <c r="I76" s="64"/>
      <c r="J76" s="64"/>
      <c r="K76" s="65">
        <f t="shared" si="2"/>
        <v>0</v>
      </c>
      <c r="L76" s="64"/>
      <c r="M76" s="64"/>
    </row>
    <row r="77" spans="1:13" ht="18.75" x14ac:dyDescent="0.3">
      <c r="A77" s="68"/>
      <c r="B77" s="68"/>
      <c r="C77" s="68"/>
      <c r="D77" s="64"/>
      <c r="E77" s="64"/>
      <c r="F77" s="64"/>
      <c r="G77" s="64"/>
      <c r="H77" s="64"/>
      <c r="I77" s="64"/>
      <c r="J77" s="64"/>
      <c r="K77" s="65">
        <f t="shared" si="2"/>
        <v>0</v>
      </c>
      <c r="L77" s="64"/>
      <c r="M77" s="64"/>
    </row>
    <row r="78" spans="1:13" ht="18.75" x14ac:dyDescent="0.3">
      <c r="A78" s="68"/>
      <c r="B78" s="68"/>
      <c r="C78" s="68"/>
      <c r="D78" s="64"/>
      <c r="E78" s="64"/>
      <c r="F78" s="64"/>
      <c r="G78" s="64"/>
      <c r="H78" s="64"/>
      <c r="I78" s="64"/>
      <c r="J78" s="64"/>
      <c r="K78" s="65">
        <f t="shared" si="2"/>
        <v>0</v>
      </c>
      <c r="L78" s="64"/>
      <c r="M78" s="64"/>
    </row>
    <row r="79" spans="1:13" ht="18.75" x14ac:dyDescent="0.3">
      <c r="A79" s="68"/>
      <c r="B79" s="68"/>
      <c r="C79" s="68"/>
      <c r="D79" s="64"/>
      <c r="E79" s="64"/>
      <c r="F79" s="64"/>
      <c r="G79" s="64"/>
      <c r="H79" s="64"/>
      <c r="I79" s="64"/>
      <c r="J79" s="64"/>
      <c r="K79" s="65">
        <f t="shared" si="2"/>
        <v>0</v>
      </c>
      <c r="L79" s="64"/>
      <c r="M79" s="64"/>
    </row>
    <row r="80" spans="1:13" ht="18.75" x14ac:dyDescent="0.3">
      <c r="A80" s="68"/>
      <c r="B80" s="68"/>
      <c r="C80" s="68"/>
      <c r="D80" s="64"/>
      <c r="E80" s="64"/>
      <c r="F80" s="64"/>
      <c r="G80" s="64"/>
      <c r="H80" s="64"/>
      <c r="I80" s="64"/>
      <c r="J80" s="64"/>
      <c r="K80" s="65">
        <f t="shared" si="2"/>
        <v>0</v>
      </c>
      <c r="L80" s="64"/>
      <c r="M80" s="64"/>
    </row>
    <row r="81" spans="1:13" ht="18.75" x14ac:dyDescent="0.3">
      <c r="A81" s="68"/>
      <c r="B81" s="68"/>
      <c r="C81" s="68"/>
      <c r="D81" s="64"/>
      <c r="E81" s="64"/>
      <c r="F81" s="64"/>
      <c r="G81" s="64"/>
      <c r="H81" s="64"/>
      <c r="I81" s="64"/>
      <c r="J81" s="64"/>
      <c r="K81" s="65">
        <f t="shared" si="2"/>
        <v>0</v>
      </c>
      <c r="L81" s="64"/>
      <c r="M81" s="64"/>
    </row>
    <row r="82" spans="1:13" ht="18.75" x14ac:dyDescent="0.3">
      <c r="A82" s="68"/>
      <c r="B82" s="68"/>
      <c r="C82" s="68"/>
      <c r="D82" s="64"/>
      <c r="E82" s="64"/>
      <c r="F82" s="64"/>
      <c r="G82" s="64"/>
      <c r="H82" s="64"/>
      <c r="I82" s="64"/>
      <c r="J82" s="64"/>
      <c r="K82" s="65">
        <f t="shared" si="2"/>
        <v>0</v>
      </c>
      <c r="L82" s="64"/>
      <c r="M82" s="64"/>
    </row>
    <row r="83" spans="1:13" ht="18.75" x14ac:dyDescent="0.3">
      <c r="A83" s="68"/>
      <c r="B83" s="68"/>
      <c r="C83" s="68"/>
      <c r="D83" s="64"/>
      <c r="E83" s="64"/>
      <c r="F83" s="64"/>
      <c r="G83" s="64"/>
      <c r="H83" s="64"/>
      <c r="I83" s="64"/>
      <c r="J83" s="64"/>
      <c r="K83" s="65">
        <f t="shared" si="2"/>
        <v>0</v>
      </c>
      <c r="L83" s="64"/>
      <c r="M83" s="64"/>
    </row>
    <row r="84" spans="1:13" ht="18.75" x14ac:dyDescent="0.3">
      <c r="A84" s="68"/>
      <c r="B84" s="68"/>
      <c r="C84" s="68"/>
      <c r="D84" s="64"/>
      <c r="E84" s="64"/>
      <c r="F84" s="64"/>
      <c r="G84" s="64"/>
      <c r="H84" s="64"/>
      <c r="I84" s="64"/>
      <c r="J84" s="64"/>
      <c r="K84" s="65">
        <f t="shared" si="2"/>
        <v>0</v>
      </c>
      <c r="L84" s="64"/>
      <c r="M84" s="64"/>
    </row>
    <row r="85" spans="1:13" ht="18.75" x14ac:dyDescent="0.3">
      <c r="A85" s="68"/>
      <c r="B85" s="68"/>
      <c r="C85" s="68"/>
      <c r="D85" s="64"/>
      <c r="E85" s="64"/>
      <c r="F85" s="64"/>
      <c r="G85" s="64"/>
      <c r="H85" s="64"/>
      <c r="I85" s="64"/>
      <c r="J85" s="64"/>
      <c r="K85" s="65">
        <f t="shared" si="2"/>
        <v>0</v>
      </c>
      <c r="L85" s="64"/>
      <c r="M85" s="64"/>
    </row>
    <row r="86" spans="1:13" ht="18.75" x14ac:dyDescent="0.3">
      <c r="A86" s="68"/>
      <c r="B86" s="68"/>
      <c r="C86" s="68"/>
      <c r="D86" s="64"/>
      <c r="E86" s="64"/>
      <c r="F86" s="64"/>
      <c r="G86" s="64"/>
      <c r="H86" s="64"/>
      <c r="I86" s="64"/>
      <c r="J86" s="64"/>
      <c r="K86" s="65">
        <f t="shared" si="2"/>
        <v>0</v>
      </c>
      <c r="L86" s="64"/>
      <c r="M86" s="64"/>
    </row>
    <row r="87" spans="1:13" ht="18.75" x14ac:dyDescent="0.3">
      <c r="A87" s="68"/>
      <c r="B87" s="68"/>
      <c r="C87" s="68"/>
      <c r="D87" s="64"/>
      <c r="E87" s="64"/>
      <c r="F87" s="64"/>
      <c r="G87" s="64"/>
      <c r="H87" s="64"/>
      <c r="I87" s="64"/>
      <c r="J87" s="64"/>
      <c r="K87" s="65">
        <f t="shared" si="2"/>
        <v>0</v>
      </c>
      <c r="L87" s="64"/>
      <c r="M87" s="64"/>
    </row>
    <row r="88" spans="1:13" ht="18.75" x14ac:dyDescent="0.3">
      <c r="A88" s="68"/>
      <c r="B88" s="68"/>
      <c r="C88" s="68"/>
      <c r="D88" s="64"/>
      <c r="E88" s="64"/>
      <c r="F88" s="64"/>
      <c r="G88" s="64"/>
      <c r="H88" s="64"/>
      <c r="I88" s="64"/>
      <c r="J88" s="64"/>
      <c r="K88" s="65">
        <f t="shared" si="2"/>
        <v>0</v>
      </c>
      <c r="L88" s="64"/>
      <c r="M88" s="64"/>
    </row>
    <row r="89" spans="1:13" ht="18.75" x14ac:dyDescent="0.3">
      <c r="A89" s="68"/>
      <c r="B89" s="68"/>
      <c r="C89" s="68"/>
      <c r="D89" s="64"/>
      <c r="E89" s="64"/>
      <c r="F89" s="64"/>
      <c r="G89" s="64"/>
      <c r="H89" s="64"/>
      <c r="I89" s="64"/>
      <c r="J89" s="64"/>
      <c r="K89" s="65">
        <f t="shared" si="2"/>
        <v>0</v>
      </c>
      <c r="L89" s="64"/>
      <c r="M89" s="64"/>
    </row>
    <row r="90" spans="1:13" ht="18.75" x14ac:dyDescent="0.3">
      <c r="A90" s="68"/>
      <c r="B90" s="68"/>
      <c r="C90" s="68"/>
      <c r="D90" s="64"/>
      <c r="E90" s="64"/>
      <c r="F90" s="64"/>
      <c r="G90" s="64"/>
      <c r="H90" s="64"/>
      <c r="I90" s="64"/>
      <c r="J90" s="64"/>
      <c r="K90" s="65">
        <f t="shared" si="2"/>
        <v>0</v>
      </c>
      <c r="L90" s="64"/>
      <c r="M90" s="64"/>
    </row>
    <row r="91" spans="1:13" ht="18.75" x14ac:dyDescent="0.3">
      <c r="A91" s="68"/>
      <c r="B91" s="68"/>
      <c r="C91" s="68"/>
      <c r="D91" s="64"/>
      <c r="E91" s="64"/>
      <c r="F91" s="64"/>
      <c r="G91" s="64"/>
      <c r="H91" s="64"/>
      <c r="I91" s="64"/>
      <c r="J91" s="64"/>
      <c r="K91" s="65">
        <f t="shared" si="2"/>
        <v>0</v>
      </c>
      <c r="L91" s="64"/>
      <c r="M91" s="64"/>
    </row>
    <row r="92" spans="1:13" ht="18.75" x14ac:dyDescent="0.3">
      <c r="A92" s="68"/>
      <c r="B92" s="68"/>
      <c r="C92" s="68"/>
      <c r="D92" s="64"/>
      <c r="E92" s="64"/>
      <c r="F92" s="64"/>
      <c r="G92" s="64"/>
      <c r="H92" s="64"/>
      <c r="I92" s="64"/>
      <c r="J92" s="64"/>
      <c r="K92" s="65">
        <f t="shared" si="2"/>
        <v>0</v>
      </c>
      <c r="L92" s="64"/>
      <c r="M92" s="64"/>
    </row>
    <row r="93" spans="1:13" ht="18.75" x14ac:dyDescent="0.3">
      <c r="A93" s="68"/>
      <c r="B93" s="68"/>
      <c r="C93" s="68"/>
      <c r="D93" s="64"/>
      <c r="E93" s="64"/>
      <c r="F93" s="64"/>
      <c r="G93" s="64"/>
      <c r="H93" s="64"/>
      <c r="I93" s="64"/>
      <c r="J93" s="64"/>
      <c r="K93" s="65">
        <f t="shared" si="2"/>
        <v>0</v>
      </c>
      <c r="L93" s="64"/>
      <c r="M93" s="64"/>
    </row>
    <row r="94" spans="1:13" ht="18.75" x14ac:dyDescent="0.3">
      <c r="A94" s="68"/>
      <c r="B94" s="68"/>
      <c r="C94" s="68"/>
      <c r="D94" s="64"/>
      <c r="E94" s="64"/>
      <c r="F94" s="64"/>
      <c r="G94" s="64"/>
      <c r="H94" s="64"/>
      <c r="I94" s="64"/>
      <c r="J94" s="64"/>
      <c r="K94" s="65">
        <f t="shared" si="2"/>
        <v>0</v>
      </c>
      <c r="L94" s="64"/>
      <c r="M94" s="64"/>
    </row>
    <row r="95" spans="1:13" ht="18.75" x14ac:dyDescent="0.3">
      <c r="A95" s="68"/>
      <c r="B95" s="68"/>
      <c r="C95" s="68"/>
      <c r="D95" s="64"/>
      <c r="E95" s="64"/>
      <c r="F95" s="64"/>
      <c r="G95" s="64"/>
      <c r="H95" s="64"/>
      <c r="I95" s="64"/>
      <c r="J95" s="64"/>
      <c r="K95" s="65">
        <f t="shared" si="2"/>
        <v>0</v>
      </c>
      <c r="L95" s="64"/>
      <c r="M95" s="64"/>
    </row>
    <row r="96" spans="1:13" ht="18.75" x14ac:dyDescent="0.3">
      <c r="A96" s="68"/>
      <c r="B96" s="68"/>
      <c r="C96" s="68"/>
      <c r="D96" s="64"/>
      <c r="E96" s="64"/>
      <c r="F96" s="64"/>
      <c r="G96" s="64"/>
      <c r="H96" s="64"/>
      <c r="I96" s="64"/>
      <c r="J96" s="64"/>
      <c r="K96" s="65">
        <f t="shared" si="2"/>
        <v>0</v>
      </c>
      <c r="L96" s="64"/>
      <c r="M96" s="64"/>
    </row>
    <row r="97" spans="1:13" ht="18.75" x14ac:dyDescent="0.3">
      <c r="A97" s="68"/>
      <c r="B97" s="68"/>
      <c r="C97" s="68"/>
      <c r="D97" s="64"/>
      <c r="E97" s="64"/>
      <c r="F97" s="64"/>
      <c r="G97" s="64"/>
      <c r="H97" s="64"/>
      <c r="I97" s="64"/>
      <c r="J97" s="64"/>
      <c r="K97" s="65">
        <f t="shared" si="2"/>
        <v>0</v>
      </c>
      <c r="L97" s="64"/>
      <c r="M97" s="64"/>
    </row>
    <row r="98" spans="1:13" ht="18.75" x14ac:dyDescent="0.3">
      <c r="A98" s="68"/>
      <c r="B98" s="68"/>
      <c r="C98" s="68"/>
      <c r="D98" s="64"/>
      <c r="E98" s="64"/>
      <c r="F98" s="64"/>
      <c r="G98" s="64"/>
      <c r="H98" s="64"/>
      <c r="I98" s="64"/>
      <c r="J98" s="64"/>
      <c r="K98" s="65">
        <f t="shared" si="2"/>
        <v>0</v>
      </c>
      <c r="L98" s="64"/>
      <c r="M98" s="64"/>
    </row>
    <row r="99" spans="1:13" ht="18.75" x14ac:dyDescent="0.3">
      <c r="A99" s="68"/>
      <c r="B99" s="68"/>
      <c r="C99" s="68"/>
      <c r="D99" s="64"/>
      <c r="E99" s="64"/>
      <c r="F99" s="64"/>
      <c r="G99" s="64"/>
      <c r="H99" s="64"/>
      <c r="I99" s="64"/>
      <c r="J99" s="64"/>
      <c r="K99" s="65">
        <f t="shared" si="2"/>
        <v>0</v>
      </c>
      <c r="L99" s="64"/>
      <c r="M99" s="64"/>
    </row>
    <row r="100" spans="1:13" ht="18.75" x14ac:dyDescent="0.3">
      <c r="A100" s="68"/>
      <c r="B100" s="68"/>
      <c r="C100" s="68"/>
      <c r="D100" s="64"/>
      <c r="E100" s="64"/>
      <c r="F100" s="64"/>
      <c r="G100" s="64"/>
      <c r="H100" s="64"/>
      <c r="I100" s="64"/>
      <c r="J100" s="64"/>
      <c r="K100" s="65">
        <f t="shared" si="2"/>
        <v>0</v>
      </c>
      <c r="L100" s="64"/>
      <c r="M100" s="64"/>
    </row>
    <row r="101" spans="1:13" ht="18.75" x14ac:dyDescent="0.3">
      <c r="A101" s="68"/>
      <c r="B101" s="68"/>
      <c r="C101" s="68"/>
      <c r="D101" s="64"/>
      <c r="E101" s="64"/>
      <c r="F101" s="64"/>
      <c r="G101" s="64"/>
      <c r="H101" s="64"/>
      <c r="I101" s="64"/>
      <c r="J101" s="64"/>
      <c r="K101" s="65">
        <f t="shared" si="2"/>
        <v>0</v>
      </c>
      <c r="L101" s="64"/>
      <c r="M101" s="64"/>
    </row>
    <row r="102" spans="1:13" ht="18.75" x14ac:dyDescent="0.3">
      <c r="A102" s="68"/>
      <c r="B102" s="68"/>
      <c r="C102" s="68"/>
      <c r="D102" s="64"/>
      <c r="E102" s="64"/>
      <c r="F102" s="64"/>
      <c r="G102" s="64"/>
      <c r="H102" s="64"/>
      <c r="I102" s="64"/>
      <c r="J102" s="64"/>
      <c r="K102" s="65">
        <f t="shared" si="2"/>
        <v>0</v>
      </c>
      <c r="L102" s="64"/>
      <c r="M102" s="64"/>
    </row>
    <row r="103" spans="1:13" ht="18.75" x14ac:dyDescent="0.3">
      <c r="A103" s="68"/>
      <c r="B103" s="68"/>
      <c r="C103" s="68"/>
      <c r="D103" s="64"/>
      <c r="E103" s="64"/>
      <c r="F103" s="64"/>
      <c r="G103" s="64"/>
      <c r="H103" s="64"/>
      <c r="I103" s="64"/>
      <c r="J103" s="64"/>
      <c r="K103" s="65">
        <f t="shared" si="2"/>
        <v>0</v>
      </c>
      <c r="L103" s="64"/>
      <c r="M103" s="64"/>
    </row>
    <row r="104" spans="1:13" ht="18.75" x14ac:dyDescent="0.3">
      <c r="A104" s="68"/>
      <c r="B104" s="68"/>
      <c r="C104" s="68"/>
      <c r="D104" s="64"/>
      <c r="E104" s="64"/>
      <c r="F104" s="64"/>
      <c r="G104" s="64"/>
      <c r="H104" s="64"/>
      <c r="I104" s="64"/>
      <c r="J104" s="64"/>
      <c r="K104" s="65">
        <f t="shared" si="2"/>
        <v>0</v>
      </c>
      <c r="L104" s="64"/>
      <c r="M104" s="64"/>
    </row>
    <row r="105" spans="1:13" ht="18.75" x14ac:dyDescent="0.3">
      <c r="A105" s="431" t="s">
        <v>19</v>
      </c>
      <c r="B105" s="432"/>
      <c r="C105" s="432"/>
      <c r="D105" s="433"/>
      <c r="E105" s="65">
        <f t="shared" ref="E105:L105" si="3">SUM(E54:E104)</f>
        <v>0</v>
      </c>
      <c r="F105" s="65">
        <f t="shared" si="3"/>
        <v>0</v>
      </c>
      <c r="G105" s="65">
        <f t="shared" si="3"/>
        <v>0</v>
      </c>
      <c r="H105" s="65">
        <f t="shared" si="3"/>
        <v>0</v>
      </c>
      <c r="I105" s="65">
        <f t="shared" si="3"/>
        <v>0</v>
      </c>
      <c r="J105" s="65">
        <f t="shared" si="3"/>
        <v>0</v>
      </c>
      <c r="K105" s="65">
        <f t="shared" si="3"/>
        <v>0</v>
      </c>
      <c r="L105" s="65">
        <f t="shared" si="3"/>
        <v>0</v>
      </c>
      <c r="M105" s="64"/>
    </row>
  </sheetData>
  <mergeCells count="2">
    <mergeCell ref="A52:D52"/>
    <mergeCell ref="A105:D105"/>
  </mergeCells>
  <pageMargins left="0.7" right="0.7" top="0.75" bottom="0.75" header="0.3" footer="0.3"/>
  <pageSetup paperSize="9" orientation="portrait" horizontalDpi="300" verticalDpi="300" r:id="rId1"/>
  <headerFooter>
    <oddFooter>&amp;L&amp;1#&amp;"Calibri"&amp;6&amp;K737373BUSINESS DOCUMENT  This document is intended for business use and should be distributed to intended recipients only.</oddFooter>
  </headerFooter>
  <ignoredErrors>
    <ignoredError sqref="E105:J105 L105 F52:G52 L52"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87"/>
  <sheetViews>
    <sheetView topLeftCell="A60" zoomScaleNormal="100" workbookViewId="0">
      <selection activeCell="T11" sqref="T11"/>
    </sheetView>
  </sheetViews>
  <sheetFormatPr defaultRowHeight="12.75" x14ac:dyDescent="0.2"/>
  <cols>
    <col min="1" max="1" width="20.42578125" customWidth="1"/>
    <col min="2" max="2" width="20.28515625" customWidth="1"/>
    <col min="3" max="3" width="5.7109375" bestFit="1" customWidth="1"/>
    <col min="4" max="4" width="5.5703125" bestFit="1" customWidth="1"/>
    <col min="5" max="6" width="5.7109375" bestFit="1" customWidth="1"/>
    <col min="7" max="7" width="5.42578125" bestFit="1" customWidth="1"/>
    <col min="8" max="8" width="6.5703125" bestFit="1" customWidth="1"/>
    <col min="9" max="9" width="5.5703125" bestFit="1" customWidth="1"/>
    <col min="10" max="10" width="5.7109375" bestFit="1" customWidth="1"/>
    <col min="11" max="11" width="5" bestFit="1" customWidth="1"/>
    <col min="12" max="12" width="5.42578125" bestFit="1" customWidth="1"/>
    <col min="13" max="13" width="6.5703125" bestFit="1" customWidth="1"/>
    <col min="14" max="14" width="10.42578125" customWidth="1"/>
    <col min="15" max="15" width="20.85546875" customWidth="1"/>
    <col min="16" max="16" width="22.42578125" customWidth="1"/>
    <col min="17" max="17" width="5.7109375" bestFit="1" customWidth="1"/>
    <col min="18" max="18" width="5.5703125" bestFit="1" customWidth="1"/>
    <col min="19" max="20" width="5.7109375" bestFit="1" customWidth="1"/>
    <col min="21" max="21" width="5.42578125" bestFit="1" customWidth="1"/>
    <col min="22" max="22" width="6.5703125" bestFit="1" customWidth="1"/>
    <col min="23" max="23" width="5.5703125" bestFit="1" customWidth="1"/>
    <col min="24" max="24" width="5.7109375" bestFit="1" customWidth="1"/>
    <col min="25" max="25" width="5" bestFit="1" customWidth="1"/>
    <col min="26" max="26" width="5.42578125" bestFit="1" customWidth="1"/>
    <col min="27" max="27" width="6.5703125" bestFit="1" customWidth="1"/>
  </cols>
  <sheetData>
    <row r="1" spans="1:27" ht="19.5" thickBot="1" x14ac:dyDescent="0.35">
      <c r="A1" s="436" t="s">
        <v>169</v>
      </c>
      <c r="B1" s="437"/>
      <c r="C1" s="438"/>
      <c r="D1" s="438"/>
      <c r="E1" s="438"/>
      <c r="F1" s="438"/>
      <c r="G1" s="438"/>
      <c r="H1" s="438"/>
      <c r="I1" s="438"/>
      <c r="J1" s="438"/>
      <c r="K1" s="438"/>
      <c r="L1" s="438"/>
      <c r="M1" s="439"/>
      <c r="N1" s="13"/>
      <c r="O1" s="436" t="s">
        <v>170</v>
      </c>
      <c r="P1" s="437"/>
      <c r="Q1" s="438"/>
      <c r="R1" s="438"/>
      <c r="S1" s="438"/>
      <c r="T1" s="438"/>
      <c r="U1" s="438"/>
      <c r="V1" s="438"/>
      <c r="W1" s="438"/>
      <c r="X1" s="438"/>
      <c r="Y1" s="438"/>
      <c r="Z1" s="438"/>
      <c r="AA1" s="439"/>
    </row>
    <row r="2" spans="1:27" ht="14.25" x14ac:dyDescent="0.2">
      <c r="A2" s="440" t="s">
        <v>171</v>
      </c>
      <c r="B2" s="442" t="s">
        <v>158</v>
      </c>
      <c r="C2" s="444" t="s">
        <v>172</v>
      </c>
      <c r="D2" s="444"/>
      <c r="E2" s="444"/>
      <c r="F2" s="445" t="s">
        <v>173</v>
      </c>
      <c r="G2" s="445"/>
      <c r="H2" s="445"/>
      <c r="I2" s="446" t="s">
        <v>174</v>
      </c>
      <c r="J2" s="448" t="s">
        <v>175</v>
      </c>
      <c r="K2" s="448"/>
      <c r="L2" s="448"/>
      <c r="M2" s="434" t="s">
        <v>174</v>
      </c>
      <c r="O2" s="440" t="s">
        <v>171</v>
      </c>
      <c r="P2" s="442" t="s">
        <v>158</v>
      </c>
      <c r="Q2" s="444" t="s">
        <v>172</v>
      </c>
      <c r="R2" s="444"/>
      <c r="S2" s="444"/>
      <c r="T2" s="445" t="s">
        <v>173</v>
      </c>
      <c r="U2" s="445"/>
      <c r="V2" s="445"/>
      <c r="W2" s="446" t="s">
        <v>174</v>
      </c>
      <c r="X2" s="448" t="s">
        <v>175</v>
      </c>
      <c r="Y2" s="448"/>
      <c r="Z2" s="448"/>
      <c r="AA2" s="434" t="s">
        <v>174</v>
      </c>
    </row>
    <row r="3" spans="1:27" ht="15" thickBot="1" x14ac:dyDescent="0.25">
      <c r="A3" s="441"/>
      <c r="B3" s="443"/>
      <c r="C3" s="14" t="s">
        <v>176</v>
      </c>
      <c r="D3" s="14" t="s">
        <v>177</v>
      </c>
      <c r="E3" s="14" t="s">
        <v>178</v>
      </c>
      <c r="F3" s="15" t="s">
        <v>176</v>
      </c>
      <c r="G3" s="15" t="s">
        <v>177</v>
      </c>
      <c r="H3" s="15" t="s">
        <v>178</v>
      </c>
      <c r="I3" s="447"/>
      <c r="J3" s="16" t="s">
        <v>176</v>
      </c>
      <c r="K3" s="16" t="s">
        <v>177</v>
      </c>
      <c r="L3" s="16" t="s">
        <v>178</v>
      </c>
      <c r="M3" s="435"/>
      <c r="O3" s="441"/>
      <c r="P3" s="443"/>
      <c r="Q3" s="14" t="s">
        <v>176</v>
      </c>
      <c r="R3" s="14" t="s">
        <v>177</v>
      </c>
      <c r="S3" s="14" t="s">
        <v>178</v>
      </c>
      <c r="T3" s="15" t="s">
        <v>176</v>
      </c>
      <c r="U3" s="15" t="s">
        <v>177</v>
      </c>
      <c r="V3" s="15" t="s">
        <v>178</v>
      </c>
      <c r="W3" s="447"/>
      <c r="X3" s="16" t="s">
        <v>176</v>
      </c>
      <c r="Y3" s="16" t="s">
        <v>177</v>
      </c>
      <c r="Z3" s="16" t="s">
        <v>178</v>
      </c>
      <c r="AA3" s="435"/>
    </row>
    <row r="4" spans="1:27" ht="18.75" x14ac:dyDescent="0.2">
      <c r="A4" s="51" t="s">
        <v>822</v>
      </c>
      <c r="B4" s="50" t="s">
        <v>398</v>
      </c>
      <c r="C4" s="52"/>
      <c r="D4" s="52"/>
      <c r="E4" s="52"/>
      <c r="F4" s="53">
        <v>2</v>
      </c>
      <c r="G4" s="53">
        <v>0</v>
      </c>
      <c r="H4" s="53">
        <v>0</v>
      </c>
      <c r="I4" s="54">
        <f>SUM(C4:H4)</f>
        <v>2</v>
      </c>
      <c r="J4" s="55"/>
      <c r="K4" s="55"/>
      <c r="L4" s="55"/>
      <c r="M4" s="56">
        <f>SUM(J4:L4)</f>
        <v>0</v>
      </c>
      <c r="O4" s="51" t="s">
        <v>865</v>
      </c>
      <c r="P4" s="50" t="s">
        <v>416</v>
      </c>
      <c r="Q4" s="52"/>
      <c r="R4" s="52"/>
      <c r="S4" s="52"/>
      <c r="T4" s="53">
        <v>4</v>
      </c>
      <c r="U4" s="53">
        <v>0</v>
      </c>
      <c r="V4" s="53">
        <v>3</v>
      </c>
      <c r="W4" s="54">
        <f>SUM(Q4:V4)</f>
        <v>7</v>
      </c>
      <c r="X4" s="55"/>
      <c r="Y4" s="55"/>
      <c r="Z4" s="55"/>
      <c r="AA4" s="56">
        <f>SUM(X4:Z4)</f>
        <v>0</v>
      </c>
    </row>
    <row r="5" spans="1:27" ht="18.75" x14ac:dyDescent="0.2">
      <c r="A5" s="51" t="s">
        <v>823</v>
      </c>
      <c r="B5" s="50" t="s">
        <v>430</v>
      </c>
      <c r="C5" s="57"/>
      <c r="D5" s="57"/>
      <c r="E5" s="57"/>
      <c r="F5" s="58">
        <v>2</v>
      </c>
      <c r="G5" s="58">
        <v>1</v>
      </c>
      <c r="H5" s="58">
        <v>0</v>
      </c>
      <c r="I5" s="59">
        <f t="shared" ref="I5:I72" si="0">SUM(C5:H5)</f>
        <v>3</v>
      </c>
      <c r="J5" s="60"/>
      <c r="K5" s="60"/>
      <c r="L5" s="60"/>
      <c r="M5" s="61">
        <f t="shared" ref="M5:M72" si="1">SUM(J5:L5)</f>
        <v>0</v>
      </c>
      <c r="O5" s="62" t="s">
        <v>866</v>
      </c>
      <c r="P5" s="63" t="s">
        <v>410</v>
      </c>
      <c r="Q5" s="57"/>
      <c r="R5" s="57"/>
      <c r="S5" s="57"/>
      <c r="T5" s="58">
        <v>0</v>
      </c>
      <c r="U5" s="58">
        <v>0</v>
      </c>
      <c r="V5" s="58">
        <v>1</v>
      </c>
      <c r="W5" s="59">
        <f t="shared" ref="W5:W72" si="2">SUM(Q5:V5)</f>
        <v>1</v>
      </c>
      <c r="X5" s="60"/>
      <c r="Y5" s="60"/>
      <c r="Z5" s="60"/>
      <c r="AA5" s="61">
        <f t="shared" ref="AA5:AA72" si="3">SUM(X5:Z5)</f>
        <v>0</v>
      </c>
    </row>
    <row r="6" spans="1:27" ht="18.75" x14ac:dyDescent="0.2">
      <c r="A6" s="51" t="s">
        <v>824</v>
      </c>
      <c r="B6" s="50" t="s">
        <v>412</v>
      </c>
      <c r="C6" s="57"/>
      <c r="D6" s="57"/>
      <c r="E6" s="57"/>
      <c r="F6" s="58">
        <v>6</v>
      </c>
      <c r="G6" s="58">
        <v>1</v>
      </c>
      <c r="H6" s="58">
        <v>0</v>
      </c>
      <c r="I6" s="59">
        <f t="shared" si="0"/>
        <v>7</v>
      </c>
      <c r="J6" s="60"/>
      <c r="K6" s="60"/>
      <c r="L6" s="60"/>
      <c r="M6" s="61">
        <f t="shared" si="1"/>
        <v>0</v>
      </c>
      <c r="O6" s="62" t="s">
        <v>867</v>
      </c>
      <c r="P6" s="63" t="s">
        <v>412</v>
      </c>
      <c r="Q6" s="57"/>
      <c r="R6" s="57"/>
      <c r="S6" s="57"/>
      <c r="T6" s="58">
        <v>1</v>
      </c>
      <c r="U6" s="58">
        <v>0</v>
      </c>
      <c r="V6" s="58">
        <v>0</v>
      </c>
      <c r="W6" s="59">
        <f t="shared" si="2"/>
        <v>1</v>
      </c>
      <c r="X6" s="60"/>
      <c r="Y6" s="60"/>
      <c r="Z6" s="60"/>
      <c r="AA6" s="61">
        <f t="shared" si="3"/>
        <v>0</v>
      </c>
    </row>
    <row r="7" spans="1:27" ht="18.75" x14ac:dyDescent="0.2">
      <c r="A7" s="51" t="s">
        <v>825</v>
      </c>
      <c r="B7" s="50" t="s">
        <v>416</v>
      </c>
      <c r="C7" s="57">
        <v>2</v>
      </c>
      <c r="D7" s="57">
        <v>0</v>
      </c>
      <c r="E7" s="57">
        <v>0</v>
      </c>
      <c r="F7" s="58">
        <v>4</v>
      </c>
      <c r="G7" s="58">
        <v>1</v>
      </c>
      <c r="H7" s="58">
        <v>1</v>
      </c>
      <c r="I7" s="59">
        <f t="shared" si="0"/>
        <v>8</v>
      </c>
      <c r="J7" s="60"/>
      <c r="K7" s="60"/>
      <c r="L7" s="60"/>
      <c r="M7" s="61">
        <f t="shared" si="1"/>
        <v>0</v>
      </c>
      <c r="O7" s="62" t="s">
        <v>868</v>
      </c>
      <c r="P7" s="63" t="s">
        <v>399</v>
      </c>
      <c r="Q7" s="57">
        <v>2</v>
      </c>
      <c r="R7" s="57">
        <v>0</v>
      </c>
      <c r="S7" s="57">
        <v>0</v>
      </c>
      <c r="T7" s="58">
        <v>2</v>
      </c>
      <c r="U7" s="58">
        <v>0</v>
      </c>
      <c r="V7" s="58">
        <v>4</v>
      </c>
      <c r="W7" s="59">
        <f t="shared" si="2"/>
        <v>8</v>
      </c>
      <c r="X7" s="60"/>
      <c r="Y7" s="60"/>
      <c r="Z7" s="60"/>
      <c r="AA7" s="61">
        <f t="shared" si="3"/>
        <v>0</v>
      </c>
    </row>
    <row r="8" spans="1:27" ht="18.75" x14ac:dyDescent="0.2">
      <c r="A8" s="51" t="s">
        <v>826</v>
      </c>
      <c r="B8" s="50" t="s">
        <v>404</v>
      </c>
      <c r="C8" s="57">
        <v>3</v>
      </c>
      <c r="D8" s="57">
        <v>0</v>
      </c>
      <c r="E8" s="57">
        <v>0</v>
      </c>
      <c r="F8" s="58">
        <v>8</v>
      </c>
      <c r="G8" s="58">
        <v>0</v>
      </c>
      <c r="H8" s="58">
        <v>4</v>
      </c>
      <c r="I8" s="59">
        <f t="shared" si="0"/>
        <v>15</v>
      </c>
      <c r="J8" s="60"/>
      <c r="K8" s="60"/>
      <c r="L8" s="60"/>
      <c r="M8" s="61">
        <f t="shared" si="1"/>
        <v>0</v>
      </c>
      <c r="O8" s="62" t="s">
        <v>869</v>
      </c>
      <c r="P8" s="63" t="s">
        <v>406</v>
      </c>
      <c r="Q8" s="57"/>
      <c r="R8" s="57"/>
      <c r="S8" s="57"/>
      <c r="T8" s="58">
        <v>3</v>
      </c>
      <c r="U8" s="58">
        <v>0</v>
      </c>
      <c r="V8" s="58">
        <v>0</v>
      </c>
      <c r="W8" s="59">
        <f t="shared" si="2"/>
        <v>3</v>
      </c>
      <c r="X8" s="60"/>
      <c r="Y8" s="60"/>
      <c r="Z8" s="60"/>
      <c r="AA8" s="61">
        <f t="shared" si="3"/>
        <v>0</v>
      </c>
    </row>
    <row r="9" spans="1:27" ht="18.75" x14ac:dyDescent="0.2">
      <c r="A9" s="51" t="s">
        <v>827</v>
      </c>
      <c r="B9" s="50" t="s">
        <v>425</v>
      </c>
      <c r="C9" s="57"/>
      <c r="D9" s="57"/>
      <c r="E9" s="57"/>
      <c r="F9" s="58">
        <v>5</v>
      </c>
      <c r="G9" s="58">
        <v>0</v>
      </c>
      <c r="H9" s="58">
        <v>0</v>
      </c>
      <c r="I9" s="59">
        <f t="shared" si="0"/>
        <v>5</v>
      </c>
      <c r="J9" s="60"/>
      <c r="K9" s="60"/>
      <c r="L9" s="60"/>
      <c r="M9" s="61">
        <f t="shared" si="1"/>
        <v>0</v>
      </c>
      <c r="O9" s="62" t="s">
        <v>870</v>
      </c>
      <c r="P9" s="63" t="s">
        <v>863</v>
      </c>
      <c r="Q9" s="57"/>
      <c r="R9" s="57"/>
      <c r="S9" s="57"/>
      <c r="T9" s="58">
        <v>1</v>
      </c>
      <c r="U9" s="58">
        <v>0</v>
      </c>
      <c r="V9" s="58">
        <v>0</v>
      </c>
      <c r="W9" s="59">
        <f t="shared" si="2"/>
        <v>1</v>
      </c>
      <c r="X9" s="60"/>
      <c r="Y9" s="60"/>
      <c r="Z9" s="60"/>
      <c r="AA9" s="61">
        <f t="shared" si="3"/>
        <v>0</v>
      </c>
    </row>
    <row r="10" spans="1:27" ht="18.75" x14ac:dyDescent="0.2">
      <c r="A10" s="51" t="s">
        <v>828</v>
      </c>
      <c r="B10" s="50" t="s">
        <v>863</v>
      </c>
      <c r="C10" s="57"/>
      <c r="D10" s="57"/>
      <c r="E10" s="57"/>
      <c r="F10" s="58">
        <v>1</v>
      </c>
      <c r="G10" s="58">
        <v>0</v>
      </c>
      <c r="H10" s="58">
        <v>0</v>
      </c>
      <c r="I10" s="59">
        <f t="shared" si="0"/>
        <v>1</v>
      </c>
      <c r="J10" s="60"/>
      <c r="K10" s="60"/>
      <c r="L10" s="60"/>
      <c r="M10" s="61">
        <f t="shared" si="1"/>
        <v>0</v>
      </c>
      <c r="O10" s="62" t="s">
        <v>871</v>
      </c>
      <c r="P10" s="63" t="s">
        <v>428</v>
      </c>
      <c r="Q10" s="57"/>
      <c r="R10" s="57"/>
      <c r="S10" s="57"/>
      <c r="T10" s="58">
        <v>2</v>
      </c>
      <c r="U10" s="58">
        <v>0</v>
      </c>
      <c r="V10" s="58">
        <v>0</v>
      </c>
      <c r="W10" s="59">
        <f t="shared" si="2"/>
        <v>2</v>
      </c>
      <c r="X10" s="60"/>
      <c r="Y10" s="60"/>
      <c r="Z10" s="60"/>
      <c r="AA10" s="61">
        <f t="shared" si="3"/>
        <v>0</v>
      </c>
    </row>
    <row r="11" spans="1:27" ht="18.75" x14ac:dyDescent="0.2">
      <c r="A11" s="51" t="s">
        <v>829</v>
      </c>
      <c r="B11" s="50" t="s">
        <v>405</v>
      </c>
      <c r="C11" s="57"/>
      <c r="D11" s="57"/>
      <c r="E11" s="57"/>
      <c r="F11" s="58">
        <v>3</v>
      </c>
      <c r="G11" s="58">
        <v>1</v>
      </c>
      <c r="H11" s="58">
        <v>1</v>
      </c>
      <c r="I11" s="59">
        <f t="shared" si="0"/>
        <v>5</v>
      </c>
      <c r="J11" s="60"/>
      <c r="K11" s="60"/>
      <c r="L11" s="60"/>
      <c r="M11" s="61">
        <f t="shared" si="1"/>
        <v>0</v>
      </c>
      <c r="O11" s="62" t="s">
        <v>872</v>
      </c>
      <c r="P11" s="63" t="s">
        <v>429</v>
      </c>
      <c r="Q11" s="57"/>
      <c r="R11" s="57"/>
      <c r="S11" s="57"/>
      <c r="T11" s="58">
        <v>4</v>
      </c>
      <c r="U11" s="58">
        <v>0</v>
      </c>
      <c r="V11" s="58">
        <v>0</v>
      </c>
      <c r="W11" s="59">
        <f t="shared" si="2"/>
        <v>4</v>
      </c>
      <c r="X11" s="60"/>
      <c r="Y11" s="60"/>
      <c r="Z11" s="60"/>
      <c r="AA11" s="61">
        <f t="shared" si="3"/>
        <v>0</v>
      </c>
    </row>
    <row r="12" spans="1:27" ht="18.75" x14ac:dyDescent="0.2">
      <c r="A12" s="51" t="s">
        <v>830</v>
      </c>
      <c r="B12" s="50" t="s">
        <v>435</v>
      </c>
      <c r="C12" s="57"/>
      <c r="D12" s="57"/>
      <c r="E12" s="57"/>
      <c r="F12" s="58">
        <v>4</v>
      </c>
      <c r="G12" s="58">
        <v>2</v>
      </c>
      <c r="H12" s="58">
        <v>2</v>
      </c>
      <c r="I12" s="59">
        <f t="shared" si="0"/>
        <v>8</v>
      </c>
      <c r="J12" s="60"/>
      <c r="K12" s="60"/>
      <c r="L12" s="60"/>
      <c r="M12" s="61">
        <f t="shared" si="1"/>
        <v>0</v>
      </c>
      <c r="O12" s="62" t="s">
        <v>873</v>
      </c>
      <c r="P12" s="63" t="s">
        <v>399</v>
      </c>
      <c r="Q12" s="57"/>
      <c r="R12" s="57"/>
      <c r="S12" s="57"/>
      <c r="T12" s="58">
        <v>1</v>
      </c>
      <c r="U12" s="58">
        <v>0</v>
      </c>
      <c r="V12" s="58">
        <v>1</v>
      </c>
      <c r="W12" s="59">
        <f t="shared" si="2"/>
        <v>2</v>
      </c>
      <c r="X12" s="60"/>
      <c r="Y12" s="60"/>
      <c r="Z12" s="60"/>
      <c r="AA12" s="61">
        <f t="shared" si="3"/>
        <v>0</v>
      </c>
    </row>
    <row r="13" spans="1:27" ht="18.75" x14ac:dyDescent="0.2">
      <c r="A13" s="51" t="s">
        <v>831</v>
      </c>
      <c r="B13" s="50" t="s">
        <v>423</v>
      </c>
      <c r="C13" s="57">
        <v>2</v>
      </c>
      <c r="D13" s="57">
        <v>0</v>
      </c>
      <c r="E13" s="57">
        <v>0</v>
      </c>
      <c r="F13" s="58">
        <v>1</v>
      </c>
      <c r="G13" s="58">
        <v>0</v>
      </c>
      <c r="H13" s="58">
        <v>0</v>
      </c>
      <c r="I13" s="59">
        <f t="shared" si="0"/>
        <v>3</v>
      </c>
      <c r="J13" s="60"/>
      <c r="K13" s="60"/>
      <c r="L13" s="60"/>
      <c r="M13" s="61">
        <f t="shared" si="1"/>
        <v>0</v>
      </c>
      <c r="O13" s="62" t="s">
        <v>874</v>
      </c>
      <c r="P13" s="63" t="s">
        <v>408</v>
      </c>
      <c r="Q13" s="57"/>
      <c r="R13" s="57"/>
      <c r="S13" s="57"/>
      <c r="T13" s="58">
        <v>2</v>
      </c>
      <c r="U13" s="58">
        <v>1</v>
      </c>
      <c r="V13" s="58">
        <v>0</v>
      </c>
      <c r="W13" s="59">
        <f t="shared" si="2"/>
        <v>3</v>
      </c>
      <c r="X13" s="60"/>
      <c r="Y13" s="60"/>
      <c r="Z13" s="60"/>
      <c r="AA13" s="61">
        <f t="shared" si="3"/>
        <v>0</v>
      </c>
    </row>
    <row r="14" spans="1:27" ht="18.75" x14ac:dyDescent="0.2">
      <c r="A14" s="51" t="s">
        <v>832</v>
      </c>
      <c r="B14" s="50" t="s">
        <v>416</v>
      </c>
      <c r="C14" s="57"/>
      <c r="D14" s="57"/>
      <c r="E14" s="57"/>
      <c r="F14" s="58">
        <v>4</v>
      </c>
      <c r="G14" s="58">
        <v>0</v>
      </c>
      <c r="H14" s="58">
        <v>0</v>
      </c>
      <c r="I14" s="59">
        <f t="shared" si="0"/>
        <v>4</v>
      </c>
      <c r="J14" s="60"/>
      <c r="K14" s="60"/>
      <c r="L14" s="60"/>
      <c r="M14" s="61">
        <f t="shared" si="1"/>
        <v>0</v>
      </c>
      <c r="O14" s="62" t="s">
        <v>875</v>
      </c>
      <c r="P14" s="63" t="s">
        <v>863</v>
      </c>
      <c r="Q14" s="57"/>
      <c r="R14" s="57"/>
      <c r="S14" s="57"/>
      <c r="T14" s="58">
        <v>0</v>
      </c>
      <c r="U14" s="58">
        <v>0</v>
      </c>
      <c r="V14" s="58">
        <v>0</v>
      </c>
      <c r="W14" s="59">
        <f t="shared" si="2"/>
        <v>0</v>
      </c>
      <c r="X14" s="60"/>
      <c r="Y14" s="60"/>
      <c r="Z14" s="60"/>
      <c r="AA14" s="61">
        <f t="shared" si="3"/>
        <v>0</v>
      </c>
    </row>
    <row r="15" spans="1:27" ht="18.75" x14ac:dyDescent="0.2">
      <c r="A15" s="51" t="s">
        <v>833</v>
      </c>
      <c r="B15" s="50" t="s">
        <v>436</v>
      </c>
      <c r="C15" s="57"/>
      <c r="D15" s="57"/>
      <c r="E15" s="57"/>
      <c r="F15" s="58">
        <v>2</v>
      </c>
      <c r="G15" s="58">
        <v>1</v>
      </c>
      <c r="H15" s="58">
        <v>3</v>
      </c>
      <c r="I15" s="59">
        <f t="shared" si="0"/>
        <v>6</v>
      </c>
      <c r="J15" s="60"/>
      <c r="K15" s="60"/>
      <c r="L15" s="60"/>
      <c r="M15" s="61">
        <f t="shared" si="1"/>
        <v>0</v>
      </c>
      <c r="O15" s="62" t="s">
        <v>876</v>
      </c>
      <c r="P15" s="63" t="s">
        <v>418</v>
      </c>
      <c r="Q15" s="57"/>
      <c r="R15" s="57"/>
      <c r="S15" s="57"/>
      <c r="T15" s="58">
        <v>5</v>
      </c>
      <c r="U15" s="58">
        <v>1</v>
      </c>
      <c r="V15" s="58">
        <v>1</v>
      </c>
      <c r="W15" s="59">
        <f t="shared" si="2"/>
        <v>7</v>
      </c>
      <c r="X15" s="60"/>
      <c r="Y15" s="60"/>
      <c r="Z15" s="60"/>
      <c r="AA15" s="61">
        <f t="shared" si="3"/>
        <v>0</v>
      </c>
    </row>
    <row r="16" spans="1:27" ht="18.75" x14ac:dyDescent="0.2">
      <c r="A16" s="51" t="s">
        <v>834</v>
      </c>
      <c r="B16" s="50" t="s">
        <v>419</v>
      </c>
      <c r="C16" s="57"/>
      <c r="D16" s="57"/>
      <c r="E16" s="57"/>
      <c r="F16" s="58">
        <v>0</v>
      </c>
      <c r="G16" s="58">
        <v>0</v>
      </c>
      <c r="H16" s="58">
        <v>2</v>
      </c>
      <c r="I16" s="59">
        <f t="shared" si="0"/>
        <v>2</v>
      </c>
      <c r="J16" s="60"/>
      <c r="K16" s="60"/>
      <c r="L16" s="60"/>
      <c r="M16" s="61">
        <f t="shared" si="1"/>
        <v>0</v>
      </c>
      <c r="O16" s="62" t="s">
        <v>877</v>
      </c>
      <c r="P16" s="63" t="s">
        <v>398</v>
      </c>
      <c r="Q16" s="57"/>
      <c r="R16" s="57"/>
      <c r="S16" s="57"/>
      <c r="T16" s="58">
        <v>1</v>
      </c>
      <c r="U16" s="58">
        <v>0</v>
      </c>
      <c r="V16" s="58">
        <v>1</v>
      </c>
      <c r="W16" s="59">
        <f t="shared" si="2"/>
        <v>2</v>
      </c>
      <c r="X16" s="60"/>
      <c r="Y16" s="60"/>
      <c r="Z16" s="60"/>
      <c r="AA16" s="61">
        <f t="shared" si="3"/>
        <v>0</v>
      </c>
    </row>
    <row r="17" spans="1:27" ht="18.75" x14ac:dyDescent="0.2">
      <c r="A17" s="51" t="s">
        <v>835</v>
      </c>
      <c r="B17" s="50" t="s">
        <v>423</v>
      </c>
      <c r="C17" s="57"/>
      <c r="D17" s="57"/>
      <c r="E17" s="57"/>
      <c r="F17" s="58">
        <v>4</v>
      </c>
      <c r="G17" s="58">
        <v>0</v>
      </c>
      <c r="H17" s="58">
        <v>2</v>
      </c>
      <c r="I17" s="59">
        <f t="shared" si="0"/>
        <v>6</v>
      </c>
      <c r="J17" s="60"/>
      <c r="K17" s="60"/>
      <c r="L17" s="60"/>
      <c r="M17" s="61">
        <f t="shared" si="1"/>
        <v>0</v>
      </c>
      <c r="O17" s="62" t="s">
        <v>878</v>
      </c>
      <c r="P17" s="63" t="s">
        <v>429</v>
      </c>
      <c r="Q17" s="57"/>
      <c r="R17" s="57"/>
      <c r="S17" s="57"/>
      <c r="T17" s="58">
        <v>1</v>
      </c>
      <c r="U17" s="58">
        <v>0</v>
      </c>
      <c r="V17" s="58">
        <v>1</v>
      </c>
      <c r="W17" s="59">
        <f t="shared" si="2"/>
        <v>2</v>
      </c>
      <c r="X17" s="60"/>
      <c r="Y17" s="60"/>
      <c r="Z17" s="60"/>
      <c r="AA17" s="61">
        <f t="shared" si="3"/>
        <v>0</v>
      </c>
    </row>
    <row r="18" spans="1:27" ht="18.75" x14ac:dyDescent="0.2">
      <c r="A18" s="51" t="s">
        <v>836</v>
      </c>
      <c r="B18" s="50" t="s">
        <v>397</v>
      </c>
      <c r="C18" s="57"/>
      <c r="D18" s="57"/>
      <c r="E18" s="57"/>
      <c r="F18" s="58">
        <v>5</v>
      </c>
      <c r="G18" s="58">
        <v>0</v>
      </c>
      <c r="H18" s="58">
        <v>1</v>
      </c>
      <c r="I18" s="59">
        <f t="shared" si="0"/>
        <v>6</v>
      </c>
      <c r="J18" s="60"/>
      <c r="K18" s="60"/>
      <c r="L18" s="60"/>
      <c r="M18" s="61">
        <f t="shared" si="1"/>
        <v>0</v>
      </c>
      <c r="O18" s="62" t="s">
        <v>879</v>
      </c>
      <c r="P18" s="63" t="s">
        <v>654</v>
      </c>
      <c r="Q18" s="57"/>
      <c r="R18" s="57"/>
      <c r="S18" s="57"/>
      <c r="T18" s="58">
        <v>0</v>
      </c>
      <c r="U18" s="58">
        <v>0</v>
      </c>
      <c r="V18" s="58">
        <v>0</v>
      </c>
      <c r="W18" s="59">
        <f t="shared" si="2"/>
        <v>0</v>
      </c>
      <c r="X18" s="60"/>
      <c r="Y18" s="60"/>
      <c r="Z18" s="60"/>
      <c r="AA18" s="61">
        <f t="shared" si="3"/>
        <v>0</v>
      </c>
    </row>
    <row r="19" spans="1:27" ht="18.75" x14ac:dyDescent="0.2">
      <c r="A19" s="51" t="s">
        <v>837</v>
      </c>
      <c r="B19" s="50" t="s">
        <v>388</v>
      </c>
      <c r="C19" s="57"/>
      <c r="D19" s="57"/>
      <c r="E19" s="57"/>
      <c r="F19" s="58">
        <v>9</v>
      </c>
      <c r="G19" s="58">
        <v>0</v>
      </c>
      <c r="H19" s="58">
        <v>3</v>
      </c>
      <c r="I19" s="59">
        <f t="shared" si="0"/>
        <v>12</v>
      </c>
      <c r="J19" s="60"/>
      <c r="K19" s="60"/>
      <c r="L19" s="60"/>
      <c r="M19" s="61">
        <f t="shared" si="1"/>
        <v>0</v>
      </c>
      <c r="O19" s="62" t="s">
        <v>880</v>
      </c>
      <c r="P19" s="63" t="s">
        <v>894</v>
      </c>
      <c r="Q19" s="57"/>
      <c r="R19" s="57"/>
      <c r="S19" s="57"/>
      <c r="T19" s="58">
        <v>0</v>
      </c>
      <c r="U19" s="58">
        <v>0</v>
      </c>
      <c r="V19" s="58">
        <v>0</v>
      </c>
      <c r="W19" s="59">
        <f t="shared" si="2"/>
        <v>0</v>
      </c>
      <c r="X19" s="60"/>
      <c r="Y19" s="60"/>
      <c r="Z19" s="60"/>
      <c r="AA19" s="61">
        <f t="shared" si="3"/>
        <v>0</v>
      </c>
    </row>
    <row r="20" spans="1:27" ht="18.75" x14ac:dyDescent="0.2">
      <c r="A20" s="51" t="s">
        <v>838</v>
      </c>
      <c r="B20" s="50" t="s">
        <v>426</v>
      </c>
      <c r="C20" s="57"/>
      <c r="D20" s="57"/>
      <c r="E20" s="57"/>
      <c r="F20" s="58">
        <v>3</v>
      </c>
      <c r="G20" s="58">
        <v>0</v>
      </c>
      <c r="H20" s="58">
        <v>0</v>
      </c>
      <c r="I20" s="59">
        <f t="shared" si="0"/>
        <v>3</v>
      </c>
      <c r="J20" s="60"/>
      <c r="K20" s="60"/>
      <c r="L20" s="60"/>
      <c r="M20" s="61">
        <f t="shared" si="1"/>
        <v>0</v>
      </c>
      <c r="O20" s="62" t="s">
        <v>881</v>
      </c>
      <c r="P20" s="63" t="s">
        <v>894</v>
      </c>
      <c r="Q20" s="57"/>
      <c r="R20" s="57"/>
      <c r="S20" s="57"/>
      <c r="T20" s="58">
        <v>0</v>
      </c>
      <c r="U20" s="58">
        <v>0</v>
      </c>
      <c r="V20" s="58">
        <v>0</v>
      </c>
      <c r="W20" s="59">
        <f t="shared" si="2"/>
        <v>0</v>
      </c>
      <c r="X20" s="60"/>
      <c r="Y20" s="60"/>
      <c r="Z20" s="60"/>
      <c r="AA20" s="61">
        <f t="shared" si="3"/>
        <v>0</v>
      </c>
    </row>
    <row r="21" spans="1:27" ht="18.75" x14ac:dyDescent="0.2">
      <c r="A21" s="51" t="s">
        <v>839</v>
      </c>
      <c r="B21" s="50" t="s">
        <v>398</v>
      </c>
      <c r="C21" s="57"/>
      <c r="D21" s="57"/>
      <c r="E21" s="57"/>
      <c r="F21" s="58">
        <v>6</v>
      </c>
      <c r="G21" s="58">
        <v>1</v>
      </c>
      <c r="H21" s="58">
        <v>4</v>
      </c>
      <c r="I21" s="59">
        <f t="shared" si="0"/>
        <v>11</v>
      </c>
      <c r="J21" s="60"/>
      <c r="K21" s="60"/>
      <c r="L21" s="60"/>
      <c r="M21" s="61">
        <f t="shared" si="1"/>
        <v>0</v>
      </c>
      <c r="O21" s="62" t="s">
        <v>882</v>
      </c>
      <c r="P21" s="63" t="s">
        <v>412</v>
      </c>
      <c r="Q21" s="57"/>
      <c r="R21" s="57"/>
      <c r="S21" s="57"/>
      <c r="T21" s="58">
        <v>0</v>
      </c>
      <c r="U21" s="58">
        <v>1</v>
      </c>
      <c r="V21" s="58">
        <v>0</v>
      </c>
      <c r="W21" s="59">
        <f t="shared" si="2"/>
        <v>1</v>
      </c>
      <c r="X21" s="60"/>
      <c r="Y21" s="60"/>
      <c r="Z21" s="60"/>
      <c r="AA21" s="61">
        <f t="shared" si="3"/>
        <v>0</v>
      </c>
    </row>
    <row r="22" spans="1:27" ht="18.75" x14ac:dyDescent="0.2">
      <c r="A22" s="51" t="s">
        <v>840</v>
      </c>
      <c r="B22" s="50" t="s">
        <v>401</v>
      </c>
      <c r="C22" s="57"/>
      <c r="D22" s="57"/>
      <c r="E22" s="57"/>
      <c r="F22" s="58">
        <v>4</v>
      </c>
      <c r="G22" s="58">
        <v>0</v>
      </c>
      <c r="H22" s="58">
        <v>1</v>
      </c>
      <c r="I22" s="59">
        <f t="shared" si="0"/>
        <v>5</v>
      </c>
      <c r="J22" s="60"/>
      <c r="K22" s="60"/>
      <c r="L22" s="60"/>
      <c r="M22" s="61">
        <f t="shared" si="1"/>
        <v>0</v>
      </c>
      <c r="O22" s="62" t="s">
        <v>883</v>
      </c>
      <c r="P22" s="63" t="s">
        <v>420</v>
      </c>
      <c r="Q22" s="57"/>
      <c r="R22" s="57"/>
      <c r="S22" s="57"/>
      <c r="T22" s="58">
        <v>0</v>
      </c>
      <c r="U22" s="58">
        <v>0</v>
      </c>
      <c r="V22" s="58">
        <v>0</v>
      </c>
      <c r="W22" s="59">
        <f>SUM(Q22:V22)</f>
        <v>0</v>
      </c>
      <c r="X22" s="55"/>
      <c r="Y22" s="55"/>
      <c r="Z22" s="55"/>
      <c r="AA22" s="61">
        <f t="shared" si="3"/>
        <v>0</v>
      </c>
    </row>
    <row r="23" spans="1:27" ht="18.75" x14ac:dyDescent="0.2">
      <c r="A23" s="51" t="s">
        <v>841</v>
      </c>
      <c r="B23" s="50" t="s">
        <v>399</v>
      </c>
      <c r="C23" s="57"/>
      <c r="D23" s="57"/>
      <c r="E23" s="57"/>
      <c r="F23" s="58">
        <v>1</v>
      </c>
      <c r="G23" s="58">
        <v>0</v>
      </c>
      <c r="H23" s="58">
        <v>0</v>
      </c>
      <c r="I23" s="54">
        <f t="shared" si="0"/>
        <v>1</v>
      </c>
      <c r="J23" s="60"/>
      <c r="K23" s="60"/>
      <c r="L23" s="60"/>
      <c r="M23" s="56">
        <f t="shared" si="1"/>
        <v>0</v>
      </c>
      <c r="O23" s="62" t="s">
        <v>884</v>
      </c>
      <c r="P23" s="63" t="s">
        <v>430</v>
      </c>
      <c r="Q23" s="57"/>
      <c r="R23" s="57"/>
      <c r="S23" s="57"/>
      <c r="T23" s="58">
        <v>0</v>
      </c>
      <c r="U23" s="58">
        <v>0</v>
      </c>
      <c r="V23" s="58">
        <v>0</v>
      </c>
      <c r="W23" s="59">
        <f t="shared" si="2"/>
        <v>0</v>
      </c>
      <c r="X23" s="60"/>
      <c r="Y23" s="60"/>
      <c r="Z23" s="60"/>
      <c r="AA23" s="61">
        <f t="shared" si="3"/>
        <v>0</v>
      </c>
    </row>
    <row r="24" spans="1:27" ht="18.75" x14ac:dyDescent="0.2">
      <c r="A24" s="51" t="s">
        <v>842</v>
      </c>
      <c r="B24" s="50" t="s">
        <v>398</v>
      </c>
      <c r="C24" s="57"/>
      <c r="D24" s="57"/>
      <c r="E24" s="57"/>
      <c r="F24" s="58">
        <v>0</v>
      </c>
      <c r="G24" s="58">
        <v>0</v>
      </c>
      <c r="H24" s="58">
        <v>2</v>
      </c>
      <c r="I24" s="54">
        <f t="shared" si="0"/>
        <v>2</v>
      </c>
      <c r="J24" s="60"/>
      <c r="K24" s="60"/>
      <c r="L24" s="60"/>
      <c r="M24" s="56">
        <f t="shared" si="1"/>
        <v>0</v>
      </c>
      <c r="O24" s="62" t="s">
        <v>885</v>
      </c>
      <c r="P24" s="63" t="s">
        <v>412</v>
      </c>
      <c r="Q24" s="57"/>
      <c r="R24" s="57"/>
      <c r="S24" s="57"/>
      <c r="T24" s="58">
        <v>1</v>
      </c>
      <c r="U24" s="58">
        <v>0</v>
      </c>
      <c r="V24" s="58">
        <v>0</v>
      </c>
      <c r="W24" s="54">
        <f t="shared" si="2"/>
        <v>1</v>
      </c>
      <c r="X24" s="60"/>
      <c r="Y24" s="60"/>
      <c r="Z24" s="60"/>
      <c r="AA24" s="56">
        <f t="shared" si="3"/>
        <v>0</v>
      </c>
    </row>
    <row r="25" spans="1:27" ht="18.75" x14ac:dyDescent="0.2">
      <c r="A25" s="51" t="s">
        <v>843</v>
      </c>
      <c r="B25" s="50" t="s">
        <v>424</v>
      </c>
      <c r="C25" s="57"/>
      <c r="D25" s="57"/>
      <c r="E25" s="57"/>
      <c r="F25" s="58">
        <v>4</v>
      </c>
      <c r="G25" s="58">
        <v>1</v>
      </c>
      <c r="H25" s="58">
        <v>0</v>
      </c>
      <c r="I25" s="54">
        <f t="shared" si="0"/>
        <v>5</v>
      </c>
      <c r="J25" s="60"/>
      <c r="K25" s="60"/>
      <c r="L25" s="60"/>
      <c r="M25" s="56">
        <f t="shared" si="1"/>
        <v>0</v>
      </c>
      <c r="O25" s="62" t="s">
        <v>886</v>
      </c>
      <c r="P25" s="63" t="s">
        <v>864</v>
      </c>
      <c r="Q25" s="57"/>
      <c r="R25" s="57"/>
      <c r="S25" s="57"/>
      <c r="T25" s="58">
        <v>0</v>
      </c>
      <c r="U25" s="58">
        <v>0</v>
      </c>
      <c r="V25" s="58">
        <v>0</v>
      </c>
      <c r="W25" s="54">
        <f>SUM(Q25:V25)</f>
        <v>0</v>
      </c>
      <c r="X25" s="60"/>
      <c r="Y25" s="60"/>
      <c r="Z25" s="60"/>
      <c r="AA25" s="56">
        <f t="shared" si="3"/>
        <v>0</v>
      </c>
    </row>
    <row r="26" spans="1:27" ht="18.75" x14ac:dyDescent="0.2">
      <c r="A26" s="51" t="s">
        <v>844</v>
      </c>
      <c r="B26" s="50" t="s">
        <v>654</v>
      </c>
      <c r="C26" s="52"/>
      <c r="D26" s="52"/>
      <c r="E26" s="52"/>
      <c r="F26" s="53">
        <v>0</v>
      </c>
      <c r="G26" s="53">
        <v>0</v>
      </c>
      <c r="H26" s="53">
        <v>0</v>
      </c>
      <c r="I26" s="54">
        <f t="shared" si="0"/>
        <v>0</v>
      </c>
      <c r="J26" s="55"/>
      <c r="K26" s="55"/>
      <c r="L26" s="55"/>
      <c r="M26" s="56">
        <f t="shared" si="1"/>
        <v>0</v>
      </c>
      <c r="O26" s="62" t="s">
        <v>887</v>
      </c>
      <c r="P26" s="63" t="s">
        <v>864</v>
      </c>
      <c r="Q26" s="57"/>
      <c r="R26" s="57"/>
      <c r="S26" s="57"/>
      <c r="T26" s="58">
        <v>0</v>
      </c>
      <c r="U26" s="58">
        <v>0</v>
      </c>
      <c r="V26" s="58">
        <v>0</v>
      </c>
      <c r="W26" s="54">
        <f t="shared" si="2"/>
        <v>0</v>
      </c>
      <c r="X26" s="60"/>
      <c r="Y26" s="60"/>
      <c r="Z26" s="60"/>
      <c r="AA26" s="56">
        <f t="shared" si="3"/>
        <v>0</v>
      </c>
    </row>
    <row r="27" spans="1:27" ht="18.75" x14ac:dyDescent="0.2">
      <c r="A27" s="51" t="s">
        <v>845</v>
      </c>
      <c r="B27" s="50" t="s">
        <v>417</v>
      </c>
      <c r="C27" s="57"/>
      <c r="D27" s="57"/>
      <c r="E27" s="57"/>
      <c r="F27" s="58">
        <v>2</v>
      </c>
      <c r="G27" s="58">
        <v>0</v>
      </c>
      <c r="H27" s="58">
        <v>2</v>
      </c>
      <c r="I27" s="54">
        <f t="shared" si="0"/>
        <v>4</v>
      </c>
      <c r="J27" s="60"/>
      <c r="K27" s="60"/>
      <c r="L27" s="60"/>
      <c r="M27" s="56">
        <f t="shared" si="1"/>
        <v>0</v>
      </c>
      <c r="O27" s="62" t="s">
        <v>888</v>
      </c>
      <c r="P27" s="63" t="s">
        <v>429</v>
      </c>
      <c r="Q27" s="57"/>
      <c r="R27" s="57"/>
      <c r="S27" s="57"/>
      <c r="T27" s="58">
        <v>0</v>
      </c>
      <c r="U27" s="58">
        <v>0</v>
      </c>
      <c r="V27" s="58">
        <v>0</v>
      </c>
      <c r="W27" s="54">
        <f t="shared" si="2"/>
        <v>0</v>
      </c>
      <c r="X27" s="60"/>
      <c r="Y27" s="60"/>
      <c r="Z27" s="60"/>
      <c r="AA27" s="56">
        <f t="shared" si="3"/>
        <v>0</v>
      </c>
    </row>
    <row r="28" spans="1:27" ht="18.75" x14ac:dyDescent="0.2">
      <c r="A28" s="51" t="s">
        <v>846</v>
      </c>
      <c r="B28" s="50" t="s">
        <v>408</v>
      </c>
      <c r="C28" s="57"/>
      <c r="D28" s="57"/>
      <c r="E28" s="57"/>
      <c r="F28" s="58">
        <v>3</v>
      </c>
      <c r="G28" s="58">
        <v>1</v>
      </c>
      <c r="H28" s="58">
        <v>1</v>
      </c>
      <c r="I28" s="54">
        <f t="shared" si="0"/>
        <v>5</v>
      </c>
      <c r="J28" s="60"/>
      <c r="K28" s="60"/>
      <c r="L28" s="60"/>
      <c r="M28" s="56">
        <f t="shared" si="1"/>
        <v>0</v>
      </c>
      <c r="O28" s="62" t="s">
        <v>889</v>
      </c>
      <c r="P28" s="63" t="s">
        <v>429</v>
      </c>
      <c r="Q28" s="57"/>
      <c r="R28" s="57"/>
      <c r="S28" s="57"/>
      <c r="T28" s="58">
        <v>0</v>
      </c>
      <c r="U28" s="58">
        <v>0</v>
      </c>
      <c r="V28" s="58">
        <v>0</v>
      </c>
      <c r="W28" s="54">
        <f t="shared" si="2"/>
        <v>0</v>
      </c>
      <c r="X28" s="60"/>
      <c r="Y28" s="60"/>
      <c r="Z28" s="60"/>
      <c r="AA28" s="56">
        <f t="shared" si="3"/>
        <v>0</v>
      </c>
    </row>
    <row r="29" spans="1:27" ht="18.75" x14ac:dyDescent="0.2">
      <c r="A29" s="51" t="s">
        <v>847</v>
      </c>
      <c r="B29" s="50" t="s">
        <v>409</v>
      </c>
      <c r="C29" s="57"/>
      <c r="D29" s="57"/>
      <c r="E29" s="57"/>
      <c r="F29" s="58">
        <v>1</v>
      </c>
      <c r="G29" s="58">
        <v>0</v>
      </c>
      <c r="H29" s="58">
        <v>0</v>
      </c>
      <c r="I29" s="54">
        <f t="shared" si="0"/>
        <v>1</v>
      </c>
      <c r="J29" s="60"/>
      <c r="K29" s="60"/>
      <c r="L29" s="60"/>
      <c r="M29" s="56">
        <f t="shared" si="1"/>
        <v>0</v>
      </c>
      <c r="O29" s="62" t="s">
        <v>890</v>
      </c>
      <c r="P29" s="50" t="s">
        <v>436</v>
      </c>
      <c r="Q29" s="52"/>
      <c r="R29" s="52"/>
      <c r="S29" s="52"/>
      <c r="T29" s="53">
        <v>2</v>
      </c>
      <c r="U29" s="53">
        <v>0</v>
      </c>
      <c r="V29" s="53">
        <v>7</v>
      </c>
      <c r="W29" s="54">
        <f t="shared" si="2"/>
        <v>9</v>
      </c>
      <c r="X29" s="60"/>
      <c r="Y29" s="60"/>
      <c r="Z29" s="60"/>
      <c r="AA29" s="56">
        <f t="shared" si="3"/>
        <v>0</v>
      </c>
    </row>
    <row r="30" spans="1:27" ht="18.75" x14ac:dyDescent="0.2">
      <c r="A30" s="51" t="s">
        <v>848</v>
      </c>
      <c r="B30" s="50" t="s">
        <v>402</v>
      </c>
      <c r="C30" s="57"/>
      <c r="D30" s="57"/>
      <c r="E30" s="57"/>
      <c r="F30" s="58">
        <v>10</v>
      </c>
      <c r="G30" s="58">
        <v>0</v>
      </c>
      <c r="H30" s="58">
        <v>6</v>
      </c>
      <c r="I30" s="54">
        <f t="shared" si="0"/>
        <v>16</v>
      </c>
      <c r="J30" s="60"/>
      <c r="K30" s="60"/>
      <c r="L30" s="60"/>
      <c r="M30" s="56">
        <f t="shared" si="1"/>
        <v>0</v>
      </c>
      <c r="O30" s="62" t="s">
        <v>891</v>
      </c>
      <c r="P30" s="63" t="s">
        <v>410</v>
      </c>
      <c r="Q30" s="57"/>
      <c r="R30" s="57"/>
      <c r="S30" s="57"/>
      <c r="T30" s="58">
        <v>0</v>
      </c>
      <c r="U30" s="58">
        <v>0</v>
      </c>
      <c r="V30" s="58">
        <v>2</v>
      </c>
      <c r="W30" s="54">
        <f t="shared" si="2"/>
        <v>2</v>
      </c>
      <c r="X30" s="60"/>
      <c r="Y30" s="60"/>
      <c r="Z30" s="60"/>
      <c r="AA30" s="56">
        <f t="shared" si="3"/>
        <v>0</v>
      </c>
    </row>
    <row r="31" spans="1:27" ht="18.75" x14ac:dyDescent="0.2">
      <c r="A31" s="51" t="s">
        <v>849</v>
      </c>
      <c r="B31" s="50" t="s">
        <v>396</v>
      </c>
      <c r="C31" s="57">
        <v>2</v>
      </c>
      <c r="D31" s="57">
        <v>0</v>
      </c>
      <c r="E31" s="57">
        <v>0</v>
      </c>
      <c r="F31" s="58">
        <v>7</v>
      </c>
      <c r="G31" s="58">
        <v>0</v>
      </c>
      <c r="H31" s="58">
        <v>1</v>
      </c>
      <c r="I31" s="54">
        <f t="shared" si="0"/>
        <v>10</v>
      </c>
      <c r="J31" s="60"/>
      <c r="K31" s="60"/>
      <c r="L31" s="60"/>
      <c r="M31" s="56">
        <f t="shared" si="1"/>
        <v>0</v>
      </c>
      <c r="O31" s="62" t="s">
        <v>892</v>
      </c>
      <c r="P31" s="63" t="s">
        <v>894</v>
      </c>
      <c r="Q31" s="57"/>
      <c r="R31" s="57"/>
      <c r="S31" s="57"/>
      <c r="T31" s="58">
        <v>0</v>
      </c>
      <c r="U31" s="58">
        <v>0</v>
      </c>
      <c r="V31" s="58">
        <v>0</v>
      </c>
      <c r="W31" s="54">
        <f t="shared" si="2"/>
        <v>0</v>
      </c>
      <c r="X31" s="60"/>
      <c r="Y31" s="60"/>
      <c r="Z31" s="60"/>
      <c r="AA31" s="56">
        <f t="shared" si="3"/>
        <v>0</v>
      </c>
    </row>
    <row r="32" spans="1:27" ht="18.75" x14ac:dyDescent="0.2">
      <c r="A32" s="51" t="s">
        <v>850</v>
      </c>
      <c r="B32" s="50" t="s">
        <v>398</v>
      </c>
      <c r="C32" s="57"/>
      <c r="D32" s="57"/>
      <c r="E32" s="57"/>
      <c r="F32" s="58">
        <v>4</v>
      </c>
      <c r="G32" s="58">
        <v>0</v>
      </c>
      <c r="H32" s="58">
        <v>1</v>
      </c>
      <c r="I32" s="54">
        <f t="shared" si="0"/>
        <v>5</v>
      </c>
      <c r="J32" s="60"/>
      <c r="K32" s="60"/>
      <c r="L32" s="60"/>
      <c r="M32" s="56">
        <f t="shared" si="1"/>
        <v>0</v>
      </c>
      <c r="O32" s="62" t="s">
        <v>893</v>
      </c>
      <c r="P32" s="63" t="s">
        <v>435</v>
      </c>
      <c r="Q32" s="57"/>
      <c r="R32" s="57"/>
      <c r="S32" s="57"/>
      <c r="T32" s="58">
        <v>4</v>
      </c>
      <c r="U32" s="58">
        <v>0</v>
      </c>
      <c r="V32" s="58">
        <v>3</v>
      </c>
      <c r="W32" s="54">
        <f t="shared" si="2"/>
        <v>7</v>
      </c>
      <c r="X32" s="60"/>
      <c r="Y32" s="60"/>
      <c r="Z32" s="60"/>
      <c r="AA32" s="56">
        <f t="shared" si="3"/>
        <v>0</v>
      </c>
    </row>
    <row r="33" spans="1:27" ht="18.75" x14ac:dyDescent="0.2">
      <c r="A33" s="51" t="s">
        <v>851</v>
      </c>
      <c r="B33" s="50" t="s">
        <v>411</v>
      </c>
      <c r="C33" s="57"/>
      <c r="D33" s="57"/>
      <c r="E33" s="57"/>
      <c r="F33" s="58">
        <v>7</v>
      </c>
      <c r="G33" s="58">
        <v>1</v>
      </c>
      <c r="H33" s="58">
        <v>2</v>
      </c>
      <c r="I33" s="54">
        <f t="shared" si="0"/>
        <v>10</v>
      </c>
      <c r="J33" s="60"/>
      <c r="K33" s="60"/>
      <c r="L33" s="60"/>
      <c r="M33" s="56">
        <f t="shared" si="1"/>
        <v>0</v>
      </c>
      <c r="O33" s="62"/>
      <c r="P33" s="63"/>
      <c r="Q33" s="57"/>
      <c r="R33" s="57"/>
      <c r="S33" s="57"/>
      <c r="T33" s="58"/>
      <c r="U33" s="58"/>
      <c r="V33" s="58"/>
      <c r="W33" s="54">
        <f t="shared" si="2"/>
        <v>0</v>
      </c>
      <c r="X33" s="60"/>
      <c r="Y33" s="60"/>
      <c r="Z33" s="60"/>
      <c r="AA33" s="56">
        <f t="shared" si="3"/>
        <v>0</v>
      </c>
    </row>
    <row r="34" spans="1:27" ht="18.75" x14ac:dyDescent="0.2">
      <c r="A34" s="51" t="s">
        <v>852</v>
      </c>
      <c r="B34" s="50" t="s">
        <v>411</v>
      </c>
      <c r="C34" s="57"/>
      <c r="D34" s="57"/>
      <c r="E34" s="57"/>
      <c r="F34" s="58">
        <v>4</v>
      </c>
      <c r="G34" s="58">
        <v>0</v>
      </c>
      <c r="H34" s="58">
        <v>4</v>
      </c>
      <c r="I34" s="54">
        <f t="shared" si="0"/>
        <v>8</v>
      </c>
      <c r="J34" s="60"/>
      <c r="K34" s="60"/>
      <c r="L34" s="60"/>
      <c r="M34" s="56">
        <f t="shared" si="1"/>
        <v>0</v>
      </c>
      <c r="O34" s="62"/>
      <c r="P34" s="63"/>
      <c r="Q34" s="57"/>
      <c r="R34" s="57"/>
      <c r="S34" s="57"/>
      <c r="T34" s="58"/>
      <c r="U34" s="58"/>
      <c r="V34" s="58"/>
      <c r="W34" s="54">
        <f t="shared" si="2"/>
        <v>0</v>
      </c>
      <c r="X34" s="60"/>
      <c r="Y34" s="60"/>
      <c r="Z34" s="60"/>
      <c r="AA34" s="56">
        <f t="shared" si="3"/>
        <v>0</v>
      </c>
    </row>
    <row r="35" spans="1:27" ht="18.75" x14ac:dyDescent="0.2">
      <c r="A35" s="51" t="s">
        <v>853</v>
      </c>
      <c r="B35" s="50" t="s">
        <v>434</v>
      </c>
      <c r="C35" s="57">
        <v>2</v>
      </c>
      <c r="D35" s="57">
        <v>0</v>
      </c>
      <c r="E35" s="57">
        <v>0</v>
      </c>
      <c r="F35" s="58">
        <v>4</v>
      </c>
      <c r="G35" s="58">
        <v>0</v>
      </c>
      <c r="H35" s="58">
        <v>1</v>
      </c>
      <c r="I35" s="54">
        <f t="shared" si="0"/>
        <v>7</v>
      </c>
      <c r="J35" s="60"/>
      <c r="K35" s="60"/>
      <c r="L35" s="60"/>
      <c r="M35" s="56">
        <f t="shared" si="1"/>
        <v>0</v>
      </c>
      <c r="O35" s="62"/>
      <c r="P35" s="63"/>
      <c r="Q35" s="57"/>
      <c r="R35" s="57"/>
      <c r="S35" s="57"/>
      <c r="T35" s="58"/>
      <c r="U35" s="58"/>
      <c r="V35" s="58"/>
      <c r="W35" s="54">
        <f t="shared" si="2"/>
        <v>0</v>
      </c>
      <c r="X35" s="60"/>
      <c r="Y35" s="60"/>
      <c r="Z35" s="60"/>
      <c r="AA35" s="56">
        <f t="shared" si="3"/>
        <v>0</v>
      </c>
    </row>
    <row r="36" spans="1:27" ht="18.75" x14ac:dyDescent="0.2">
      <c r="A36" s="51" t="s">
        <v>854</v>
      </c>
      <c r="B36" s="50" t="s">
        <v>396</v>
      </c>
      <c r="C36" s="57">
        <v>1</v>
      </c>
      <c r="D36" s="57">
        <v>0</v>
      </c>
      <c r="E36" s="57">
        <v>0</v>
      </c>
      <c r="F36" s="58">
        <v>3</v>
      </c>
      <c r="G36" s="58">
        <v>0</v>
      </c>
      <c r="H36" s="58">
        <v>2</v>
      </c>
      <c r="I36" s="54">
        <f t="shared" si="0"/>
        <v>6</v>
      </c>
      <c r="J36" s="60"/>
      <c r="K36" s="60"/>
      <c r="L36" s="60"/>
      <c r="M36" s="56">
        <f t="shared" si="1"/>
        <v>0</v>
      </c>
      <c r="O36" s="62"/>
      <c r="P36" s="63"/>
      <c r="Q36" s="57"/>
      <c r="R36" s="57"/>
      <c r="S36" s="57"/>
      <c r="T36" s="58"/>
      <c r="U36" s="58"/>
      <c r="V36" s="58"/>
      <c r="W36" s="54">
        <f t="shared" si="2"/>
        <v>0</v>
      </c>
      <c r="X36" s="60"/>
      <c r="Y36" s="60"/>
      <c r="Z36" s="60"/>
      <c r="AA36" s="56">
        <f t="shared" si="3"/>
        <v>0</v>
      </c>
    </row>
    <row r="37" spans="1:27" ht="18.75" x14ac:dyDescent="0.2">
      <c r="A37" s="51" t="s">
        <v>855</v>
      </c>
      <c r="B37" s="50" t="s">
        <v>397</v>
      </c>
      <c r="C37" s="57">
        <v>2</v>
      </c>
      <c r="D37" s="57">
        <v>0</v>
      </c>
      <c r="E37" s="57">
        <v>0</v>
      </c>
      <c r="F37" s="58">
        <v>5</v>
      </c>
      <c r="G37" s="58">
        <v>1</v>
      </c>
      <c r="H37" s="58">
        <v>2</v>
      </c>
      <c r="I37" s="54">
        <f t="shared" si="0"/>
        <v>10</v>
      </c>
      <c r="J37" s="60"/>
      <c r="K37" s="60"/>
      <c r="L37" s="60"/>
      <c r="M37" s="56">
        <f t="shared" si="1"/>
        <v>0</v>
      </c>
      <c r="O37" s="62"/>
      <c r="P37" s="63"/>
      <c r="Q37" s="57"/>
      <c r="R37" s="57"/>
      <c r="S37" s="57"/>
      <c r="T37" s="58"/>
      <c r="U37" s="58"/>
      <c r="V37" s="58"/>
      <c r="W37" s="54">
        <f t="shared" si="2"/>
        <v>0</v>
      </c>
      <c r="X37" s="60"/>
      <c r="Y37" s="60"/>
      <c r="Z37" s="60"/>
      <c r="AA37" s="56">
        <f t="shared" si="3"/>
        <v>0</v>
      </c>
    </row>
    <row r="38" spans="1:27" ht="18.75" x14ac:dyDescent="0.2">
      <c r="A38" s="51" t="s">
        <v>856</v>
      </c>
      <c r="B38" s="50" t="s">
        <v>407</v>
      </c>
      <c r="C38" s="57"/>
      <c r="D38" s="57"/>
      <c r="E38" s="57"/>
      <c r="F38" s="58">
        <v>6</v>
      </c>
      <c r="G38" s="58">
        <v>0</v>
      </c>
      <c r="H38" s="58">
        <v>0</v>
      </c>
      <c r="I38" s="54">
        <f t="shared" si="0"/>
        <v>6</v>
      </c>
      <c r="J38" s="60"/>
      <c r="K38" s="60"/>
      <c r="L38" s="60"/>
      <c r="M38" s="56">
        <f t="shared" si="1"/>
        <v>0</v>
      </c>
      <c r="O38" s="62"/>
      <c r="P38" s="63"/>
      <c r="Q38" s="57"/>
      <c r="R38" s="57"/>
      <c r="S38" s="57"/>
      <c r="T38" s="58"/>
      <c r="U38" s="58"/>
      <c r="V38" s="58"/>
      <c r="W38" s="54">
        <f t="shared" si="2"/>
        <v>0</v>
      </c>
      <c r="X38" s="60"/>
      <c r="Y38" s="60"/>
      <c r="Z38" s="60"/>
      <c r="AA38" s="56">
        <f t="shared" si="3"/>
        <v>0</v>
      </c>
    </row>
    <row r="39" spans="1:27" ht="18.75" x14ac:dyDescent="0.2">
      <c r="A39" s="51" t="s">
        <v>857</v>
      </c>
      <c r="B39" s="50" t="s">
        <v>430</v>
      </c>
      <c r="C39" s="57"/>
      <c r="D39" s="57"/>
      <c r="E39" s="57"/>
      <c r="F39" s="58">
        <v>6</v>
      </c>
      <c r="G39" s="58">
        <v>0</v>
      </c>
      <c r="H39" s="58">
        <v>0</v>
      </c>
      <c r="I39" s="54">
        <f t="shared" si="0"/>
        <v>6</v>
      </c>
      <c r="J39" s="60"/>
      <c r="K39" s="60"/>
      <c r="L39" s="60"/>
      <c r="M39" s="56">
        <f t="shared" si="1"/>
        <v>0</v>
      </c>
      <c r="O39" s="62"/>
      <c r="P39" s="63"/>
      <c r="Q39" s="57"/>
      <c r="R39" s="57"/>
      <c r="S39" s="57"/>
      <c r="T39" s="58"/>
      <c r="U39" s="58"/>
      <c r="V39" s="58"/>
      <c r="W39" s="54">
        <f t="shared" si="2"/>
        <v>0</v>
      </c>
      <c r="X39" s="60"/>
      <c r="Y39" s="60"/>
      <c r="Z39" s="60"/>
      <c r="AA39" s="56">
        <f t="shared" si="3"/>
        <v>0</v>
      </c>
    </row>
    <row r="40" spans="1:27" ht="18.75" x14ac:dyDescent="0.2">
      <c r="A40" s="51" t="s">
        <v>858</v>
      </c>
      <c r="B40" s="50" t="s">
        <v>436</v>
      </c>
      <c r="C40" s="57"/>
      <c r="D40" s="57"/>
      <c r="E40" s="57"/>
      <c r="F40" s="58">
        <v>1</v>
      </c>
      <c r="G40" s="58">
        <v>0</v>
      </c>
      <c r="H40" s="58">
        <v>9</v>
      </c>
      <c r="I40" s="54">
        <f t="shared" si="0"/>
        <v>10</v>
      </c>
      <c r="J40" s="60"/>
      <c r="K40" s="60"/>
      <c r="L40" s="60"/>
      <c r="M40" s="56">
        <f t="shared" si="1"/>
        <v>0</v>
      </c>
      <c r="O40" s="62"/>
      <c r="P40" s="63"/>
      <c r="Q40" s="57"/>
      <c r="R40" s="57"/>
      <c r="S40" s="57"/>
      <c r="T40" s="58"/>
      <c r="U40" s="58"/>
      <c r="V40" s="58"/>
      <c r="W40" s="54">
        <f t="shared" si="2"/>
        <v>0</v>
      </c>
      <c r="X40" s="60"/>
      <c r="Y40" s="60"/>
      <c r="Z40" s="60"/>
      <c r="AA40" s="56">
        <f t="shared" si="3"/>
        <v>0</v>
      </c>
    </row>
    <row r="41" spans="1:27" ht="18.75" x14ac:dyDescent="0.2">
      <c r="A41" s="51" t="s">
        <v>859</v>
      </c>
      <c r="B41" s="50" t="s">
        <v>863</v>
      </c>
      <c r="C41" s="57"/>
      <c r="D41" s="57"/>
      <c r="E41" s="57"/>
      <c r="F41" s="58">
        <v>6</v>
      </c>
      <c r="G41" s="58">
        <v>0</v>
      </c>
      <c r="H41" s="58">
        <v>1</v>
      </c>
      <c r="I41" s="54">
        <f t="shared" si="0"/>
        <v>7</v>
      </c>
      <c r="J41" s="60"/>
      <c r="K41" s="60"/>
      <c r="L41" s="60"/>
      <c r="M41" s="56">
        <f t="shared" si="1"/>
        <v>0</v>
      </c>
      <c r="O41" s="62"/>
      <c r="P41" s="63"/>
      <c r="Q41" s="57"/>
      <c r="R41" s="57"/>
      <c r="S41" s="57"/>
      <c r="T41" s="58"/>
      <c r="U41" s="58"/>
      <c r="V41" s="58"/>
      <c r="W41" s="54">
        <f t="shared" si="2"/>
        <v>0</v>
      </c>
      <c r="X41" s="60"/>
      <c r="Y41" s="60"/>
      <c r="Z41" s="60"/>
      <c r="AA41" s="56">
        <f t="shared" si="3"/>
        <v>0</v>
      </c>
    </row>
    <row r="42" spans="1:27" ht="18.75" x14ac:dyDescent="0.2">
      <c r="A42" s="51" t="s">
        <v>860</v>
      </c>
      <c r="B42" s="50" t="s">
        <v>412</v>
      </c>
      <c r="C42" s="57"/>
      <c r="D42" s="57"/>
      <c r="E42" s="57"/>
      <c r="F42" s="58">
        <v>3</v>
      </c>
      <c r="G42" s="58">
        <v>0</v>
      </c>
      <c r="H42" s="58">
        <v>1</v>
      </c>
      <c r="I42" s="54">
        <f t="shared" si="0"/>
        <v>4</v>
      </c>
      <c r="J42" s="60"/>
      <c r="K42" s="60"/>
      <c r="L42" s="60"/>
      <c r="M42" s="56">
        <f t="shared" si="1"/>
        <v>0</v>
      </c>
      <c r="O42" s="62"/>
      <c r="P42" s="63"/>
      <c r="Q42" s="57"/>
      <c r="R42" s="57"/>
      <c r="S42" s="57"/>
      <c r="T42" s="58"/>
      <c r="U42" s="58"/>
      <c r="V42" s="58"/>
      <c r="W42" s="54">
        <f t="shared" si="2"/>
        <v>0</v>
      </c>
      <c r="X42" s="60"/>
      <c r="Y42" s="60"/>
      <c r="Z42" s="60"/>
      <c r="AA42" s="56">
        <f t="shared" si="3"/>
        <v>0</v>
      </c>
    </row>
    <row r="43" spans="1:27" ht="18.75" x14ac:dyDescent="0.2">
      <c r="A43" s="51" t="s">
        <v>861</v>
      </c>
      <c r="B43" s="50" t="s">
        <v>864</v>
      </c>
      <c r="C43" s="57"/>
      <c r="D43" s="57"/>
      <c r="E43" s="57"/>
      <c r="F43" s="58">
        <v>4</v>
      </c>
      <c r="G43" s="58">
        <v>0</v>
      </c>
      <c r="H43" s="58">
        <v>0</v>
      </c>
      <c r="I43" s="54">
        <f t="shared" si="0"/>
        <v>4</v>
      </c>
      <c r="J43" s="60"/>
      <c r="K43" s="60"/>
      <c r="L43" s="60"/>
      <c r="M43" s="56">
        <f t="shared" si="1"/>
        <v>0</v>
      </c>
      <c r="O43" s="62"/>
      <c r="P43" s="63"/>
      <c r="Q43" s="57"/>
      <c r="R43" s="57"/>
      <c r="S43" s="57"/>
      <c r="T43" s="58"/>
      <c r="U43" s="58"/>
      <c r="V43" s="58"/>
      <c r="W43" s="54">
        <f t="shared" si="2"/>
        <v>0</v>
      </c>
      <c r="X43" s="60"/>
      <c r="Y43" s="60"/>
      <c r="Z43" s="60"/>
      <c r="AA43" s="56">
        <f t="shared" si="3"/>
        <v>0</v>
      </c>
    </row>
    <row r="44" spans="1:27" ht="18.75" x14ac:dyDescent="0.2">
      <c r="A44" s="51" t="s">
        <v>862</v>
      </c>
      <c r="B44" s="50" t="s">
        <v>425</v>
      </c>
      <c r="C44" s="57"/>
      <c r="D44" s="57"/>
      <c r="E44" s="57"/>
      <c r="F44" s="58">
        <v>0</v>
      </c>
      <c r="G44" s="58">
        <v>0</v>
      </c>
      <c r="H44" s="58">
        <v>1</v>
      </c>
      <c r="I44" s="54">
        <f t="shared" si="0"/>
        <v>1</v>
      </c>
      <c r="J44" s="60"/>
      <c r="K44" s="60"/>
      <c r="L44" s="60"/>
      <c r="M44" s="56">
        <f t="shared" si="1"/>
        <v>0</v>
      </c>
      <c r="O44" s="62"/>
      <c r="P44" s="63"/>
      <c r="Q44" s="57"/>
      <c r="R44" s="57"/>
      <c r="S44" s="57"/>
      <c r="T44" s="58"/>
      <c r="U44" s="58"/>
      <c r="V44" s="58"/>
      <c r="W44" s="54">
        <f t="shared" si="2"/>
        <v>0</v>
      </c>
      <c r="X44" s="60"/>
      <c r="Y44" s="60"/>
      <c r="Z44" s="60"/>
      <c r="AA44" s="56">
        <f t="shared" si="3"/>
        <v>0</v>
      </c>
    </row>
    <row r="45" spans="1:27" ht="18.75" x14ac:dyDescent="0.2">
      <c r="A45" s="51"/>
      <c r="B45" s="50"/>
      <c r="C45" s="57"/>
      <c r="D45" s="57"/>
      <c r="E45" s="57"/>
      <c r="F45" s="58"/>
      <c r="G45" s="58"/>
      <c r="H45" s="58"/>
      <c r="I45" s="54">
        <f t="shared" si="0"/>
        <v>0</v>
      </c>
      <c r="J45" s="60"/>
      <c r="K45" s="60"/>
      <c r="L45" s="60"/>
      <c r="M45" s="56">
        <f t="shared" si="1"/>
        <v>0</v>
      </c>
      <c r="O45" s="62"/>
      <c r="P45" s="63"/>
      <c r="Q45" s="57"/>
      <c r="R45" s="57"/>
      <c r="S45" s="57"/>
      <c r="T45" s="58"/>
      <c r="U45" s="58"/>
      <c r="V45" s="58"/>
      <c r="W45" s="54">
        <f t="shared" si="2"/>
        <v>0</v>
      </c>
      <c r="X45" s="60"/>
      <c r="Y45" s="60"/>
      <c r="Z45" s="60"/>
      <c r="AA45" s="56">
        <f t="shared" si="3"/>
        <v>0</v>
      </c>
    </row>
    <row r="46" spans="1:27" ht="18.75" x14ac:dyDescent="0.2">
      <c r="A46" s="51"/>
      <c r="B46" s="50"/>
      <c r="C46" s="57"/>
      <c r="D46" s="57"/>
      <c r="E46" s="57"/>
      <c r="F46" s="58"/>
      <c r="G46" s="58"/>
      <c r="H46" s="58"/>
      <c r="I46" s="54">
        <f t="shared" si="0"/>
        <v>0</v>
      </c>
      <c r="J46" s="60"/>
      <c r="K46" s="60"/>
      <c r="L46" s="60"/>
      <c r="M46" s="56">
        <f t="shared" si="1"/>
        <v>0</v>
      </c>
      <c r="O46" s="62"/>
      <c r="P46" s="63"/>
      <c r="Q46" s="57"/>
      <c r="R46" s="57"/>
      <c r="S46" s="57"/>
      <c r="T46" s="58"/>
      <c r="U46" s="58"/>
      <c r="V46" s="58"/>
      <c r="W46" s="54">
        <f t="shared" si="2"/>
        <v>0</v>
      </c>
      <c r="X46" s="60"/>
      <c r="Y46" s="60"/>
      <c r="Z46" s="60"/>
      <c r="AA46" s="56">
        <f t="shared" si="3"/>
        <v>0</v>
      </c>
    </row>
    <row r="47" spans="1:27" ht="18.75" x14ac:dyDescent="0.2">
      <c r="A47" s="51"/>
      <c r="B47" s="50"/>
      <c r="C47" s="57"/>
      <c r="D47" s="57"/>
      <c r="E47" s="57"/>
      <c r="F47" s="58"/>
      <c r="G47" s="58"/>
      <c r="H47" s="58"/>
      <c r="I47" s="54">
        <f t="shared" si="0"/>
        <v>0</v>
      </c>
      <c r="J47" s="60"/>
      <c r="K47" s="60"/>
      <c r="L47" s="60"/>
      <c r="M47" s="56">
        <f t="shared" si="1"/>
        <v>0</v>
      </c>
      <c r="O47" s="62"/>
      <c r="P47" s="63"/>
      <c r="Q47" s="57"/>
      <c r="R47" s="57"/>
      <c r="S47" s="57"/>
      <c r="T47" s="58"/>
      <c r="U47" s="58"/>
      <c r="V47" s="58"/>
      <c r="W47" s="54">
        <f t="shared" si="2"/>
        <v>0</v>
      </c>
      <c r="X47" s="60"/>
      <c r="Y47" s="60"/>
      <c r="Z47" s="60"/>
      <c r="AA47" s="56">
        <f t="shared" si="3"/>
        <v>0</v>
      </c>
    </row>
    <row r="48" spans="1:27" ht="18.75" x14ac:dyDescent="0.2">
      <c r="A48" s="51"/>
      <c r="B48" s="50"/>
      <c r="C48" s="57"/>
      <c r="D48" s="57"/>
      <c r="E48" s="57"/>
      <c r="F48" s="58"/>
      <c r="G48" s="58"/>
      <c r="H48" s="58"/>
      <c r="I48" s="54">
        <f t="shared" si="0"/>
        <v>0</v>
      </c>
      <c r="J48" s="60"/>
      <c r="K48" s="60"/>
      <c r="L48" s="60"/>
      <c r="M48" s="56">
        <f t="shared" si="1"/>
        <v>0</v>
      </c>
      <c r="O48" s="62"/>
      <c r="P48" s="63"/>
      <c r="Q48" s="57"/>
      <c r="R48" s="57"/>
      <c r="S48" s="57"/>
      <c r="T48" s="58"/>
      <c r="U48" s="58"/>
      <c r="V48" s="58"/>
      <c r="W48" s="54">
        <f t="shared" si="2"/>
        <v>0</v>
      </c>
      <c r="X48" s="60"/>
      <c r="Y48" s="60"/>
      <c r="Z48" s="60"/>
      <c r="AA48" s="56">
        <f t="shared" si="3"/>
        <v>0</v>
      </c>
    </row>
    <row r="49" spans="1:27" ht="18.75" x14ac:dyDescent="0.2">
      <c r="A49" s="51"/>
      <c r="B49" s="50"/>
      <c r="C49" s="57"/>
      <c r="D49" s="57"/>
      <c r="E49" s="57"/>
      <c r="F49" s="58"/>
      <c r="G49" s="58"/>
      <c r="H49" s="58"/>
      <c r="I49" s="54">
        <f t="shared" si="0"/>
        <v>0</v>
      </c>
      <c r="J49" s="60"/>
      <c r="K49" s="60"/>
      <c r="L49" s="60"/>
      <c r="M49" s="56">
        <f t="shared" si="1"/>
        <v>0</v>
      </c>
      <c r="O49" s="62"/>
      <c r="P49" s="63"/>
      <c r="Q49" s="57"/>
      <c r="R49" s="57"/>
      <c r="S49" s="57"/>
      <c r="T49" s="58"/>
      <c r="U49" s="58"/>
      <c r="V49" s="58"/>
      <c r="W49" s="54">
        <f t="shared" si="2"/>
        <v>0</v>
      </c>
      <c r="X49" s="60"/>
      <c r="Y49" s="60"/>
      <c r="Z49" s="60"/>
      <c r="AA49" s="56">
        <f t="shared" si="3"/>
        <v>0</v>
      </c>
    </row>
    <row r="50" spans="1:27" ht="18.75" x14ac:dyDescent="0.2">
      <c r="A50" s="51"/>
      <c r="B50" s="50"/>
      <c r="C50" s="57"/>
      <c r="D50" s="57"/>
      <c r="E50" s="57"/>
      <c r="F50" s="58"/>
      <c r="G50" s="58"/>
      <c r="H50" s="58"/>
      <c r="I50" s="54">
        <f t="shared" si="0"/>
        <v>0</v>
      </c>
      <c r="J50" s="60"/>
      <c r="K50" s="60"/>
      <c r="L50" s="60"/>
      <c r="M50" s="56">
        <f t="shared" si="1"/>
        <v>0</v>
      </c>
      <c r="O50" s="62"/>
      <c r="P50" s="63"/>
      <c r="Q50" s="57"/>
      <c r="R50" s="57"/>
      <c r="S50" s="57"/>
      <c r="T50" s="58"/>
      <c r="U50" s="58"/>
      <c r="V50" s="58"/>
      <c r="W50" s="54">
        <f t="shared" si="2"/>
        <v>0</v>
      </c>
      <c r="X50" s="60"/>
      <c r="Y50" s="60"/>
      <c r="Z50" s="60"/>
      <c r="AA50" s="56">
        <f t="shared" si="3"/>
        <v>0</v>
      </c>
    </row>
    <row r="51" spans="1:27" ht="18.75" x14ac:dyDescent="0.2">
      <c r="A51" s="51"/>
      <c r="B51" s="50"/>
      <c r="C51" s="57"/>
      <c r="D51" s="57"/>
      <c r="E51" s="57"/>
      <c r="F51" s="58"/>
      <c r="G51" s="58"/>
      <c r="H51" s="58"/>
      <c r="I51" s="54">
        <f t="shared" si="0"/>
        <v>0</v>
      </c>
      <c r="J51" s="60"/>
      <c r="K51" s="60"/>
      <c r="L51" s="60"/>
      <c r="M51" s="56">
        <f t="shared" si="1"/>
        <v>0</v>
      </c>
      <c r="O51" s="62"/>
      <c r="P51" s="63"/>
      <c r="Q51" s="57"/>
      <c r="R51" s="57"/>
      <c r="S51" s="57"/>
      <c r="T51" s="58"/>
      <c r="U51" s="58"/>
      <c r="V51" s="58"/>
      <c r="W51" s="54">
        <f t="shared" si="2"/>
        <v>0</v>
      </c>
      <c r="X51" s="60"/>
      <c r="Y51" s="60"/>
      <c r="Z51" s="60"/>
      <c r="AA51" s="56">
        <f t="shared" si="3"/>
        <v>0</v>
      </c>
    </row>
    <row r="52" spans="1:27" ht="18.75" x14ac:dyDescent="0.2">
      <c r="A52" s="51"/>
      <c r="B52" s="50"/>
      <c r="C52" s="57"/>
      <c r="D52" s="57"/>
      <c r="E52" s="57"/>
      <c r="F52" s="58"/>
      <c r="G52" s="58"/>
      <c r="H52" s="58"/>
      <c r="I52" s="54">
        <f t="shared" si="0"/>
        <v>0</v>
      </c>
      <c r="J52" s="60"/>
      <c r="K52" s="60"/>
      <c r="L52" s="60"/>
      <c r="M52" s="56">
        <f t="shared" si="1"/>
        <v>0</v>
      </c>
      <c r="O52" s="62"/>
      <c r="P52" s="63"/>
      <c r="Q52" s="57"/>
      <c r="R52" s="57"/>
      <c r="S52" s="57"/>
      <c r="T52" s="58"/>
      <c r="U52" s="58"/>
      <c r="V52" s="58"/>
      <c r="W52" s="54">
        <f t="shared" si="2"/>
        <v>0</v>
      </c>
      <c r="X52" s="60"/>
      <c r="Y52" s="60"/>
      <c r="Z52" s="60"/>
      <c r="AA52" s="56">
        <f t="shared" si="3"/>
        <v>0</v>
      </c>
    </row>
    <row r="53" spans="1:27" ht="18.75" x14ac:dyDescent="0.2">
      <c r="A53" s="51"/>
      <c r="B53" s="50"/>
      <c r="C53" s="57"/>
      <c r="D53" s="57"/>
      <c r="E53" s="57"/>
      <c r="F53" s="58"/>
      <c r="G53" s="58"/>
      <c r="H53" s="58"/>
      <c r="I53" s="54">
        <f t="shared" si="0"/>
        <v>0</v>
      </c>
      <c r="J53" s="60"/>
      <c r="K53" s="60"/>
      <c r="L53" s="60"/>
      <c r="M53" s="56">
        <f t="shared" si="1"/>
        <v>0</v>
      </c>
      <c r="O53" s="62"/>
      <c r="P53" s="63"/>
      <c r="Q53" s="57"/>
      <c r="R53" s="57"/>
      <c r="S53" s="57"/>
      <c r="T53" s="58"/>
      <c r="U53" s="58"/>
      <c r="V53" s="58"/>
      <c r="W53" s="54">
        <f t="shared" si="2"/>
        <v>0</v>
      </c>
      <c r="X53" s="60"/>
      <c r="Y53" s="60"/>
      <c r="Z53" s="60"/>
      <c r="AA53" s="56">
        <f t="shared" si="3"/>
        <v>0</v>
      </c>
    </row>
    <row r="54" spans="1:27" ht="18.75" x14ac:dyDescent="0.2">
      <c r="A54" s="51"/>
      <c r="B54" s="50"/>
      <c r="C54" s="57"/>
      <c r="D54" s="57"/>
      <c r="E54" s="57"/>
      <c r="F54" s="58"/>
      <c r="G54" s="58"/>
      <c r="H54" s="58"/>
      <c r="I54" s="54">
        <f t="shared" si="0"/>
        <v>0</v>
      </c>
      <c r="J54" s="60"/>
      <c r="K54" s="60"/>
      <c r="L54" s="60"/>
      <c r="M54" s="56">
        <f t="shared" si="1"/>
        <v>0</v>
      </c>
      <c r="O54" s="62"/>
      <c r="P54" s="63"/>
      <c r="Q54" s="57"/>
      <c r="R54" s="57"/>
      <c r="S54" s="57"/>
      <c r="T54" s="58"/>
      <c r="U54" s="58"/>
      <c r="V54" s="58"/>
      <c r="W54" s="54">
        <f t="shared" si="2"/>
        <v>0</v>
      </c>
      <c r="X54" s="60"/>
      <c r="Y54" s="60"/>
      <c r="Z54" s="60"/>
      <c r="AA54" s="56">
        <f t="shared" si="3"/>
        <v>0</v>
      </c>
    </row>
    <row r="55" spans="1:27" ht="18.75" x14ac:dyDescent="0.2">
      <c r="A55" s="51"/>
      <c r="B55" s="50"/>
      <c r="C55" s="57"/>
      <c r="D55" s="57"/>
      <c r="E55" s="57"/>
      <c r="F55" s="58"/>
      <c r="G55" s="58"/>
      <c r="H55" s="58"/>
      <c r="I55" s="54">
        <f t="shared" si="0"/>
        <v>0</v>
      </c>
      <c r="J55" s="60"/>
      <c r="K55" s="60"/>
      <c r="L55" s="60"/>
      <c r="M55" s="56">
        <f t="shared" si="1"/>
        <v>0</v>
      </c>
      <c r="O55" s="62"/>
      <c r="P55" s="63"/>
      <c r="Q55" s="57"/>
      <c r="R55" s="57"/>
      <c r="S55" s="57"/>
      <c r="T55" s="58"/>
      <c r="U55" s="58"/>
      <c r="V55" s="58"/>
      <c r="W55" s="54">
        <f t="shared" si="2"/>
        <v>0</v>
      </c>
      <c r="X55" s="60"/>
      <c r="Y55" s="60"/>
      <c r="Z55" s="60"/>
      <c r="AA55" s="56">
        <f t="shared" si="3"/>
        <v>0</v>
      </c>
    </row>
    <row r="56" spans="1:27" ht="18.75" x14ac:dyDescent="0.2">
      <c r="A56" s="51"/>
      <c r="B56" s="50"/>
      <c r="C56" s="57"/>
      <c r="D56" s="57"/>
      <c r="E56" s="57"/>
      <c r="F56" s="58"/>
      <c r="G56" s="58"/>
      <c r="H56" s="58"/>
      <c r="I56" s="54">
        <f t="shared" si="0"/>
        <v>0</v>
      </c>
      <c r="J56" s="60"/>
      <c r="K56" s="60"/>
      <c r="L56" s="60"/>
      <c r="M56" s="56">
        <f t="shared" si="1"/>
        <v>0</v>
      </c>
      <c r="O56" s="62"/>
      <c r="P56" s="63"/>
      <c r="Q56" s="57"/>
      <c r="R56" s="57"/>
      <c r="S56" s="57"/>
      <c r="T56" s="58"/>
      <c r="U56" s="58"/>
      <c r="V56" s="58"/>
      <c r="W56" s="54">
        <f t="shared" si="2"/>
        <v>0</v>
      </c>
      <c r="X56" s="60"/>
      <c r="Y56" s="60"/>
      <c r="Z56" s="60"/>
      <c r="AA56" s="56">
        <f t="shared" si="3"/>
        <v>0</v>
      </c>
    </row>
    <row r="57" spans="1:27" ht="18.75" x14ac:dyDescent="0.2">
      <c r="A57" s="51"/>
      <c r="B57" s="50"/>
      <c r="C57" s="57"/>
      <c r="D57" s="57"/>
      <c r="E57" s="57"/>
      <c r="F57" s="58"/>
      <c r="G57" s="58"/>
      <c r="H57" s="58"/>
      <c r="I57" s="54">
        <f t="shared" si="0"/>
        <v>0</v>
      </c>
      <c r="J57" s="60"/>
      <c r="K57" s="60"/>
      <c r="L57" s="60"/>
      <c r="M57" s="56">
        <f t="shared" si="1"/>
        <v>0</v>
      </c>
      <c r="O57" s="62"/>
      <c r="P57" s="63"/>
      <c r="Q57" s="57"/>
      <c r="R57" s="57"/>
      <c r="S57" s="57"/>
      <c r="T57" s="58"/>
      <c r="U57" s="58"/>
      <c r="V57" s="58"/>
      <c r="W57" s="54">
        <f t="shared" si="2"/>
        <v>0</v>
      </c>
      <c r="X57" s="60"/>
      <c r="Y57" s="60"/>
      <c r="Z57" s="60"/>
      <c r="AA57" s="56">
        <f t="shared" si="3"/>
        <v>0</v>
      </c>
    </row>
    <row r="58" spans="1:27" ht="18.75" x14ac:dyDescent="0.2">
      <c r="A58" s="51"/>
      <c r="B58" s="50"/>
      <c r="C58" s="57"/>
      <c r="D58" s="57"/>
      <c r="E58" s="57"/>
      <c r="F58" s="58"/>
      <c r="G58" s="58"/>
      <c r="H58" s="58"/>
      <c r="I58" s="54">
        <f t="shared" si="0"/>
        <v>0</v>
      </c>
      <c r="J58" s="60"/>
      <c r="K58" s="60"/>
      <c r="L58" s="60"/>
      <c r="M58" s="56">
        <f t="shared" si="1"/>
        <v>0</v>
      </c>
      <c r="O58" s="62"/>
      <c r="P58" s="63"/>
      <c r="Q58" s="57"/>
      <c r="R58" s="57"/>
      <c r="S58" s="57"/>
      <c r="T58" s="58"/>
      <c r="U58" s="58"/>
      <c r="V58" s="58"/>
      <c r="W58" s="54">
        <f t="shared" si="2"/>
        <v>0</v>
      </c>
      <c r="X58" s="60"/>
      <c r="Y58" s="60"/>
      <c r="Z58" s="60"/>
      <c r="AA58" s="56">
        <f t="shared" si="3"/>
        <v>0</v>
      </c>
    </row>
    <row r="59" spans="1:27" ht="18.75" x14ac:dyDescent="0.2">
      <c r="A59" s="51"/>
      <c r="B59" s="50"/>
      <c r="C59" s="57"/>
      <c r="D59" s="57"/>
      <c r="E59" s="57"/>
      <c r="F59" s="58"/>
      <c r="G59" s="58"/>
      <c r="H59" s="58"/>
      <c r="I59" s="54">
        <f t="shared" si="0"/>
        <v>0</v>
      </c>
      <c r="J59" s="60"/>
      <c r="K59" s="60"/>
      <c r="L59" s="60"/>
      <c r="M59" s="56">
        <f t="shared" si="1"/>
        <v>0</v>
      </c>
      <c r="O59" s="62"/>
      <c r="P59" s="63"/>
      <c r="Q59" s="57"/>
      <c r="R59" s="57"/>
      <c r="S59" s="57"/>
      <c r="T59" s="58"/>
      <c r="U59" s="58"/>
      <c r="V59" s="58"/>
      <c r="W59" s="54">
        <f t="shared" si="2"/>
        <v>0</v>
      </c>
      <c r="X59" s="60"/>
      <c r="Y59" s="60"/>
      <c r="Z59" s="60"/>
      <c r="AA59" s="56">
        <f t="shared" si="3"/>
        <v>0</v>
      </c>
    </row>
    <row r="60" spans="1:27" ht="18.75" x14ac:dyDescent="0.2">
      <c r="A60" s="51"/>
      <c r="B60" s="50"/>
      <c r="C60" s="57"/>
      <c r="D60" s="57"/>
      <c r="E60" s="57"/>
      <c r="F60" s="58"/>
      <c r="G60" s="58"/>
      <c r="H60" s="58"/>
      <c r="I60" s="54">
        <f t="shared" si="0"/>
        <v>0</v>
      </c>
      <c r="J60" s="60"/>
      <c r="K60" s="60"/>
      <c r="L60" s="60"/>
      <c r="M60" s="56">
        <f t="shared" si="1"/>
        <v>0</v>
      </c>
      <c r="O60" s="62"/>
      <c r="P60" s="63"/>
      <c r="Q60" s="57"/>
      <c r="R60" s="57"/>
      <c r="S60" s="57"/>
      <c r="T60" s="58"/>
      <c r="U60" s="58"/>
      <c r="V60" s="58"/>
      <c r="W60" s="54">
        <f t="shared" si="2"/>
        <v>0</v>
      </c>
      <c r="X60" s="60"/>
      <c r="Y60" s="60"/>
      <c r="Z60" s="60"/>
      <c r="AA60" s="56">
        <f t="shared" si="3"/>
        <v>0</v>
      </c>
    </row>
    <row r="61" spans="1:27" ht="18.75" x14ac:dyDescent="0.2">
      <c r="A61" s="51"/>
      <c r="B61" s="50"/>
      <c r="C61" s="57"/>
      <c r="D61" s="57"/>
      <c r="E61" s="57"/>
      <c r="F61" s="58"/>
      <c r="G61" s="58"/>
      <c r="H61" s="58"/>
      <c r="I61" s="54">
        <f t="shared" si="0"/>
        <v>0</v>
      </c>
      <c r="J61" s="60"/>
      <c r="K61" s="60"/>
      <c r="L61" s="60"/>
      <c r="M61" s="56">
        <f t="shared" si="1"/>
        <v>0</v>
      </c>
      <c r="O61" s="62"/>
      <c r="P61" s="63"/>
      <c r="Q61" s="57"/>
      <c r="R61" s="57"/>
      <c r="S61" s="57"/>
      <c r="T61" s="58"/>
      <c r="U61" s="58"/>
      <c r="V61" s="58"/>
      <c r="W61" s="54">
        <f t="shared" si="2"/>
        <v>0</v>
      </c>
      <c r="X61" s="60"/>
      <c r="Y61" s="60"/>
      <c r="Z61" s="60"/>
      <c r="AA61" s="56">
        <f t="shared" si="3"/>
        <v>0</v>
      </c>
    </row>
    <row r="62" spans="1:27" ht="18.75" x14ac:dyDescent="0.2">
      <c r="A62" s="51"/>
      <c r="B62" s="50"/>
      <c r="C62" s="57"/>
      <c r="D62" s="57"/>
      <c r="E62" s="57"/>
      <c r="F62" s="58"/>
      <c r="G62" s="58"/>
      <c r="H62" s="58"/>
      <c r="I62" s="54">
        <f t="shared" si="0"/>
        <v>0</v>
      </c>
      <c r="J62" s="60"/>
      <c r="K62" s="60"/>
      <c r="L62" s="60"/>
      <c r="M62" s="56">
        <f t="shared" si="1"/>
        <v>0</v>
      </c>
      <c r="O62" s="62"/>
      <c r="P62" s="63"/>
      <c r="Q62" s="57"/>
      <c r="R62" s="57"/>
      <c r="S62" s="57"/>
      <c r="T62" s="58"/>
      <c r="U62" s="58"/>
      <c r="V62" s="58"/>
      <c r="W62" s="54">
        <f t="shared" si="2"/>
        <v>0</v>
      </c>
      <c r="X62" s="60"/>
      <c r="Y62" s="60"/>
      <c r="Z62" s="60"/>
      <c r="AA62" s="56">
        <f t="shared" si="3"/>
        <v>0</v>
      </c>
    </row>
    <row r="63" spans="1:27" ht="18.75" x14ac:dyDescent="0.2">
      <c r="A63" s="51"/>
      <c r="B63" s="50"/>
      <c r="C63" s="57"/>
      <c r="D63" s="57"/>
      <c r="E63" s="57"/>
      <c r="F63" s="58"/>
      <c r="G63" s="58"/>
      <c r="H63" s="58"/>
      <c r="I63" s="54">
        <f t="shared" si="0"/>
        <v>0</v>
      </c>
      <c r="J63" s="60"/>
      <c r="K63" s="60"/>
      <c r="L63" s="60"/>
      <c r="M63" s="56">
        <f t="shared" si="1"/>
        <v>0</v>
      </c>
      <c r="O63" s="62"/>
      <c r="P63" s="63"/>
      <c r="Q63" s="57"/>
      <c r="R63" s="57"/>
      <c r="S63" s="57"/>
      <c r="T63" s="58"/>
      <c r="U63" s="58"/>
      <c r="V63" s="58"/>
      <c r="W63" s="54">
        <f t="shared" si="2"/>
        <v>0</v>
      </c>
      <c r="X63" s="60"/>
      <c r="Y63" s="60"/>
      <c r="Z63" s="60"/>
      <c r="AA63" s="56">
        <f t="shared" si="3"/>
        <v>0</v>
      </c>
    </row>
    <row r="64" spans="1:27" ht="18.75" x14ac:dyDescent="0.2">
      <c r="A64" s="51"/>
      <c r="B64" s="50"/>
      <c r="C64" s="57"/>
      <c r="D64" s="57"/>
      <c r="E64" s="57"/>
      <c r="F64" s="58"/>
      <c r="G64" s="58"/>
      <c r="H64" s="58"/>
      <c r="I64" s="54">
        <f t="shared" si="0"/>
        <v>0</v>
      </c>
      <c r="J64" s="60"/>
      <c r="K64" s="60"/>
      <c r="L64" s="60"/>
      <c r="M64" s="56">
        <f t="shared" si="1"/>
        <v>0</v>
      </c>
      <c r="O64" s="62"/>
      <c r="P64" s="63"/>
      <c r="Q64" s="57"/>
      <c r="R64" s="57"/>
      <c r="S64" s="57"/>
      <c r="T64" s="58"/>
      <c r="U64" s="58"/>
      <c r="V64" s="58"/>
      <c r="W64" s="54">
        <f t="shared" si="2"/>
        <v>0</v>
      </c>
      <c r="X64" s="60"/>
      <c r="Y64" s="60"/>
      <c r="Z64" s="60"/>
      <c r="AA64" s="56">
        <f t="shared" si="3"/>
        <v>0</v>
      </c>
    </row>
    <row r="65" spans="1:27" ht="18.75" x14ac:dyDescent="0.2">
      <c r="A65" s="51"/>
      <c r="B65" s="50"/>
      <c r="C65" s="57"/>
      <c r="D65" s="57"/>
      <c r="E65" s="57"/>
      <c r="F65" s="58"/>
      <c r="G65" s="58"/>
      <c r="H65" s="58"/>
      <c r="I65" s="54">
        <f t="shared" si="0"/>
        <v>0</v>
      </c>
      <c r="J65" s="60"/>
      <c r="K65" s="60"/>
      <c r="L65" s="60"/>
      <c r="M65" s="56">
        <f t="shared" si="1"/>
        <v>0</v>
      </c>
      <c r="O65" s="62"/>
      <c r="P65" s="63"/>
      <c r="Q65" s="57"/>
      <c r="R65" s="57"/>
      <c r="S65" s="57"/>
      <c r="T65" s="58"/>
      <c r="U65" s="58"/>
      <c r="V65" s="58"/>
      <c r="W65" s="54">
        <f t="shared" si="2"/>
        <v>0</v>
      </c>
      <c r="X65" s="60"/>
      <c r="Y65" s="60"/>
      <c r="Z65" s="60"/>
      <c r="AA65" s="56">
        <f t="shared" si="3"/>
        <v>0</v>
      </c>
    </row>
    <row r="66" spans="1:27" ht="18.75" x14ac:dyDescent="0.2">
      <c r="A66" s="51"/>
      <c r="B66" s="50"/>
      <c r="C66" s="57"/>
      <c r="D66" s="57"/>
      <c r="E66" s="57"/>
      <c r="F66" s="58"/>
      <c r="G66" s="58"/>
      <c r="H66" s="58"/>
      <c r="I66" s="54">
        <f t="shared" si="0"/>
        <v>0</v>
      </c>
      <c r="J66" s="60"/>
      <c r="K66" s="60"/>
      <c r="L66" s="60"/>
      <c r="M66" s="56">
        <f t="shared" si="1"/>
        <v>0</v>
      </c>
      <c r="O66" s="62"/>
      <c r="P66" s="63"/>
      <c r="Q66" s="57"/>
      <c r="R66" s="57"/>
      <c r="S66" s="57"/>
      <c r="T66" s="58"/>
      <c r="U66" s="58"/>
      <c r="V66" s="58"/>
      <c r="W66" s="54">
        <f t="shared" si="2"/>
        <v>0</v>
      </c>
      <c r="X66" s="60"/>
      <c r="Y66" s="60"/>
      <c r="Z66" s="60"/>
      <c r="AA66" s="56">
        <f t="shared" si="3"/>
        <v>0</v>
      </c>
    </row>
    <row r="67" spans="1:27" ht="18.75" x14ac:dyDescent="0.2">
      <c r="A67" s="51"/>
      <c r="B67" s="50"/>
      <c r="C67" s="57"/>
      <c r="D67" s="57"/>
      <c r="E67" s="57"/>
      <c r="F67" s="58"/>
      <c r="G67" s="58"/>
      <c r="H67" s="58"/>
      <c r="I67" s="54">
        <f t="shared" si="0"/>
        <v>0</v>
      </c>
      <c r="J67" s="60"/>
      <c r="K67" s="60"/>
      <c r="L67" s="60"/>
      <c r="M67" s="56">
        <f t="shared" si="1"/>
        <v>0</v>
      </c>
      <c r="O67" s="62"/>
      <c r="P67" s="63"/>
      <c r="Q67" s="57"/>
      <c r="R67" s="57"/>
      <c r="S67" s="57"/>
      <c r="T67" s="58"/>
      <c r="U67" s="58"/>
      <c r="V67" s="58"/>
      <c r="W67" s="54">
        <f t="shared" si="2"/>
        <v>0</v>
      </c>
      <c r="X67" s="60"/>
      <c r="Y67" s="60"/>
      <c r="Z67" s="60"/>
      <c r="AA67" s="56">
        <f t="shared" si="3"/>
        <v>0</v>
      </c>
    </row>
    <row r="68" spans="1:27" ht="18.75" x14ac:dyDescent="0.2">
      <c r="A68" s="51"/>
      <c r="B68" s="50"/>
      <c r="C68" s="57"/>
      <c r="D68" s="57"/>
      <c r="E68" s="57"/>
      <c r="F68" s="58"/>
      <c r="G68" s="58"/>
      <c r="H68" s="58"/>
      <c r="I68" s="54">
        <f t="shared" si="0"/>
        <v>0</v>
      </c>
      <c r="J68" s="60"/>
      <c r="K68" s="60"/>
      <c r="L68" s="60"/>
      <c r="M68" s="56">
        <f t="shared" si="1"/>
        <v>0</v>
      </c>
      <c r="O68" s="62"/>
      <c r="P68" s="63"/>
      <c r="Q68" s="57"/>
      <c r="R68" s="57"/>
      <c r="S68" s="57"/>
      <c r="T68" s="58"/>
      <c r="U68" s="58"/>
      <c r="V68" s="58"/>
      <c r="W68" s="54">
        <f t="shared" si="2"/>
        <v>0</v>
      </c>
      <c r="X68" s="60"/>
      <c r="Y68" s="60"/>
      <c r="Z68" s="60"/>
      <c r="AA68" s="56">
        <f t="shared" si="3"/>
        <v>0</v>
      </c>
    </row>
    <row r="69" spans="1:27" ht="18.75" x14ac:dyDescent="0.2">
      <c r="A69" s="51"/>
      <c r="B69" s="50"/>
      <c r="C69" s="57"/>
      <c r="D69" s="57"/>
      <c r="E69" s="57"/>
      <c r="F69" s="58"/>
      <c r="G69" s="58"/>
      <c r="H69" s="58"/>
      <c r="I69" s="54">
        <f t="shared" si="0"/>
        <v>0</v>
      </c>
      <c r="J69" s="60"/>
      <c r="K69" s="60"/>
      <c r="L69" s="60"/>
      <c r="M69" s="56">
        <f t="shared" si="1"/>
        <v>0</v>
      </c>
      <c r="O69" s="62"/>
      <c r="P69" s="63"/>
      <c r="Q69" s="57"/>
      <c r="R69" s="57"/>
      <c r="S69" s="57"/>
      <c r="T69" s="58"/>
      <c r="U69" s="58"/>
      <c r="V69" s="58"/>
      <c r="W69" s="54">
        <f t="shared" si="2"/>
        <v>0</v>
      </c>
      <c r="X69" s="60"/>
      <c r="Y69" s="60"/>
      <c r="Z69" s="60"/>
      <c r="AA69" s="56">
        <f t="shared" si="3"/>
        <v>0</v>
      </c>
    </row>
    <row r="70" spans="1:27" ht="18.75" x14ac:dyDescent="0.2">
      <c r="A70" s="51"/>
      <c r="B70" s="50"/>
      <c r="C70" s="57"/>
      <c r="D70" s="57"/>
      <c r="E70" s="57"/>
      <c r="F70" s="58"/>
      <c r="G70" s="58"/>
      <c r="H70" s="58"/>
      <c r="I70" s="54">
        <f t="shared" si="0"/>
        <v>0</v>
      </c>
      <c r="J70" s="60"/>
      <c r="K70" s="60"/>
      <c r="L70" s="60"/>
      <c r="M70" s="56">
        <f t="shared" si="1"/>
        <v>0</v>
      </c>
      <c r="O70" s="62"/>
      <c r="P70" s="63"/>
      <c r="Q70" s="57"/>
      <c r="R70" s="57"/>
      <c r="S70" s="57"/>
      <c r="T70" s="58"/>
      <c r="U70" s="58"/>
      <c r="V70" s="58"/>
      <c r="W70" s="54">
        <f t="shared" si="2"/>
        <v>0</v>
      </c>
      <c r="X70" s="60"/>
      <c r="Y70" s="60"/>
      <c r="Z70" s="60"/>
      <c r="AA70" s="56">
        <f t="shared" si="3"/>
        <v>0</v>
      </c>
    </row>
    <row r="71" spans="1:27" ht="18.75" x14ac:dyDescent="0.2">
      <c r="A71" s="51"/>
      <c r="B71" s="50"/>
      <c r="C71" s="57"/>
      <c r="D71" s="57"/>
      <c r="E71" s="57"/>
      <c r="F71" s="58"/>
      <c r="G71" s="58"/>
      <c r="H71" s="58"/>
      <c r="I71" s="54">
        <f t="shared" si="0"/>
        <v>0</v>
      </c>
      <c r="J71" s="60"/>
      <c r="K71" s="60"/>
      <c r="L71" s="60"/>
      <c r="M71" s="56">
        <f t="shared" si="1"/>
        <v>0</v>
      </c>
      <c r="O71" s="62"/>
      <c r="P71" s="63"/>
      <c r="Q71" s="57"/>
      <c r="R71" s="57"/>
      <c r="S71" s="57"/>
      <c r="T71" s="58"/>
      <c r="U71" s="58"/>
      <c r="V71" s="58"/>
      <c r="W71" s="54">
        <f t="shared" si="2"/>
        <v>0</v>
      </c>
      <c r="X71" s="60"/>
      <c r="Y71" s="60"/>
      <c r="Z71" s="60"/>
      <c r="AA71" s="56">
        <f t="shared" si="3"/>
        <v>0</v>
      </c>
    </row>
    <row r="72" spans="1:27" ht="19.5" thickBot="1" x14ac:dyDescent="0.25">
      <c r="A72" s="51"/>
      <c r="B72" s="50"/>
      <c r="C72" s="52"/>
      <c r="D72" s="52"/>
      <c r="E72" s="52"/>
      <c r="F72" s="53"/>
      <c r="G72" s="53"/>
      <c r="H72" s="53"/>
      <c r="I72" s="54">
        <f t="shared" si="0"/>
        <v>0</v>
      </c>
      <c r="J72" s="55"/>
      <c r="K72" s="55"/>
      <c r="L72" s="55"/>
      <c r="M72" s="56">
        <f t="shared" si="1"/>
        <v>0</v>
      </c>
      <c r="O72" s="62"/>
      <c r="P72" s="63"/>
      <c r="Q72" s="57"/>
      <c r="R72" s="57"/>
      <c r="S72" s="57"/>
      <c r="T72" s="58"/>
      <c r="U72" s="58"/>
      <c r="V72" s="58"/>
      <c r="W72" s="54">
        <f t="shared" si="2"/>
        <v>0</v>
      </c>
      <c r="X72" s="60"/>
      <c r="Y72" s="60"/>
      <c r="Z72" s="60"/>
      <c r="AA72" s="56">
        <f t="shared" si="3"/>
        <v>0</v>
      </c>
    </row>
    <row r="73" spans="1:27" ht="14.25" x14ac:dyDescent="0.2">
      <c r="A73" s="449" t="s">
        <v>179</v>
      </c>
      <c r="B73" s="451" t="s">
        <v>180</v>
      </c>
      <c r="C73" s="454" t="s">
        <v>172</v>
      </c>
      <c r="D73" s="455"/>
      <c r="E73" s="455"/>
      <c r="F73" s="456" t="s">
        <v>173</v>
      </c>
      <c r="G73" s="456"/>
      <c r="H73" s="457"/>
      <c r="I73" s="458" t="s">
        <v>174</v>
      </c>
      <c r="J73" s="474" t="s">
        <v>175</v>
      </c>
      <c r="K73" s="475"/>
      <c r="L73" s="476"/>
      <c r="M73" s="458" t="s">
        <v>174</v>
      </c>
      <c r="O73" s="449" t="s">
        <v>179</v>
      </c>
      <c r="P73" s="451" t="s">
        <v>180</v>
      </c>
      <c r="Q73" s="454" t="s">
        <v>172</v>
      </c>
      <c r="R73" s="455"/>
      <c r="S73" s="455"/>
      <c r="T73" s="456" t="s">
        <v>173</v>
      </c>
      <c r="U73" s="456"/>
      <c r="V73" s="457"/>
      <c r="W73" s="458" t="s">
        <v>174</v>
      </c>
      <c r="X73" s="474" t="s">
        <v>175</v>
      </c>
      <c r="Y73" s="475"/>
      <c r="Z73" s="476"/>
      <c r="AA73" s="458" t="s">
        <v>174</v>
      </c>
    </row>
    <row r="74" spans="1:27" x14ac:dyDescent="0.2">
      <c r="A74" s="450"/>
      <c r="B74" s="452"/>
      <c r="C74" s="466" t="s">
        <v>176</v>
      </c>
      <c r="D74" s="460" t="s">
        <v>177</v>
      </c>
      <c r="E74" s="460" t="s">
        <v>178</v>
      </c>
      <c r="F74" s="461" t="s">
        <v>176</v>
      </c>
      <c r="G74" s="461" t="s">
        <v>177</v>
      </c>
      <c r="H74" s="462" t="s">
        <v>178</v>
      </c>
      <c r="I74" s="459"/>
      <c r="J74" s="464" t="s">
        <v>176</v>
      </c>
      <c r="K74" s="465" t="s">
        <v>177</v>
      </c>
      <c r="L74" s="463" t="s">
        <v>178</v>
      </c>
      <c r="M74" s="459"/>
      <c r="O74" s="450"/>
      <c r="P74" s="452"/>
      <c r="Q74" s="466" t="s">
        <v>176</v>
      </c>
      <c r="R74" s="460" t="s">
        <v>177</v>
      </c>
      <c r="S74" s="460" t="s">
        <v>178</v>
      </c>
      <c r="T74" s="461" t="s">
        <v>176</v>
      </c>
      <c r="U74" s="461" t="s">
        <v>177</v>
      </c>
      <c r="V74" s="462" t="s">
        <v>178</v>
      </c>
      <c r="W74" s="459"/>
      <c r="X74" s="464" t="s">
        <v>176</v>
      </c>
      <c r="Y74" s="465" t="s">
        <v>177</v>
      </c>
      <c r="Z74" s="463" t="s">
        <v>178</v>
      </c>
      <c r="AA74" s="459"/>
    </row>
    <row r="75" spans="1:27" x14ac:dyDescent="0.2">
      <c r="A75" s="450"/>
      <c r="B75" s="453"/>
      <c r="C75" s="466"/>
      <c r="D75" s="460"/>
      <c r="E75" s="460"/>
      <c r="F75" s="461"/>
      <c r="G75" s="461"/>
      <c r="H75" s="462"/>
      <c r="I75" s="459"/>
      <c r="J75" s="464"/>
      <c r="K75" s="465"/>
      <c r="L75" s="463"/>
      <c r="M75" s="459"/>
      <c r="O75" s="450"/>
      <c r="P75" s="453"/>
      <c r="Q75" s="466"/>
      <c r="R75" s="460"/>
      <c r="S75" s="460"/>
      <c r="T75" s="461"/>
      <c r="U75" s="461"/>
      <c r="V75" s="462"/>
      <c r="W75" s="459"/>
      <c r="X75" s="464"/>
      <c r="Y75" s="465"/>
      <c r="Z75" s="463"/>
      <c r="AA75" s="459"/>
    </row>
    <row r="76" spans="1:27" ht="15" thickBot="1" x14ac:dyDescent="0.25">
      <c r="A76" s="17">
        <f>COUNTA(A4:A72)</f>
        <v>41</v>
      </c>
      <c r="B76" s="17">
        <f>COUNTA(B4:B72)</f>
        <v>41</v>
      </c>
      <c r="C76" s="18">
        <f t="shared" ref="C76:H76" si="4">SUM(C4:C72)</f>
        <v>14</v>
      </c>
      <c r="D76" s="19">
        <f t="shared" si="4"/>
        <v>0</v>
      </c>
      <c r="E76" s="19">
        <f t="shared" si="4"/>
        <v>0</v>
      </c>
      <c r="F76" s="20">
        <f t="shared" si="4"/>
        <v>154</v>
      </c>
      <c r="G76" s="20">
        <f t="shared" si="4"/>
        <v>12</v>
      </c>
      <c r="H76" s="21">
        <f t="shared" si="4"/>
        <v>60</v>
      </c>
      <c r="I76" s="22">
        <f>SUM(C76:H76)</f>
        <v>240</v>
      </c>
      <c r="J76" s="23">
        <f>SUM(J4:J72)</f>
        <v>0</v>
      </c>
      <c r="K76" s="24">
        <f>SUM(K4:K72)</f>
        <v>0</v>
      </c>
      <c r="L76" s="25">
        <f>SUM(L4:L72)</f>
        <v>0</v>
      </c>
      <c r="M76" s="22">
        <f>SUM(J76:L76)</f>
        <v>0</v>
      </c>
      <c r="O76" s="17">
        <f>COUNTA(O4:O72)</f>
        <v>29</v>
      </c>
      <c r="P76" s="17">
        <f>COUNTA(P4:P72)</f>
        <v>29</v>
      </c>
      <c r="Q76" s="18">
        <f t="shared" ref="Q76:V76" si="5">SUM(Q4:Q72)</f>
        <v>2</v>
      </c>
      <c r="R76" s="19">
        <f t="shared" si="5"/>
        <v>0</v>
      </c>
      <c r="S76" s="19">
        <f t="shared" si="5"/>
        <v>0</v>
      </c>
      <c r="T76" s="20">
        <f t="shared" si="5"/>
        <v>34</v>
      </c>
      <c r="U76" s="20">
        <f t="shared" si="5"/>
        <v>3</v>
      </c>
      <c r="V76" s="21">
        <f t="shared" si="5"/>
        <v>24</v>
      </c>
      <c r="W76" s="22">
        <f>SUM(Q76:V76)</f>
        <v>63</v>
      </c>
      <c r="X76" s="23">
        <f>SUM(X4:X72)</f>
        <v>0</v>
      </c>
      <c r="Y76" s="24">
        <f>SUM(Y4:Y72)</f>
        <v>0</v>
      </c>
      <c r="Z76" s="25">
        <f>SUM(Z4:Z72)</f>
        <v>0</v>
      </c>
      <c r="AA76" s="22">
        <f>SUM(X76:Z76)</f>
        <v>0</v>
      </c>
    </row>
    <row r="77" spans="1:27" ht="13.5" thickBot="1" x14ac:dyDescent="0.25"/>
    <row r="78" spans="1:27" ht="15" thickBot="1" x14ac:dyDescent="0.25">
      <c r="A78" s="467" t="s">
        <v>181</v>
      </c>
      <c r="B78" s="468"/>
      <c r="C78" s="469"/>
      <c r="D78" s="469"/>
      <c r="E78" s="469"/>
      <c r="F78" s="469"/>
      <c r="G78" s="469"/>
      <c r="H78" s="470"/>
      <c r="J78" s="471" t="s">
        <v>182</v>
      </c>
      <c r="K78" s="472"/>
      <c r="L78" s="472"/>
      <c r="M78" s="473"/>
      <c r="O78" s="467" t="s">
        <v>183</v>
      </c>
      <c r="P78" s="468"/>
      <c r="Q78" s="469"/>
      <c r="R78" s="469"/>
      <c r="S78" s="469"/>
      <c r="T78" s="469"/>
      <c r="U78" s="469"/>
      <c r="V78" s="470"/>
      <c r="X78" s="471" t="s">
        <v>184</v>
      </c>
      <c r="Y78" s="472"/>
      <c r="Z78" s="472"/>
      <c r="AA78" s="473"/>
    </row>
    <row r="79" spans="1:27" ht="14.25" x14ac:dyDescent="0.2">
      <c r="A79" s="477" t="s">
        <v>185</v>
      </c>
      <c r="B79" s="478"/>
      <c r="C79" s="479"/>
      <c r="D79" s="479"/>
      <c r="E79" s="75" t="s">
        <v>176</v>
      </c>
      <c r="F79" s="75" t="s">
        <v>177</v>
      </c>
      <c r="G79" s="26" t="s">
        <v>178</v>
      </c>
      <c r="H79" s="27" t="s">
        <v>19</v>
      </c>
      <c r="J79" s="74" t="s">
        <v>176</v>
      </c>
      <c r="K79" s="75" t="s">
        <v>177</v>
      </c>
      <c r="L79" s="75" t="s">
        <v>178</v>
      </c>
      <c r="M79" s="28" t="s">
        <v>19</v>
      </c>
      <c r="O79" s="477" t="s">
        <v>185</v>
      </c>
      <c r="P79" s="478"/>
      <c r="Q79" s="479"/>
      <c r="R79" s="479"/>
      <c r="S79" s="75" t="s">
        <v>176</v>
      </c>
      <c r="T79" s="75" t="s">
        <v>177</v>
      </c>
      <c r="U79" s="26" t="s">
        <v>178</v>
      </c>
      <c r="V79" s="27" t="s">
        <v>19</v>
      </c>
      <c r="X79" s="74" t="s">
        <v>176</v>
      </c>
      <c r="Y79" s="75" t="s">
        <v>177</v>
      </c>
      <c r="Z79" s="75" t="s">
        <v>178</v>
      </c>
      <c r="AA79" s="28" t="s">
        <v>19</v>
      </c>
    </row>
    <row r="80" spans="1:27" ht="16.5" thickBot="1" x14ac:dyDescent="0.3">
      <c r="A80" s="480" t="s">
        <v>186</v>
      </c>
      <c r="B80" s="481"/>
      <c r="C80" s="482"/>
      <c r="D80" s="482"/>
      <c r="E80" s="29">
        <f>F76</f>
        <v>154</v>
      </c>
      <c r="F80" s="29">
        <f>G76</f>
        <v>12</v>
      </c>
      <c r="G80" s="30">
        <f>H76</f>
        <v>60</v>
      </c>
      <c r="H80" s="31">
        <f>SUM(E80:G80)</f>
        <v>226</v>
      </c>
      <c r="J80" s="32">
        <f>J76</f>
        <v>0</v>
      </c>
      <c r="K80" s="33">
        <f>K76</f>
        <v>0</v>
      </c>
      <c r="L80" s="33">
        <f>L76</f>
        <v>0</v>
      </c>
      <c r="M80" s="34">
        <f>SUM(J80:L80)</f>
        <v>0</v>
      </c>
      <c r="O80" s="480" t="s">
        <v>186</v>
      </c>
      <c r="P80" s="481"/>
      <c r="Q80" s="482"/>
      <c r="R80" s="482"/>
      <c r="S80" s="29">
        <f>T76</f>
        <v>34</v>
      </c>
      <c r="T80" s="29">
        <f>U76</f>
        <v>3</v>
      </c>
      <c r="U80" s="30">
        <f>V76</f>
        <v>24</v>
      </c>
      <c r="V80" s="31">
        <f>SUM(S80:U80)</f>
        <v>61</v>
      </c>
      <c r="X80" s="32">
        <f>X76</f>
        <v>0</v>
      </c>
      <c r="Y80" s="33">
        <f>Y76</f>
        <v>0</v>
      </c>
      <c r="Z80" s="33">
        <f>Z76</f>
        <v>0</v>
      </c>
      <c r="AA80" s="35">
        <f>SUM(X80:Z80)</f>
        <v>0</v>
      </c>
    </row>
    <row r="81" spans="1:22" ht="15.75" thickBot="1" x14ac:dyDescent="0.3">
      <c r="A81" s="483" t="s">
        <v>187</v>
      </c>
      <c r="B81" s="484"/>
      <c r="C81" s="485"/>
      <c r="D81" s="485"/>
      <c r="E81" s="36">
        <f>C76</f>
        <v>14</v>
      </c>
      <c r="F81" s="36">
        <f>D76</f>
        <v>0</v>
      </c>
      <c r="G81" s="37">
        <f>E76</f>
        <v>0</v>
      </c>
      <c r="H81" s="38">
        <f>SUM(E81:G81)</f>
        <v>14</v>
      </c>
      <c r="O81" s="483" t="s">
        <v>187</v>
      </c>
      <c r="P81" s="484"/>
      <c r="Q81" s="485"/>
      <c r="R81" s="485"/>
      <c r="S81" s="36">
        <f>Q76</f>
        <v>2</v>
      </c>
      <c r="T81" s="36">
        <f>R76</f>
        <v>0</v>
      </c>
      <c r="U81" s="37">
        <f>S76</f>
        <v>0</v>
      </c>
      <c r="V81" s="38">
        <f>SUM(S81:U81)</f>
        <v>2</v>
      </c>
    </row>
    <row r="82" spans="1:22" ht="16.5" thickBot="1" x14ac:dyDescent="0.25">
      <c r="A82" s="486" t="s">
        <v>19</v>
      </c>
      <c r="B82" s="487"/>
      <c r="C82" s="488"/>
      <c r="D82" s="488"/>
      <c r="E82" s="39">
        <f>SUM(E80:E81)</f>
        <v>168</v>
      </c>
      <c r="F82" s="39">
        <f>SUM(F80:F81)</f>
        <v>12</v>
      </c>
      <c r="G82" s="40">
        <f>SUM(G80:G81)</f>
        <v>60</v>
      </c>
      <c r="H82" s="41">
        <f>SUM(E82:G82)</f>
        <v>240</v>
      </c>
      <c r="O82" s="486" t="s">
        <v>19</v>
      </c>
      <c r="P82" s="487"/>
      <c r="Q82" s="488"/>
      <c r="R82" s="488"/>
      <c r="S82" s="39">
        <f>SUM(S80:S81)</f>
        <v>36</v>
      </c>
      <c r="T82" s="39">
        <f>SUM(T80:T81)</f>
        <v>3</v>
      </c>
      <c r="U82" s="40">
        <f>SUM(U80:U81)</f>
        <v>24</v>
      </c>
      <c r="V82" s="41">
        <f>SUM(S82:U82)</f>
        <v>63</v>
      </c>
    </row>
    <row r="83" spans="1:22" ht="13.5" thickBot="1" x14ac:dyDescent="0.25"/>
    <row r="84" spans="1:22" x14ac:dyDescent="0.2">
      <c r="I84" s="489" t="s">
        <v>188</v>
      </c>
      <c r="J84" s="490"/>
      <c r="K84" s="490"/>
      <c r="L84" s="490"/>
      <c r="M84" s="490"/>
      <c r="N84" s="490"/>
      <c r="O84" s="493">
        <f>H82+V82</f>
        <v>303</v>
      </c>
    </row>
    <row r="85" spans="1:22" ht="13.5" thickBot="1" x14ac:dyDescent="0.25">
      <c r="I85" s="491"/>
      <c r="J85" s="492"/>
      <c r="K85" s="492"/>
      <c r="L85" s="492"/>
      <c r="M85" s="492"/>
      <c r="N85" s="492"/>
      <c r="O85" s="494"/>
    </row>
    <row r="86" spans="1:22" x14ac:dyDescent="0.2">
      <c r="I86" s="489" t="s">
        <v>189</v>
      </c>
      <c r="J86" s="490"/>
      <c r="K86" s="490"/>
      <c r="L86" s="490"/>
      <c r="M86" s="490"/>
      <c r="N86" s="490"/>
      <c r="O86" s="493">
        <f>M80+AA80</f>
        <v>0</v>
      </c>
    </row>
    <row r="87" spans="1:22" ht="13.5" thickBot="1" x14ac:dyDescent="0.25">
      <c r="I87" s="491"/>
      <c r="J87" s="492"/>
      <c r="K87" s="492"/>
      <c r="L87" s="492"/>
      <c r="M87" s="492"/>
      <c r="N87" s="492"/>
      <c r="O87" s="494"/>
    </row>
  </sheetData>
  <mergeCells count="64">
    <mergeCell ref="A82:D82"/>
    <mergeCell ref="O82:R82"/>
    <mergeCell ref="I84:N85"/>
    <mergeCell ref="O84:O85"/>
    <mergeCell ref="I86:N87"/>
    <mergeCell ref="O86:O87"/>
    <mergeCell ref="A79:D79"/>
    <mergeCell ref="O79:R79"/>
    <mergeCell ref="A80:D80"/>
    <mergeCell ref="O80:R80"/>
    <mergeCell ref="A81:D81"/>
    <mergeCell ref="O81:R81"/>
    <mergeCell ref="Y74:Y75"/>
    <mergeCell ref="Z74:Z75"/>
    <mergeCell ref="A78:H78"/>
    <mergeCell ref="J78:M78"/>
    <mergeCell ref="O78:V78"/>
    <mergeCell ref="X78:AA78"/>
    <mergeCell ref="M73:M75"/>
    <mergeCell ref="X73:Z73"/>
    <mergeCell ref="AA73:AA75"/>
    <mergeCell ref="O73:O75"/>
    <mergeCell ref="P73:P75"/>
    <mergeCell ref="Q73:S73"/>
    <mergeCell ref="T73:V73"/>
    <mergeCell ref="C74:C75"/>
    <mergeCell ref="D74:D75"/>
    <mergeCell ref="J73:L73"/>
    <mergeCell ref="L74:L75"/>
    <mergeCell ref="J74:J75"/>
    <mergeCell ref="K74:K75"/>
    <mergeCell ref="X74:X75"/>
    <mergeCell ref="W73:W75"/>
    <mergeCell ref="Q74:Q75"/>
    <mergeCell ref="R74:R75"/>
    <mergeCell ref="S74:S75"/>
    <mergeCell ref="T74:T75"/>
    <mergeCell ref="U74:U75"/>
    <mergeCell ref="V74:V75"/>
    <mergeCell ref="A73:A75"/>
    <mergeCell ref="B73:B75"/>
    <mergeCell ref="C73:E73"/>
    <mergeCell ref="F73:H73"/>
    <mergeCell ref="I73:I75"/>
    <mergeCell ref="E74:E75"/>
    <mergeCell ref="F74:F75"/>
    <mergeCell ref="G74:G75"/>
    <mergeCell ref="H74:H75"/>
    <mergeCell ref="AA2:AA3"/>
    <mergeCell ref="A1:M1"/>
    <mergeCell ref="O1:AA1"/>
    <mergeCell ref="A2:A3"/>
    <mergeCell ref="B2:B3"/>
    <mergeCell ref="C2:E2"/>
    <mergeCell ref="F2:H2"/>
    <mergeCell ref="I2:I3"/>
    <mergeCell ref="J2:L2"/>
    <mergeCell ref="M2:M3"/>
    <mergeCell ref="O2:O3"/>
    <mergeCell ref="P2:P3"/>
    <mergeCell ref="Q2:S2"/>
    <mergeCell ref="T2:V2"/>
    <mergeCell ref="W2:W3"/>
    <mergeCell ref="X2:Z2"/>
  </mergeCells>
  <phoneticPr fontId="69" type="noConversion"/>
  <pageMargins left="0.7" right="0.7" top="0.75" bottom="0.75" header="0.3" footer="0.3"/>
  <pageSetup paperSize="9" orientation="portrait" horizontalDpi="300" verticalDpi="300" r:id="rId1"/>
  <headerFooter>
    <oddFooter>&amp;L&amp;1#&amp;"Calibri"&amp;6&amp;K737373BUSINESS DOCUMENT  This document is intended for business use and should be distributed to intended recipients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O38"/>
  <sheetViews>
    <sheetView showGridLines="0" tabSelected="1" topLeftCell="A22" zoomScale="80" zoomScaleNormal="80" workbookViewId="0">
      <selection activeCell="M47" sqref="M47"/>
    </sheetView>
  </sheetViews>
  <sheetFormatPr defaultRowHeight="12.75" x14ac:dyDescent="0.2"/>
  <cols>
    <col min="1" max="1" width="15.42578125" customWidth="1"/>
    <col min="2" max="2" width="16.28515625" customWidth="1"/>
    <col min="3" max="3" width="14.28515625" customWidth="1"/>
    <col min="4" max="4" width="13.28515625" customWidth="1"/>
    <col min="5" max="5" width="13.42578125" customWidth="1"/>
    <col min="6" max="8" width="10.7109375" customWidth="1"/>
    <col min="9" max="9" width="15.140625" style="93" customWidth="1"/>
    <col min="10" max="10" width="10.7109375" style="93" customWidth="1"/>
    <col min="11" max="11" width="20.7109375" style="93" customWidth="1"/>
    <col min="12" max="12" width="10.7109375" style="93" customWidth="1"/>
    <col min="13" max="13" width="18.28515625" style="93" customWidth="1"/>
    <col min="14" max="14" width="16.85546875" style="93" customWidth="1"/>
    <col min="15" max="15" width="10.7109375" style="93" customWidth="1"/>
    <col min="16" max="16" width="20.140625" style="93" customWidth="1"/>
    <col min="17" max="18" width="10.7109375" style="93" customWidth="1"/>
    <col min="19" max="19" width="15.5703125" style="93" customWidth="1"/>
    <col min="20" max="20" width="10.7109375" style="93" customWidth="1"/>
    <col min="21" max="21" width="21" style="93" customWidth="1"/>
    <col min="22" max="22" width="10.7109375" style="93" customWidth="1"/>
    <col min="23" max="23" width="18.42578125" style="93" customWidth="1"/>
    <col min="24" max="24" width="16.140625" style="93" customWidth="1"/>
    <col min="25" max="25" width="10.7109375" style="93" customWidth="1"/>
    <col min="26" max="26" width="20.85546875" style="93" customWidth="1"/>
    <col min="27" max="27" width="10.7109375" style="93" customWidth="1"/>
    <col min="39" max="40" width="0" hidden="1" customWidth="1"/>
    <col min="41" max="41" width="10.7109375" hidden="1" customWidth="1"/>
    <col min="42" max="42" width="0" hidden="1" customWidth="1"/>
  </cols>
  <sheetData>
    <row r="1" spans="1:41" ht="13.5" thickBot="1" x14ac:dyDescent="0.25"/>
    <row r="2" spans="1:41" ht="20.100000000000001" customHeight="1" x14ac:dyDescent="0.2">
      <c r="A2" s="542" t="s">
        <v>190</v>
      </c>
      <c r="B2" s="543"/>
      <c r="C2" s="543"/>
      <c r="D2" s="543"/>
      <c r="E2" s="543"/>
      <c r="F2" s="546" t="s">
        <v>191</v>
      </c>
      <c r="G2" s="547"/>
      <c r="I2" s="531" t="s">
        <v>192</v>
      </c>
      <c r="J2" s="532"/>
      <c r="K2" s="574">
        <v>45135</v>
      </c>
      <c r="L2" s="574"/>
      <c r="M2" s="574"/>
      <c r="N2" s="574"/>
      <c r="O2" s="574"/>
      <c r="P2" s="577"/>
      <c r="Q2" s="305"/>
      <c r="S2" s="531" t="s">
        <v>192</v>
      </c>
      <c r="T2" s="532"/>
      <c r="U2" s="574">
        <v>45986</v>
      </c>
      <c r="V2" s="574"/>
      <c r="W2" s="574"/>
      <c r="X2" s="574"/>
      <c r="Y2" s="574"/>
      <c r="Z2" s="327"/>
      <c r="AA2" s="305"/>
    </row>
    <row r="3" spans="1:41" ht="20.100000000000001" customHeight="1" x14ac:dyDescent="0.2">
      <c r="A3" s="544"/>
      <c r="B3" s="545"/>
      <c r="C3" s="545"/>
      <c r="D3" s="545"/>
      <c r="E3" s="545"/>
      <c r="F3" s="548"/>
      <c r="G3" s="549"/>
      <c r="I3" s="533" t="s">
        <v>193</v>
      </c>
      <c r="J3" s="534"/>
      <c r="K3" s="575" t="s">
        <v>194</v>
      </c>
      <c r="L3" s="575"/>
      <c r="M3" s="575"/>
      <c r="N3" s="575"/>
      <c r="O3" s="575"/>
      <c r="P3" s="578"/>
      <c r="Q3" s="306"/>
      <c r="S3" s="533" t="s">
        <v>193</v>
      </c>
      <c r="T3" s="534"/>
      <c r="U3" s="575" t="s">
        <v>212</v>
      </c>
      <c r="V3" s="575"/>
      <c r="W3" s="575"/>
      <c r="X3" s="575"/>
      <c r="Y3" s="575"/>
      <c r="Z3" s="328"/>
      <c r="AA3" s="329"/>
    </row>
    <row r="4" spans="1:41" ht="20.100000000000001" customHeight="1" x14ac:dyDescent="0.2">
      <c r="A4" s="550" t="s">
        <v>196</v>
      </c>
      <c r="B4" s="551"/>
      <c r="C4" s="551"/>
      <c r="D4" s="551"/>
      <c r="E4" s="551"/>
      <c r="F4" s="551"/>
      <c r="G4" s="552"/>
      <c r="I4" s="533" t="s">
        <v>51</v>
      </c>
      <c r="J4" s="534"/>
      <c r="K4" s="575"/>
      <c r="L4" s="575"/>
      <c r="M4" s="575"/>
      <c r="N4" s="575"/>
      <c r="O4" s="575"/>
      <c r="P4" s="578"/>
      <c r="Q4" s="306"/>
      <c r="S4" s="533" t="s">
        <v>51</v>
      </c>
      <c r="T4" s="534"/>
      <c r="U4" s="575">
        <v>1</v>
      </c>
      <c r="V4" s="575"/>
      <c r="W4" s="575"/>
      <c r="X4" s="575"/>
      <c r="Y4" s="575"/>
      <c r="Z4" s="328"/>
      <c r="AA4" s="329"/>
      <c r="AO4" s="85"/>
    </row>
    <row r="5" spans="1:41" ht="20.100000000000001" customHeight="1" x14ac:dyDescent="0.2">
      <c r="A5" s="296" t="s">
        <v>197</v>
      </c>
      <c r="B5" s="295" t="s">
        <v>198</v>
      </c>
      <c r="C5" s="295" t="s">
        <v>199</v>
      </c>
      <c r="D5" s="295" t="s">
        <v>200</v>
      </c>
      <c r="E5" s="295" t="s">
        <v>201</v>
      </c>
      <c r="F5" s="553" t="s">
        <v>19</v>
      </c>
      <c r="G5" s="554"/>
      <c r="I5" s="537" t="s">
        <v>202</v>
      </c>
      <c r="J5" s="538"/>
      <c r="K5" s="576" t="s">
        <v>203</v>
      </c>
      <c r="L5" s="576"/>
      <c r="M5" s="576"/>
      <c r="N5" s="576"/>
      <c r="O5" s="576"/>
      <c r="P5" s="579"/>
      <c r="Q5" s="314"/>
      <c r="S5" s="537" t="s">
        <v>202</v>
      </c>
      <c r="T5" s="538"/>
      <c r="U5" s="576" t="s">
        <v>203</v>
      </c>
      <c r="V5" s="576"/>
      <c r="W5" s="576"/>
      <c r="X5" s="576"/>
      <c r="Y5" s="576"/>
      <c r="Z5" s="330"/>
      <c r="AA5" s="331"/>
      <c r="AO5" s="86" t="s">
        <v>205</v>
      </c>
    </row>
    <row r="6" spans="1:41" ht="20.100000000000001" customHeight="1" x14ac:dyDescent="0.2">
      <c r="A6" s="296" t="s">
        <v>64</v>
      </c>
      <c r="B6" s="297">
        <v>215</v>
      </c>
      <c r="C6" s="297">
        <v>18</v>
      </c>
      <c r="D6" s="297">
        <v>81</v>
      </c>
      <c r="E6" s="297">
        <v>0</v>
      </c>
      <c r="F6" s="555">
        <f>B6+C6+D6</f>
        <v>314</v>
      </c>
      <c r="G6" s="556"/>
      <c r="I6" s="539" t="s">
        <v>206</v>
      </c>
      <c r="J6" s="540"/>
      <c r="K6" s="540"/>
      <c r="L6" s="540"/>
      <c r="M6" s="540"/>
      <c r="N6" s="540"/>
      <c r="O6" s="540"/>
      <c r="P6" s="540"/>
      <c r="Q6" s="541"/>
      <c r="S6" s="570" t="s">
        <v>207</v>
      </c>
      <c r="T6" s="571"/>
      <c r="U6" s="571"/>
      <c r="V6" s="571"/>
      <c r="W6" s="571"/>
      <c r="X6" s="571"/>
      <c r="Y6" s="571"/>
      <c r="Z6" s="571"/>
      <c r="AA6" s="572"/>
      <c r="AO6" s="86" t="s">
        <v>208</v>
      </c>
    </row>
    <row r="7" spans="1:41" ht="20.100000000000001" customHeight="1" x14ac:dyDescent="0.2">
      <c r="A7" s="550" t="s">
        <v>209</v>
      </c>
      <c r="B7" s="551"/>
      <c r="C7" s="551"/>
      <c r="D7" s="551"/>
      <c r="E7" s="551"/>
      <c r="F7" s="551"/>
      <c r="G7" s="552"/>
      <c r="I7" s="514" t="s">
        <v>210</v>
      </c>
      <c r="J7" s="535"/>
      <c r="K7" s="535" t="s">
        <v>211</v>
      </c>
      <c r="L7" s="535"/>
      <c r="M7" s="535" t="s">
        <v>120</v>
      </c>
      <c r="N7" s="535"/>
      <c r="O7" s="535"/>
      <c r="P7" s="535"/>
      <c r="Q7" s="536"/>
      <c r="S7" s="514" t="s">
        <v>210</v>
      </c>
      <c r="T7" s="535"/>
      <c r="U7" s="535" t="s">
        <v>211</v>
      </c>
      <c r="V7" s="535"/>
      <c r="W7" s="535" t="s">
        <v>120</v>
      </c>
      <c r="X7" s="535"/>
      <c r="Y7" s="535"/>
      <c r="Z7" s="535"/>
      <c r="AA7" s="536"/>
      <c r="AO7" s="86" t="s">
        <v>212</v>
      </c>
    </row>
    <row r="8" spans="1:41" ht="18.75" x14ac:dyDescent="0.2">
      <c r="A8" s="296" t="s">
        <v>197</v>
      </c>
      <c r="B8" s="295" t="s">
        <v>198</v>
      </c>
      <c r="C8" s="295" t="s">
        <v>199</v>
      </c>
      <c r="D8" s="295" t="s">
        <v>200</v>
      </c>
      <c r="E8" s="295" t="s">
        <v>201</v>
      </c>
      <c r="F8" s="553" t="s">
        <v>19</v>
      </c>
      <c r="G8" s="554"/>
      <c r="I8" s="307" t="s">
        <v>68</v>
      </c>
      <c r="J8" s="250">
        <f>'BUP Shift Details Day'!P49</f>
        <v>0</v>
      </c>
      <c r="K8" s="253" t="s">
        <v>213</v>
      </c>
      <c r="L8" s="250">
        <f>Q20</f>
        <v>156</v>
      </c>
      <c r="M8" s="522" t="s">
        <v>214</v>
      </c>
      <c r="N8" s="522"/>
      <c r="O8" s="522" t="s">
        <v>215</v>
      </c>
      <c r="P8" s="522"/>
      <c r="Q8" s="308" t="s">
        <v>19</v>
      </c>
      <c r="S8" s="312" t="s">
        <v>69</v>
      </c>
      <c r="T8" s="250">
        <f>'BUP Shift Details Night'!P49</f>
        <v>67</v>
      </c>
      <c r="U8" s="254" t="s">
        <v>213</v>
      </c>
      <c r="V8" s="250">
        <f>AA20</f>
        <v>156</v>
      </c>
      <c r="W8" s="573" t="s">
        <v>216</v>
      </c>
      <c r="X8" s="573"/>
      <c r="Y8" s="573" t="s">
        <v>217</v>
      </c>
      <c r="Z8" s="573"/>
      <c r="AA8" s="332" t="s">
        <v>19</v>
      </c>
      <c r="AO8" s="86" t="s">
        <v>194</v>
      </c>
    </row>
    <row r="9" spans="1:41" ht="37.5" x14ac:dyDescent="0.2">
      <c r="A9" s="296" t="s">
        <v>9</v>
      </c>
      <c r="B9" s="298">
        <f>'Adv Report'!E80</f>
        <v>154</v>
      </c>
      <c r="C9" s="298">
        <f>'Adv Report'!F80</f>
        <v>12</v>
      </c>
      <c r="D9" s="298">
        <f>'Adv Report'!G80</f>
        <v>60</v>
      </c>
      <c r="E9" s="297"/>
      <c r="F9" s="555">
        <f>B9+C9+D9</f>
        <v>226</v>
      </c>
      <c r="G9" s="556"/>
      <c r="I9" s="307" t="s">
        <v>69</v>
      </c>
      <c r="J9" s="250">
        <f>'BUP Shift Details Day'!P50</f>
        <v>0</v>
      </c>
      <c r="K9" s="253" t="s">
        <v>218</v>
      </c>
      <c r="L9" s="250">
        <f>'BUP Shift Details Day'!P172</f>
        <v>0</v>
      </c>
      <c r="M9" s="522">
        <f>'BUP Shift Details Day'!P160</f>
        <v>314</v>
      </c>
      <c r="N9" s="522"/>
      <c r="O9" s="522">
        <f>'BUP Shift Details Day'!P161</f>
        <v>145</v>
      </c>
      <c r="P9" s="522"/>
      <c r="Q9" s="308">
        <f>SUM(M9:P9)</f>
        <v>459</v>
      </c>
      <c r="S9" s="312" t="s">
        <v>70</v>
      </c>
      <c r="T9" s="250">
        <f>'BUP Shift Details Night'!P50</f>
        <v>100</v>
      </c>
      <c r="U9" s="253" t="s">
        <v>219</v>
      </c>
      <c r="V9" s="250">
        <f>'BUP Shift Details Night'!P172</f>
        <v>74</v>
      </c>
      <c r="W9" s="522">
        <f>'BUP Shift Details Night'!P160</f>
        <v>314</v>
      </c>
      <c r="X9" s="522"/>
      <c r="Y9" s="522">
        <f>'BUP Shift Details Night'!P161</f>
        <v>145</v>
      </c>
      <c r="Z9" s="522"/>
      <c r="AA9" s="308">
        <f>'BUP Shift Details Night'!P162</f>
        <v>459</v>
      </c>
      <c r="AO9" s="86" t="s">
        <v>195</v>
      </c>
    </row>
    <row r="10" spans="1:41" ht="56.25" x14ac:dyDescent="0.2">
      <c r="A10" s="296" t="s">
        <v>10</v>
      </c>
      <c r="B10" s="298">
        <f>'Adv Report'!E81</f>
        <v>14</v>
      </c>
      <c r="C10" s="298">
        <f>'Adv Report'!F81</f>
        <v>0</v>
      </c>
      <c r="D10" s="298">
        <f>'Adv Report'!G81</f>
        <v>0</v>
      </c>
      <c r="E10" s="297"/>
      <c r="F10" s="555">
        <f>B10+C10+D10</f>
        <v>14</v>
      </c>
      <c r="G10" s="556"/>
      <c r="I10" s="307" t="s">
        <v>70</v>
      </c>
      <c r="J10" s="250">
        <f>'BUP Shift Details Day'!P51</f>
        <v>0</v>
      </c>
      <c r="K10" s="253" t="s">
        <v>220</v>
      </c>
      <c r="L10" s="250">
        <f>'BUP Shift Details Day'!P173</f>
        <v>0</v>
      </c>
      <c r="M10" s="535" t="s">
        <v>221</v>
      </c>
      <c r="N10" s="535"/>
      <c r="O10" s="535"/>
      <c r="P10" s="535"/>
      <c r="Q10" s="536"/>
      <c r="S10" s="312" t="s">
        <v>68</v>
      </c>
      <c r="T10" s="250">
        <f>'BUP Shift Details Night'!P51</f>
        <v>70</v>
      </c>
      <c r="U10" s="253" t="s">
        <v>222</v>
      </c>
      <c r="V10" s="250">
        <f>'BUP Shift Details Night'!P173</f>
        <v>82</v>
      </c>
      <c r="W10" s="535" t="s">
        <v>221</v>
      </c>
      <c r="X10" s="535"/>
      <c r="Y10" s="535"/>
      <c r="Z10" s="535"/>
      <c r="AA10" s="536"/>
      <c r="AO10" s="86" t="s">
        <v>223</v>
      </c>
    </row>
    <row r="11" spans="1:41" ht="37.5" x14ac:dyDescent="0.2">
      <c r="A11" s="296" t="s">
        <v>224</v>
      </c>
      <c r="B11" s="298">
        <f>B9+B10</f>
        <v>168</v>
      </c>
      <c r="C11" s="298">
        <f>C9+C10</f>
        <v>12</v>
      </c>
      <c r="D11" s="298">
        <f>D9+D10</f>
        <v>60</v>
      </c>
      <c r="E11" s="298">
        <f>E9+E10</f>
        <v>0</v>
      </c>
      <c r="F11" s="555">
        <f>B11+C11+D11</f>
        <v>240</v>
      </c>
      <c r="G11" s="556"/>
      <c r="I11" s="307" t="s">
        <v>225</v>
      </c>
      <c r="J11" s="250">
        <f>'BUP Shift Details Day'!P52</f>
        <v>0</v>
      </c>
      <c r="K11" s="581" t="s">
        <v>226</v>
      </c>
      <c r="L11" s="522">
        <f>SUM(L8:L10)</f>
        <v>156</v>
      </c>
      <c r="M11" s="170" t="s">
        <v>227</v>
      </c>
      <c r="N11" s="170" t="s">
        <v>228</v>
      </c>
      <c r="O11" s="170" t="s">
        <v>229</v>
      </c>
      <c r="P11" s="170" t="s">
        <v>230</v>
      </c>
      <c r="Q11" s="309" t="s">
        <v>19</v>
      </c>
      <c r="S11" s="312" t="s">
        <v>225</v>
      </c>
      <c r="T11" s="250">
        <f>'BUP Shift Details Night'!P52</f>
        <v>6</v>
      </c>
      <c r="U11" s="581" t="s">
        <v>226</v>
      </c>
      <c r="V11" s="522">
        <f>SUM(V8:V10)</f>
        <v>312</v>
      </c>
      <c r="W11" s="171" t="s">
        <v>227</v>
      </c>
      <c r="X11" s="171" t="s">
        <v>228</v>
      </c>
      <c r="Y11" s="171" t="s">
        <v>229</v>
      </c>
      <c r="Z11" s="171" t="s">
        <v>230</v>
      </c>
      <c r="AA11" s="333" t="s">
        <v>19</v>
      </c>
      <c r="AO11" s="86" t="s">
        <v>231</v>
      </c>
    </row>
    <row r="12" spans="1:41" ht="37.5" x14ac:dyDescent="0.2">
      <c r="A12" s="550" t="s">
        <v>66</v>
      </c>
      <c r="B12" s="551"/>
      <c r="C12" s="551"/>
      <c r="D12" s="551"/>
      <c r="E12" s="551"/>
      <c r="F12" s="551"/>
      <c r="G12" s="552"/>
      <c r="I12" s="307" t="s">
        <v>19</v>
      </c>
      <c r="J12" s="250">
        <f>'BUP Shift Details Day'!P53</f>
        <v>0</v>
      </c>
      <c r="K12" s="581"/>
      <c r="L12" s="522"/>
      <c r="M12" s="254" t="s">
        <v>232</v>
      </c>
      <c r="N12" s="255">
        <f>M9*60%</f>
        <v>188.4</v>
      </c>
      <c r="O12" s="255">
        <f>Q12-N12</f>
        <v>-4.7999999999999829</v>
      </c>
      <c r="P12" s="253" t="s">
        <v>233</v>
      </c>
      <c r="Q12" s="310">
        <f>Q9*40%</f>
        <v>183.60000000000002</v>
      </c>
      <c r="R12" s="169"/>
      <c r="S12" s="312" t="s">
        <v>19</v>
      </c>
      <c r="T12" s="250">
        <f>'BUP Shift Details Night'!P53</f>
        <v>243</v>
      </c>
      <c r="U12" s="581"/>
      <c r="V12" s="522"/>
      <c r="W12" s="254" t="s">
        <v>232</v>
      </c>
      <c r="X12" s="255">
        <f>W9*60%</f>
        <v>188.4</v>
      </c>
      <c r="Y12" s="255">
        <f>AA12-X12</f>
        <v>-4.7999999999999829</v>
      </c>
      <c r="Z12" s="253" t="s">
        <v>233</v>
      </c>
      <c r="AA12" s="310">
        <f>AA9*40%</f>
        <v>183.60000000000002</v>
      </c>
      <c r="AB12" s="151"/>
      <c r="AC12" s="151"/>
      <c r="AD12" s="151"/>
      <c r="AO12" s="86"/>
    </row>
    <row r="13" spans="1:41" ht="18.75" x14ac:dyDescent="0.2">
      <c r="A13" s="296" t="s">
        <v>185</v>
      </c>
      <c r="B13" s="295" t="s">
        <v>198</v>
      </c>
      <c r="C13" s="295" t="s">
        <v>199</v>
      </c>
      <c r="D13" s="295" t="s">
        <v>200</v>
      </c>
      <c r="E13" s="295" t="s">
        <v>201</v>
      </c>
      <c r="F13" s="553" t="s">
        <v>19</v>
      </c>
      <c r="G13" s="554"/>
      <c r="I13" s="514" t="s">
        <v>234</v>
      </c>
      <c r="J13" s="535"/>
      <c r="K13" s="535" t="s">
        <v>235</v>
      </c>
      <c r="L13" s="535"/>
      <c r="M13" s="254" t="s">
        <v>236</v>
      </c>
      <c r="N13" s="255">
        <f>M9*65%</f>
        <v>204.1</v>
      </c>
      <c r="O13" s="255">
        <f>Q13-N13</f>
        <v>2.4500000000000171</v>
      </c>
      <c r="P13" s="253" t="s">
        <v>237</v>
      </c>
      <c r="Q13" s="310">
        <f>Q9*45%</f>
        <v>206.55</v>
      </c>
      <c r="S13" s="514" t="s">
        <v>234</v>
      </c>
      <c r="T13" s="535"/>
      <c r="U13" s="535" t="s">
        <v>235</v>
      </c>
      <c r="V13" s="535"/>
      <c r="W13" s="254" t="s">
        <v>236</v>
      </c>
      <c r="X13" s="255">
        <f>W9*65%</f>
        <v>204.1</v>
      </c>
      <c r="Y13" s="255">
        <f>AA13-X13</f>
        <v>2.4500000000000171</v>
      </c>
      <c r="Z13" s="253" t="s">
        <v>237</v>
      </c>
      <c r="AA13" s="310">
        <f>AA9*45%</f>
        <v>206.55</v>
      </c>
      <c r="AO13" s="86">
        <v>1</v>
      </c>
    </row>
    <row r="14" spans="1:41" ht="56.25" x14ac:dyDescent="0.2">
      <c r="A14" s="296" t="s">
        <v>238</v>
      </c>
      <c r="B14" s="298">
        <f>B6-B11</f>
        <v>47</v>
      </c>
      <c r="C14" s="298">
        <f>C6-C11</f>
        <v>6</v>
      </c>
      <c r="D14" s="298">
        <f>D6-D11</f>
        <v>21</v>
      </c>
      <c r="E14" s="298">
        <f>E6-E11</f>
        <v>0</v>
      </c>
      <c r="F14" s="555">
        <f>F6-F11</f>
        <v>74</v>
      </c>
      <c r="G14" s="556"/>
      <c r="I14" s="311" t="s">
        <v>239</v>
      </c>
      <c r="J14" s="250">
        <f>'BUP Shift Details Day'!P26+'BUP Shift Details Day'!P27+'BUP Shift Details Day'!P28+'BUP Shift Details Day'!P29+'BUP Shift Details Day'!P31</f>
        <v>0</v>
      </c>
      <c r="K14" s="253" t="s">
        <v>240</v>
      </c>
      <c r="L14" s="257">
        <v>1.9</v>
      </c>
      <c r="M14" s="254" t="s">
        <v>241</v>
      </c>
      <c r="N14" s="255">
        <f>M9*70%</f>
        <v>219.79999999999998</v>
      </c>
      <c r="O14" s="255">
        <f>Q14-N14</f>
        <v>9.7000000000000171</v>
      </c>
      <c r="P14" s="253" t="s">
        <v>242</v>
      </c>
      <c r="Q14" s="310">
        <f>Q9*50%</f>
        <v>229.5</v>
      </c>
      <c r="S14" s="311" t="s">
        <v>239</v>
      </c>
      <c r="T14" s="250">
        <f>'BUP Shift Details Night'!P26+'BUP Shift Details Night'!P27+'BUP Shift Details Night'!P28+'BUP Shift Details Night'!P29+'BUP Shift Details Night'!P31</f>
        <v>42</v>
      </c>
      <c r="U14" s="258" t="s">
        <v>240</v>
      </c>
      <c r="V14" s="257">
        <v>1.9</v>
      </c>
      <c r="W14" s="254" t="s">
        <v>241</v>
      </c>
      <c r="X14" s="255">
        <f>W9*70%</f>
        <v>219.79999999999998</v>
      </c>
      <c r="Y14" s="255">
        <f>AA14-X14</f>
        <v>9.7000000000000171</v>
      </c>
      <c r="Z14" s="253" t="s">
        <v>242</v>
      </c>
      <c r="AA14" s="308">
        <f>AA9*50%</f>
        <v>229.5</v>
      </c>
      <c r="AO14" s="86">
        <v>2</v>
      </c>
    </row>
    <row r="15" spans="1:41" ht="37.5" x14ac:dyDescent="0.2">
      <c r="A15" s="544" t="s">
        <v>190</v>
      </c>
      <c r="B15" s="545"/>
      <c r="C15" s="545"/>
      <c r="D15" s="545"/>
      <c r="E15" s="545"/>
      <c r="F15" s="548" t="s">
        <v>243</v>
      </c>
      <c r="G15" s="549"/>
      <c r="I15" s="312" t="s">
        <v>244</v>
      </c>
      <c r="J15" s="250">
        <f>'BUP Shift Details Day'!P30</f>
        <v>0</v>
      </c>
      <c r="K15" s="258" t="s">
        <v>245</v>
      </c>
      <c r="L15" s="250">
        <f>L14*12</f>
        <v>22.799999999999997</v>
      </c>
      <c r="M15" s="535" t="s">
        <v>124</v>
      </c>
      <c r="N15" s="535"/>
      <c r="O15" s="535"/>
      <c r="P15" s="535"/>
      <c r="Q15" s="536"/>
      <c r="S15" s="312" t="s">
        <v>244</v>
      </c>
      <c r="T15" s="250">
        <f>'BUP Shift Details Night'!P30</f>
        <v>3</v>
      </c>
      <c r="U15" s="258" t="s">
        <v>245</v>
      </c>
      <c r="V15" s="255">
        <f>V14*12</f>
        <v>22.799999999999997</v>
      </c>
      <c r="W15" s="535" t="s">
        <v>124</v>
      </c>
      <c r="X15" s="535"/>
      <c r="Y15" s="535"/>
      <c r="Z15" s="535"/>
      <c r="AA15" s="536"/>
      <c r="AO15" s="86">
        <v>3</v>
      </c>
    </row>
    <row r="16" spans="1:41" ht="36.75" customHeight="1" x14ac:dyDescent="0.2">
      <c r="A16" s="544"/>
      <c r="B16" s="545"/>
      <c r="C16" s="545"/>
      <c r="D16" s="545"/>
      <c r="E16" s="545"/>
      <c r="F16" s="548"/>
      <c r="G16" s="549"/>
      <c r="I16" s="312" t="s">
        <v>19</v>
      </c>
      <c r="J16" s="250">
        <f>'BUP Shift Details Day'!P32</f>
        <v>0</v>
      </c>
      <c r="K16" s="253" t="s">
        <v>246</v>
      </c>
      <c r="L16" s="255">
        <f>L21/L15</f>
        <v>13.289473684210527</v>
      </c>
      <c r="M16" s="522" t="s">
        <v>228</v>
      </c>
      <c r="N16" s="522"/>
      <c r="O16" s="522" t="s">
        <v>247</v>
      </c>
      <c r="P16" s="522"/>
      <c r="Q16" s="308" t="s">
        <v>19</v>
      </c>
      <c r="S16" s="312" t="s">
        <v>19</v>
      </c>
      <c r="T16" s="250">
        <f>'BUP Shift Details Night'!P32</f>
        <v>45</v>
      </c>
      <c r="U16" s="258" t="s">
        <v>246</v>
      </c>
      <c r="V16" s="255">
        <f>V21/V15</f>
        <v>39.078947368421055</v>
      </c>
      <c r="W16" s="573" t="s">
        <v>228</v>
      </c>
      <c r="X16" s="573"/>
      <c r="Y16" s="573" t="s">
        <v>247</v>
      </c>
      <c r="Z16" s="573"/>
      <c r="AA16" s="332" t="s">
        <v>19</v>
      </c>
      <c r="AO16" s="86">
        <v>4</v>
      </c>
    </row>
    <row r="17" spans="1:41" ht="28.5" customHeight="1" x14ac:dyDescent="0.2">
      <c r="A17" s="550" t="s">
        <v>196</v>
      </c>
      <c r="B17" s="551"/>
      <c r="C17" s="551"/>
      <c r="D17" s="551"/>
      <c r="E17" s="551"/>
      <c r="F17" s="551"/>
      <c r="G17" s="552"/>
      <c r="I17" s="514" t="s">
        <v>60</v>
      </c>
      <c r="J17" s="535"/>
      <c r="K17" s="580" t="s">
        <v>248</v>
      </c>
      <c r="L17" s="580"/>
      <c r="M17" s="522">
        <f>'BUP Shift Details Day'!P164</f>
        <v>240</v>
      </c>
      <c r="N17" s="522"/>
      <c r="O17" s="522">
        <f>'BUP Shift Details Day'!P165</f>
        <v>63</v>
      </c>
      <c r="P17" s="522"/>
      <c r="Q17" s="308">
        <f>SUM(M17:P17)</f>
        <v>303</v>
      </c>
      <c r="S17" s="514" t="s">
        <v>60</v>
      </c>
      <c r="T17" s="535"/>
      <c r="U17" s="580" t="s">
        <v>249</v>
      </c>
      <c r="V17" s="580"/>
      <c r="W17" s="522">
        <f>'BUP Shift Details Night'!P164</f>
        <v>240</v>
      </c>
      <c r="X17" s="522"/>
      <c r="Y17" s="522">
        <f>'BUP Shift Details Night'!P165</f>
        <v>63</v>
      </c>
      <c r="Z17" s="522"/>
      <c r="AA17" s="308">
        <f>'BUP Shift Details Night'!P166</f>
        <v>303</v>
      </c>
      <c r="AO17" s="86"/>
    </row>
    <row r="18" spans="1:41" ht="18.75" x14ac:dyDescent="0.2">
      <c r="A18" s="296" t="s">
        <v>197</v>
      </c>
      <c r="B18" s="295" t="s">
        <v>198</v>
      </c>
      <c r="C18" s="295" t="s">
        <v>199</v>
      </c>
      <c r="D18" s="295" t="s">
        <v>200</v>
      </c>
      <c r="E18" s="295" t="s">
        <v>201</v>
      </c>
      <c r="F18" s="553" t="s">
        <v>19</v>
      </c>
      <c r="G18" s="554"/>
      <c r="I18" s="312" t="s">
        <v>8</v>
      </c>
      <c r="J18" s="250">
        <f>'BUP Shift Details Day'!P41</f>
        <v>303</v>
      </c>
      <c r="K18" s="254" t="s">
        <v>250</v>
      </c>
      <c r="L18" s="250">
        <f>Q22+Q28</f>
        <v>0</v>
      </c>
      <c r="M18" s="535" t="s">
        <v>125</v>
      </c>
      <c r="N18" s="535"/>
      <c r="O18" s="535"/>
      <c r="P18" s="535"/>
      <c r="Q18" s="536"/>
      <c r="S18" s="312" t="s">
        <v>8</v>
      </c>
      <c r="T18" s="250">
        <f>'BUP Shift Details Night'!P41</f>
        <v>891</v>
      </c>
      <c r="U18" s="254" t="s">
        <v>136</v>
      </c>
      <c r="V18" s="250">
        <f>AA22</f>
        <v>78</v>
      </c>
      <c r="W18" s="535" t="s">
        <v>125</v>
      </c>
      <c r="X18" s="535"/>
      <c r="Y18" s="535"/>
      <c r="Z18" s="535"/>
      <c r="AA18" s="536"/>
      <c r="AO18" s="86" t="s">
        <v>204</v>
      </c>
    </row>
    <row r="19" spans="1:41" ht="18.75" x14ac:dyDescent="0.2">
      <c r="A19" s="296" t="s">
        <v>64</v>
      </c>
      <c r="B19" s="297">
        <v>95</v>
      </c>
      <c r="C19" s="297">
        <v>11</v>
      </c>
      <c r="D19" s="297">
        <v>39</v>
      </c>
      <c r="E19" s="297"/>
      <c r="F19" s="555">
        <f>B19+C19+D19</f>
        <v>145</v>
      </c>
      <c r="G19" s="556"/>
      <c r="I19" s="312" t="s">
        <v>61</v>
      </c>
      <c r="J19" s="250">
        <f>'BUP Shift Details Day'!P42</f>
        <v>0</v>
      </c>
      <c r="K19" s="254" t="s">
        <v>136</v>
      </c>
      <c r="L19" s="250">
        <f>Q23</f>
        <v>0</v>
      </c>
      <c r="M19" s="522" t="s">
        <v>228</v>
      </c>
      <c r="N19" s="522"/>
      <c r="O19" s="522" t="s">
        <v>229</v>
      </c>
      <c r="P19" s="522"/>
      <c r="Q19" s="308" t="s">
        <v>19</v>
      </c>
      <c r="S19" s="312" t="s">
        <v>61</v>
      </c>
      <c r="T19" s="250">
        <f>'BUP Shift Details Night'!P42</f>
        <v>506</v>
      </c>
      <c r="U19" s="254" t="s">
        <v>251</v>
      </c>
      <c r="V19" s="250">
        <f>AA23+AA28</f>
        <v>510</v>
      </c>
      <c r="W19" s="522" t="s">
        <v>228</v>
      </c>
      <c r="X19" s="522"/>
      <c r="Y19" s="522" t="s">
        <v>247</v>
      </c>
      <c r="Z19" s="522"/>
      <c r="AA19" s="308" t="s">
        <v>19</v>
      </c>
      <c r="AO19" s="86" t="s">
        <v>203</v>
      </c>
    </row>
    <row r="20" spans="1:41" ht="32.25" customHeight="1" x14ac:dyDescent="0.2">
      <c r="A20" s="550" t="s">
        <v>209</v>
      </c>
      <c r="B20" s="551"/>
      <c r="C20" s="551"/>
      <c r="D20" s="551"/>
      <c r="E20" s="551"/>
      <c r="F20" s="551"/>
      <c r="G20" s="552"/>
      <c r="I20" s="312" t="s">
        <v>62</v>
      </c>
      <c r="J20" s="257" t="e">
        <f>'BUP Shift Details Day'!P43</f>
        <v>#DIV/0!</v>
      </c>
      <c r="K20" s="254" t="s">
        <v>137</v>
      </c>
      <c r="L20" s="250">
        <f>Q24</f>
        <v>303</v>
      </c>
      <c r="M20" s="522">
        <f>M9-M17</f>
        <v>74</v>
      </c>
      <c r="N20" s="522"/>
      <c r="O20" s="522">
        <f>O9-O17</f>
        <v>82</v>
      </c>
      <c r="P20" s="522"/>
      <c r="Q20" s="308">
        <f>Q9-Q17</f>
        <v>156</v>
      </c>
      <c r="S20" s="312" t="s">
        <v>62</v>
      </c>
      <c r="T20" s="257">
        <f>'BUP Shift Details Night'!P43</f>
        <v>1.7608695652173914</v>
      </c>
      <c r="U20" s="254" t="s">
        <v>137</v>
      </c>
      <c r="V20" s="250">
        <f>AA24</f>
        <v>303</v>
      </c>
      <c r="W20" s="522">
        <f>W9-W17</f>
        <v>74</v>
      </c>
      <c r="X20" s="522"/>
      <c r="Y20" s="522">
        <f>Y9-Y17</f>
        <v>82</v>
      </c>
      <c r="Z20" s="522"/>
      <c r="AA20" s="308">
        <f>AA9-AA17</f>
        <v>156</v>
      </c>
    </row>
    <row r="21" spans="1:41" ht="18.75" x14ac:dyDescent="0.2">
      <c r="A21" s="296" t="s">
        <v>197</v>
      </c>
      <c r="B21" s="295" t="s">
        <v>198</v>
      </c>
      <c r="C21" s="295" t="s">
        <v>199</v>
      </c>
      <c r="D21" s="295" t="s">
        <v>200</v>
      </c>
      <c r="E21" s="295" t="s">
        <v>201</v>
      </c>
      <c r="F21" s="553" t="s">
        <v>19</v>
      </c>
      <c r="G21" s="554"/>
      <c r="I21" s="514" t="s">
        <v>131</v>
      </c>
      <c r="J21" s="535"/>
      <c r="K21" s="567" t="s">
        <v>19</v>
      </c>
      <c r="L21" s="523">
        <f>SUM(L18:L20)</f>
        <v>303</v>
      </c>
      <c r="M21" s="535" t="s">
        <v>252</v>
      </c>
      <c r="N21" s="535"/>
      <c r="O21" s="535"/>
      <c r="P21" s="535" t="s">
        <v>253</v>
      </c>
      <c r="Q21" s="536"/>
      <c r="S21" s="514" t="s">
        <v>131</v>
      </c>
      <c r="T21" s="535"/>
      <c r="U21" s="520" t="s">
        <v>19</v>
      </c>
      <c r="V21" s="522">
        <f>SUM(V18:V20)</f>
        <v>891</v>
      </c>
      <c r="W21" s="535" t="s">
        <v>252</v>
      </c>
      <c r="X21" s="535"/>
      <c r="Y21" s="515"/>
      <c r="Z21" s="535" t="s">
        <v>253</v>
      </c>
      <c r="AA21" s="536"/>
    </row>
    <row r="22" spans="1:41" ht="24.75" x14ac:dyDescent="0.3">
      <c r="A22" s="296" t="s">
        <v>9</v>
      </c>
      <c r="B22" s="298">
        <f>'Adv Report'!S80</f>
        <v>34</v>
      </c>
      <c r="C22" s="298">
        <f>'Adv Report'!T80</f>
        <v>3</v>
      </c>
      <c r="D22" s="298">
        <f>'Adv Report'!U80</f>
        <v>24</v>
      </c>
      <c r="E22" s="297"/>
      <c r="F22" s="555">
        <f>B22+C22+D22</f>
        <v>61</v>
      </c>
      <c r="G22" s="556"/>
      <c r="I22" s="312" t="s">
        <v>254</v>
      </c>
      <c r="J22" s="250">
        <f>'BUP Shift Details Day'!P180</f>
        <v>0</v>
      </c>
      <c r="K22" s="568"/>
      <c r="L22" s="569"/>
      <c r="M22" s="516">
        <f>'BUP Shift Details Day'!A5</f>
        <v>0</v>
      </c>
      <c r="N22" s="516"/>
      <c r="O22" s="517"/>
      <c r="P22" s="254" t="s">
        <v>135</v>
      </c>
      <c r="Q22" s="308">
        <f>'BUP Shift Details Day'!P184</f>
        <v>0</v>
      </c>
      <c r="S22" s="334" t="s">
        <v>254</v>
      </c>
      <c r="T22" s="250">
        <f>'BUP Shift Details Night'!P180</f>
        <v>1273</v>
      </c>
      <c r="U22" s="521"/>
      <c r="V22" s="523"/>
      <c r="W22" s="516" t="str">
        <f>'BUP Shift Details Night'!A5</f>
        <v>NADEEM</v>
      </c>
      <c r="X22" s="516"/>
      <c r="Y22" s="517"/>
      <c r="Z22" s="254" t="s">
        <v>126</v>
      </c>
      <c r="AA22" s="308">
        <f>'BUP Shift Details Night'!P184</f>
        <v>78</v>
      </c>
    </row>
    <row r="23" spans="1:41" ht="21" x14ac:dyDescent="0.3">
      <c r="A23" s="296" t="s">
        <v>10</v>
      </c>
      <c r="B23" s="298">
        <f>'Adv Report'!S81</f>
        <v>2</v>
      </c>
      <c r="C23" s="298">
        <f>'Adv Report'!T81</f>
        <v>0</v>
      </c>
      <c r="D23" s="298">
        <f>'Adv Report'!U81</f>
        <v>0</v>
      </c>
      <c r="E23" s="297"/>
      <c r="F23" s="555">
        <f>B23+C23+D23</f>
        <v>2</v>
      </c>
      <c r="G23" s="556"/>
      <c r="I23" s="312" t="s">
        <v>255</v>
      </c>
      <c r="J23" s="259">
        <f>'BUP Shift Details Day'!P181</f>
        <v>0</v>
      </c>
      <c r="K23" s="565" t="s">
        <v>256</v>
      </c>
      <c r="L23" s="565"/>
      <c r="M23" s="565"/>
      <c r="N23" s="565"/>
      <c r="O23" s="565"/>
      <c r="P23" s="256" t="s">
        <v>136</v>
      </c>
      <c r="Q23" s="308">
        <f>'BUP Shift Details Day'!P185</f>
        <v>0</v>
      </c>
      <c r="S23" s="334" t="s">
        <v>255</v>
      </c>
      <c r="T23" s="259">
        <f>'BUP Shift Details Night'!P181</f>
        <v>1273</v>
      </c>
      <c r="U23" s="524" t="s">
        <v>257</v>
      </c>
      <c r="V23" s="524"/>
      <c r="W23" s="524"/>
      <c r="X23" s="524"/>
      <c r="Y23" s="524"/>
      <c r="Z23" s="256" t="s">
        <v>155</v>
      </c>
      <c r="AA23" s="308">
        <f>'BUP Shift Details Night'!P185</f>
        <v>306</v>
      </c>
    </row>
    <row r="24" spans="1:41" ht="30.75" customHeight="1" x14ac:dyDescent="0.3">
      <c r="A24" s="296" t="s">
        <v>224</v>
      </c>
      <c r="B24" s="298">
        <f>B22+B23</f>
        <v>36</v>
      </c>
      <c r="C24" s="298">
        <f>C22+C23</f>
        <v>3</v>
      </c>
      <c r="D24" s="298">
        <f>D22+D23</f>
        <v>24</v>
      </c>
      <c r="E24" s="298">
        <f>E22+E23</f>
        <v>0</v>
      </c>
      <c r="F24" s="555">
        <f>B24+C24+D24</f>
        <v>63</v>
      </c>
      <c r="G24" s="556"/>
      <c r="I24" s="312" t="s">
        <v>258</v>
      </c>
      <c r="J24" s="259">
        <f>'BUP Shift Details Day'!P182</f>
        <v>0</v>
      </c>
      <c r="K24" s="566" t="s">
        <v>210</v>
      </c>
      <c r="L24" s="566"/>
      <c r="M24" s="566" t="s">
        <v>259</v>
      </c>
      <c r="N24" s="566"/>
      <c r="O24" s="566"/>
      <c r="P24" s="256" t="s">
        <v>137</v>
      </c>
      <c r="Q24" s="308">
        <f>'BUP Shift Details Day'!P186</f>
        <v>303</v>
      </c>
      <c r="S24" s="334" t="s">
        <v>258</v>
      </c>
      <c r="T24" s="259">
        <f>'BUP Shift Details Night'!P182</f>
        <v>0</v>
      </c>
      <c r="U24" s="519" t="s">
        <v>210</v>
      </c>
      <c r="V24" s="519"/>
      <c r="W24" s="519" t="s">
        <v>259</v>
      </c>
      <c r="X24" s="519"/>
      <c r="Y24" s="519"/>
      <c r="Z24" s="256" t="s">
        <v>137</v>
      </c>
      <c r="AA24" s="308">
        <f>'BUP Shift Details Night'!P186</f>
        <v>303</v>
      </c>
    </row>
    <row r="25" spans="1:41" ht="18.75" x14ac:dyDescent="0.2">
      <c r="A25" s="550" t="s">
        <v>66</v>
      </c>
      <c r="B25" s="551"/>
      <c r="C25" s="551"/>
      <c r="D25" s="551"/>
      <c r="E25" s="551"/>
      <c r="F25" s="551"/>
      <c r="G25" s="552"/>
      <c r="I25" s="514" t="s">
        <v>260</v>
      </c>
      <c r="J25" s="515"/>
      <c r="K25" s="261" t="s">
        <v>69</v>
      </c>
      <c r="L25" s="262">
        <f>'BUP Shift Details Day'!P54</f>
        <v>0</v>
      </c>
      <c r="M25" s="261" t="s">
        <v>126</v>
      </c>
      <c r="N25" s="557">
        <f>SUM(L9:L10)</f>
        <v>0</v>
      </c>
      <c r="O25" s="557"/>
      <c r="P25" s="256" t="s">
        <v>138</v>
      </c>
      <c r="Q25" s="308">
        <f>'BUP Shift Details Day'!P187</f>
        <v>0</v>
      </c>
      <c r="S25" s="514" t="s">
        <v>260</v>
      </c>
      <c r="T25" s="515"/>
      <c r="U25" s="273" t="s">
        <v>68</v>
      </c>
      <c r="V25" s="273">
        <f>'BUP Shift Details Night'!P54</f>
        <v>0</v>
      </c>
      <c r="W25" s="277" t="s">
        <v>152</v>
      </c>
      <c r="X25" s="518">
        <f>V11</f>
        <v>312</v>
      </c>
      <c r="Y25" s="518"/>
      <c r="Z25" s="256" t="s">
        <v>138</v>
      </c>
      <c r="AA25" s="308">
        <f>'BUP Shift Details Night'!P187</f>
        <v>0</v>
      </c>
    </row>
    <row r="26" spans="1:41" ht="37.5" x14ac:dyDescent="0.2">
      <c r="A26" s="296" t="s">
        <v>185</v>
      </c>
      <c r="B26" s="295" t="s">
        <v>198</v>
      </c>
      <c r="C26" s="295" t="s">
        <v>199</v>
      </c>
      <c r="D26" s="295" t="s">
        <v>200</v>
      </c>
      <c r="E26" s="295" t="s">
        <v>201</v>
      </c>
      <c r="F26" s="553" t="s">
        <v>19</v>
      </c>
      <c r="G26" s="554"/>
      <c r="I26" s="313" t="s">
        <v>261</v>
      </c>
      <c r="J26" s="260">
        <f>SUM('BUP Shift Details Day'!F10:F109)</f>
        <v>0</v>
      </c>
      <c r="K26" s="261" t="s">
        <v>70</v>
      </c>
      <c r="L26" s="262">
        <f>'BUP Shift Details Day'!P55</f>
        <v>0</v>
      </c>
      <c r="M26" s="261" t="s">
        <v>155</v>
      </c>
      <c r="N26" s="557">
        <f>L8</f>
        <v>156</v>
      </c>
      <c r="O26" s="557"/>
      <c r="P26" s="256" t="s">
        <v>19</v>
      </c>
      <c r="Q26" s="308">
        <f>'BUP Shift Details Day'!P188</f>
        <v>303</v>
      </c>
      <c r="S26" s="313" t="s">
        <v>262</v>
      </c>
      <c r="T26" s="259">
        <f>SUM('BUP Shift Details Night'!F10:F109)</f>
        <v>115</v>
      </c>
      <c r="U26" s="273" t="s">
        <v>69</v>
      </c>
      <c r="V26" s="273">
        <f>'BUP Shift Details Night'!P55</f>
        <v>70</v>
      </c>
      <c r="W26" s="277" t="s">
        <v>263</v>
      </c>
      <c r="X26" s="518">
        <v>200</v>
      </c>
      <c r="Y26" s="518"/>
      <c r="Z26" s="256" t="s">
        <v>19</v>
      </c>
      <c r="AA26" s="308">
        <f>'BUP Shift Details Night'!P188</f>
        <v>687</v>
      </c>
    </row>
    <row r="27" spans="1:41" ht="37.5" x14ac:dyDescent="0.2">
      <c r="A27" s="296" t="s">
        <v>238</v>
      </c>
      <c r="B27" s="298">
        <f>B19-B24</f>
        <v>59</v>
      </c>
      <c r="C27" s="298">
        <f>C19-C24</f>
        <v>8</v>
      </c>
      <c r="D27" s="298">
        <f>D19-D24</f>
        <v>15</v>
      </c>
      <c r="E27" s="298">
        <f>E19-E24</f>
        <v>0</v>
      </c>
      <c r="F27" s="555">
        <f>F19-F24</f>
        <v>82</v>
      </c>
      <c r="G27" s="556"/>
      <c r="I27" s="313" t="s">
        <v>262</v>
      </c>
      <c r="J27" s="260">
        <f>SUM('Early Morning Report'!K52,'Early Morning Report'!K105)</f>
        <v>0</v>
      </c>
      <c r="K27" s="261" t="s">
        <v>68</v>
      </c>
      <c r="L27" s="262">
        <f>'BUP Shift Details Day'!P56</f>
        <v>0</v>
      </c>
      <c r="M27" s="261" t="s">
        <v>264</v>
      </c>
      <c r="N27" s="557">
        <v>210</v>
      </c>
      <c r="O27" s="557"/>
      <c r="P27" s="256" t="s">
        <v>139</v>
      </c>
      <c r="Q27" s="308">
        <f>'BUP Shift Details Day'!P189</f>
        <v>303</v>
      </c>
      <c r="S27" s="313" t="s">
        <v>265</v>
      </c>
      <c r="T27" s="259">
        <f>SUM('BUP Shift Details Night'!F111:F260)</f>
        <v>473</v>
      </c>
      <c r="U27" s="273" t="s">
        <v>70</v>
      </c>
      <c r="V27" s="273">
        <f>'BUP Shift Details Night'!P56</f>
        <v>0</v>
      </c>
      <c r="W27" s="277" t="s">
        <v>264</v>
      </c>
      <c r="X27" s="518">
        <v>230</v>
      </c>
      <c r="Y27" s="518"/>
      <c r="Z27" s="256" t="s">
        <v>139</v>
      </c>
      <c r="AA27" s="308">
        <f>'BUP Shift Details Night'!P189</f>
        <v>891</v>
      </c>
    </row>
    <row r="28" spans="1:41" ht="37.5" x14ac:dyDescent="0.2">
      <c r="A28" s="550" t="s">
        <v>266</v>
      </c>
      <c r="B28" s="551"/>
      <c r="C28" s="551"/>
      <c r="D28" s="551"/>
      <c r="E28" s="551"/>
      <c r="F28" s="551"/>
      <c r="G28" s="552"/>
      <c r="I28" s="313" t="s">
        <v>265</v>
      </c>
      <c r="J28" s="260">
        <f>'Adv Report'!O84</f>
        <v>303</v>
      </c>
      <c r="K28" s="261" t="s">
        <v>225</v>
      </c>
      <c r="L28" s="262">
        <f>'BUP Shift Details Day'!P57</f>
        <v>0</v>
      </c>
      <c r="M28" s="261" t="s">
        <v>19</v>
      </c>
      <c r="N28" s="557">
        <f>SUM(N25:N27)</f>
        <v>366</v>
      </c>
      <c r="O28" s="557"/>
      <c r="P28" s="256" t="s">
        <v>140</v>
      </c>
      <c r="Q28" s="308">
        <f>'BUP Shift Details Day'!P190</f>
        <v>0</v>
      </c>
      <c r="S28" s="313" t="s">
        <v>261</v>
      </c>
      <c r="T28" s="259">
        <f>'Adv Report'!O84</f>
        <v>303</v>
      </c>
      <c r="U28" s="273" t="s">
        <v>225</v>
      </c>
      <c r="V28" s="273">
        <f>'BUP Shift Details Night'!P57</f>
        <v>0</v>
      </c>
      <c r="W28" s="277" t="s">
        <v>19</v>
      </c>
      <c r="X28" s="518">
        <f>SUM(X25:Y27)</f>
        <v>742</v>
      </c>
      <c r="Y28" s="518"/>
      <c r="Z28" s="256" t="s">
        <v>140</v>
      </c>
      <c r="AA28" s="308">
        <f>'BUP Shift Details Night'!P190</f>
        <v>204</v>
      </c>
    </row>
    <row r="29" spans="1:41" ht="37.5" x14ac:dyDescent="0.2">
      <c r="A29" s="296" t="s">
        <v>197</v>
      </c>
      <c r="B29" s="295" t="s">
        <v>198</v>
      </c>
      <c r="C29" s="295" t="s">
        <v>199</v>
      </c>
      <c r="D29" s="295" t="s">
        <v>200</v>
      </c>
      <c r="E29" s="295" t="s">
        <v>201</v>
      </c>
      <c r="F29" s="553" t="s">
        <v>19</v>
      </c>
      <c r="G29" s="554"/>
      <c r="I29" s="527" t="s">
        <v>19</v>
      </c>
      <c r="J29" s="563">
        <f>SUM(J26:J28)</f>
        <v>303</v>
      </c>
      <c r="K29" s="261" t="s">
        <v>19</v>
      </c>
      <c r="L29" s="262">
        <f>'BUP Shift Details Day'!P58</f>
        <v>0</v>
      </c>
      <c r="M29" s="264" t="s">
        <v>240</v>
      </c>
      <c r="N29" s="558">
        <v>1.55</v>
      </c>
      <c r="O29" s="558"/>
      <c r="P29" s="339" t="s">
        <v>141</v>
      </c>
      <c r="Q29" s="340">
        <f>'BUP Shift Details Day'!P191</f>
        <v>0</v>
      </c>
      <c r="S29" s="527" t="s">
        <v>19</v>
      </c>
      <c r="T29" s="529">
        <f>SUM(T26:T28)</f>
        <v>891</v>
      </c>
      <c r="U29" s="273" t="s">
        <v>19</v>
      </c>
      <c r="V29" s="273">
        <f>'BUP Shift Details Night'!P58</f>
        <v>1</v>
      </c>
      <c r="W29" s="275" t="s">
        <v>240</v>
      </c>
      <c r="X29" s="518">
        <v>1.75</v>
      </c>
      <c r="Y29" s="518"/>
      <c r="Z29" s="342" t="s">
        <v>141</v>
      </c>
      <c r="AA29" s="340">
        <f>'BUP Shift Details Night'!P191</f>
        <v>0.29694323144104806</v>
      </c>
    </row>
    <row r="30" spans="1:41" ht="37.5" x14ac:dyDescent="0.2">
      <c r="A30" s="299" t="str">
        <f>F2</f>
        <v>1300-1600</v>
      </c>
      <c r="B30" s="298">
        <f>B11</f>
        <v>168</v>
      </c>
      <c r="C30" s="298">
        <f>C11</f>
        <v>12</v>
      </c>
      <c r="D30" s="298">
        <f>D11</f>
        <v>60</v>
      </c>
      <c r="E30" s="298">
        <f>E11</f>
        <v>0</v>
      </c>
      <c r="F30" s="555">
        <f>B30+C30+D30</f>
        <v>240</v>
      </c>
      <c r="G30" s="556"/>
      <c r="I30" s="528"/>
      <c r="J30" s="564"/>
      <c r="K30" s="265" t="s">
        <v>245</v>
      </c>
      <c r="L30" s="263">
        <f>N29*12</f>
        <v>18.600000000000001</v>
      </c>
      <c r="M30" s="265" t="s">
        <v>267</v>
      </c>
      <c r="N30" s="559">
        <f>N28/L30</f>
        <v>19.677419354838708</v>
      </c>
      <c r="O30" s="560"/>
      <c r="P30" s="343" t="s">
        <v>268</v>
      </c>
      <c r="Q30" s="338">
        <f>'BUP Shift Details Day'!P90</f>
        <v>1</v>
      </c>
      <c r="S30" s="528"/>
      <c r="T30" s="530"/>
      <c r="U30" s="274" t="s">
        <v>245</v>
      </c>
      <c r="V30" s="274">
        <f>X29*12</f>
        <v>21</v>
      </c>
      <c r="W30" s="276" t="s">
        <v>267</v>
      </c>
      <c r="X30" s="525">
        <f>X28/V30</f>
        <v>35.333333333333336</v>
      </c>
      <c r="Y30" s="526"/>
      <c r="Z30" s="344" t="s">
        <v>268</v>
      </c>
      <c r="AA30" s="341">
        <f>'BUP Shift Details Night'!P90</f>
        <v>0.83</v>
      </c>
    </row>
    <row r="31" spans="1:41" ht="21" x14ac:dyDescent="0.2">
      <c r="A31" s="299" t="str">
        <f>F15</f>
        <v>1601-2359</v>
      </c>
      <c r="B31" s="298">
        <f>B24</f>
        <v>36</v>
      </c>
      <c r="C31" s="298">
        <f>C24</f>
        <v>3</v>
      </c>
      <c r="D31" s="298">
        <f>D24</f>
        <v>24</v>
      </c>
      <c r="E31" s="298">
        <f>E24</f>
        <v>0</v>
      </c>
      <c r="F31" s="555">
        <f>B31+C31+D31</f>
        <v>63</v>
      </c>
      <c r="G31" s="556"/>
      <c r="I31" s="499" t="s">
        <v>269</v>
      </c>
      <c r="J31" s="500"/>
      <c r="K31" s="500"/>
      <c r="L31" s="500"/>
      <c r="M31" s="500"/>
      <c r="N31" s="500"/>
      <c r="O31" s="500"/>
      <c r="P31" s="500"/>
      <c r="Q31" s="501"/>
      <c r="S31" s="499" t="s">
        <v>269</v>
      </c>
      <c r="T31" s="500"/>
      <c r="U31" s="500"/>
      <c r="V31" s="500"/>
      <c r="W31" s="500"/>
      <c r="X31" s="500"/>
      <c r="Y31" s="500"/>
      <c r="Z31" s="500"/>
      <c r="AA31" s="501"/>
    </row>
    <row r="32" spans="1:41" ht="18.75" x14ac:dyDescent="0.2">
      <c r="A32" s="296" t="s">
        <v>224</v>
      </c>
      <c r="B32" s="298">
        <f>SUM(B30:B31)</f>
        <v>204</v>
      </c>
      <c r="C32" s="298">
        <f>SUM(C30:C31)</f>
        <v>15</v>
      </c>
      <c r="D32" s="298">
        <f>SUM(D30:D31)</f>
        <v>84</v>
      </c>
      <c r="E32" s="298">
        <f>SUM(E30:E31)</f>
        <v>0</v>
      </c>
      <c r="F32" s="555">
        <f>B32+C32+D32</f>
        <v>303</v>
      </c>
      <c r="G32" s="556"/>
      <c r="I32" s="510" t="s">
        <v>270</v>
      </c>
      <c r="J32" s="508"/>
      <c r="K32" s="508"/>
      <c r="L32" s="511"/>
      <c r="M32" s="345"/>
      <c r="N32" s="512" t="s">
        <v>271</v>
      </c>
      <c r="O32" s="505"/>
      <c r="P32" s="505"/>
      <c r="Q32" s="513"/>
      <c r="S32" s="504" t="s">
        <v>271</v>
      </c>
      <c r="T32" s="505"/>
      <c r="U32" s="505"/>
      <c r="V32" s="506"/>
      <c r="W32" s="316"/>
      <c r="X32" s="507" t="s">
        <v>270</v>
      </c>
      <c r="Y32" s="508"/>
      <c r="Z32" s="508"/>
      <c r="AA32" s="509"/>
    </row>
    <row r="33" spans="1:27" ht="37.5" x14ac:dyDescent="0.2">
      <c r="A33" s="550" t="s">
        <v>272</v>
      </c>
      <c r="B33" s="551"/>
      <c r="C33" s="551"/>
      <c r="D33" s="551"/>
      <c r="E33" s="551"/>
      <c r="F33" s="551"/>
      <c r="G33" s="552"/>
      <c r="I33" s="315" t="s">
        <v>273</v>
      </c>
      <c r="J33" s="267">
        <f>GETPIVOTDATA("Average of Peak A/F",' Day Averages'!$A$4,"Duty Hrs","DX")</f>
        <v>145.19230769230768</v>
      </c>
      <c r="K33" s="271" t="s">
        <v>240</v>
      </c>
      <c r="L33" s="268">
        <v>1.75</v>
      </c>
      <c r="M33" s="316"/>
      <c r="N33" s="270" t="s">
        <v>274</v>
      </c>
      <c r="O33" s="267">
        <f>GETPIVOTDATA("Average of Peak E/M",'Night Averages'!$A$3,"Duty Hrs2","NI")</f>
        <v>45.653846153846153</v>
      </c>
      <c r="P33" s="271" t="s">
        <v>240</v>
      </c>
      <c r="Q33" s="317">
        <v>1.55</v>
      </c>
      <c r="S33" s="324" t="s">
        <v>274</v>
      </c>
      <c r="T33" s="267">
        <f>GETPIVOTDATA("Average of Peak E/M",'Night Averages'!$A$3,"Duty Hrs2","NI")</f>
        <v>45.653846153846153</v>
      </c>
      <c r="U33" s="271" t="s">
        <v>240</v>
      </c>
      <c r="V33" s="269">
        <v>1.55</v>
      </c>
      <c r="W33" s="316"/>
      <c r="X33" s="266" t="s">
        <v>273</v>
      </c>
      <c r="Y33" s="267">
        <f>GETPIVOTDATA("Average of Peak A/F",' Day Averages'!$A$4,"Duty Hrs","DX")</f>
        <v>145.19230769230768</v>
      </c>
      <c r="Z33" s="271" t="s">
        <v>240</v>
      </c>
      <c r="AA33" s="317">
        <v>1.75</v>
      </c>
    </row>
    <row r="34" spans="1:27" ht="37.5" x14ac:dyDescent="0.2">
      <c r="A34" s="296" t="s">
        <v>197</v>
      </c>
      <c r="B34" s="295" t="s">
        <v>198</v>
      </c>
      <c r="C34" s="295" t="s">
        <v>199</v>
      </c>
      <c r="D34" s="295" t="s">
        <v>200</v>
      </c>
      <c r="E34" s="295" t="s">
        <v>201</v>
      </c>
      <c r="F34" s="553" t="s">
        <v>19</v>
      </c>
      <c r="G34" s="554"/>
      <c r="I34" s="315" t="s">
        <v>274</v>
      </c>
      <c r="J34" s="267">
        <f>GETPIVOTDATA("Average of Early Morning Total",' Day Averages'!$A$4,"Duty Hrs","DX")</f>
        <v>180.5</v>
      </c>
      <c r="K34" s="271" t="s">
        <v>245</v>
      </c>
      <c r="L34" s="269">
        <f>L33*12</f>
        <v>21</v>
      </c>
      <c r="M34" s="316"/>
      <c r="N34" s="270" t="s">
        <v>275</v>
      </c>
      <c r="O34" s="267">
        <f>GETPIVOTDATA("Average of Late Morning",'Night Averages'!$A$3,"Duty Hrs2","NI")</f>
        <v>276.30769230769232</v>
      </c>
      <c r="P34" s="271" t="s">
        <v>245</v>
      </c>
      <c r="Q34" s="318">
        <f>Q33*12</f>
        <v>18.600000000000001</v>
      </c>
      <c r="S34" s="324" t="s">
        <v>275</v>
      </c>
      <c r="T34" s="267">
        <f>GETPIVOTDATA("Average of Late Morning",'Night Averages'!$A$3,"Duty Hrs2","NI")</f>
        <v>276.30769230769232</v>
      </c>
      <c r="U34" s="271" t="s">
        <v>245</v>
      </c>
      <c r="V34" s="267">
        <f>V33*12</f>
        <v>18.600000000000001</v>
      </c>
      <c r="W34" s="316"/>
      <c r="X34" s="266" t="s">
        <v>274</v>
      </c>
      <c r="Y34" s="267">
        <f>GETPIVOTDATA("Average of Early Morning Total",' Day Averages'!$A$4,"Duty Hrs","DX")</f>
        <v>180.5</v>
      </c>
      <c r="Z34" s="271" t="s">
        <v>245</v>
      </c>
      <c r="AA34" s="325">
        <f>AA33*12</f>
        <v>21</v>
      </c>
    </row>
    <row r="35" spans="1:27" ht="37.5" x14ac:dyDescent="0.2">
      <c r="A35" s="299" t="str">
        <f>F2</f>
        <v>1300-1600</v>
      </c>
      <c r="B35" s="298">
        <f>B14</f>
        <v>47</v>
      </c>
      <c r="C35" s="298">
        <f>C14</f>
        <v>6</v>
      </c>
      <c r="D35" s="298">
        <f>D14</f>
        <v>21</v>
      </c>
      <c r="E35" s="298">
        <f>E14</f>
        <v>0</v>
      </c>
      <c r="F35" s="555">
        <f>B35+C35+D35</f>
        <v>74</v>
      </c>
      <c r="G35" s="556"/>
      <c r="I35" s="319" t="s">
        <v>276</v>
      </c>
      <c r="J35" s="267">
        <f>GETPIVOTDATA("Average of Total Advance",' Day Averages'!$A$4,"Duty Hrs","DX")</f>
        <v>195.03846153846155</v>
      </c>
      <c r="K35" s="495" t="s">
        <v>246</v>
      </c>
      <c r="L35" s="502">
        <f>J36/L34</f>
        <v>24.796703296703299</v>
      </c>
      <c r="M35" s="316"/>
      <c r="N35" s="272" t="s">
        <v>276</v>
      </c>
      <c r="O35" s="267">
        <f>GETPIVOTDATA("Average of Total Advance2",'Night Averages'!$A$3,"Duty Hrs2","NI")</f>
        <v>191.80769230769232</v>
      </c>
      <c r="P35" s="495" t="s">
        <v>246</v>
      </c>
      <c r="Q35" s="497">
        <f>O36/Q34</f>
        <v>27.622001654259712</v>
      </c>
      <c r="S35" s="326" t="s">
        <v>276</v>
      </c>
      <c r="T35" s="267">
        <f>GETPIVOTDATA("Average of Total Advance2",'Night Averages'!$A$3,"Duty Hrs2","NI")</f>
        <v>191.80769230769232</v>
      </c>
      <c r="U35" s="495" t="s">
        <v>246</v>
      </c>
      <c r="V35" s="502">
        <f>T36/V34</f>
        <v>27.622001654259712</v>
      </c>
      <c r="W35" s="316"/>
      <c r="X35" s="271" t="s">
        <v>276</v>
      </c>
      <c r="Y35" s="267">
        <f>GETPIVOTDATA("Average of Total Advance",' Day Averages'!$A$4,"Duty Hrs","DX")</f>
        <v>195.03846153846155</v>
      </c>
      <c r="Z35" s="495" t="s">
        <v>246</v>
      </c>
      <c r="AA35" s="497">
        <f>Y36/AA34</f>
        <v>24.796703296703299</v>
      </c>
    </row>
    <row r="36" spans="1:27" ht="26.25" customHeight="1" x14ac:dyDescent="0.2">
      <c r="A36" s="299" t="str">
        <f>F15</f>
        <v>1601-2359</v>
      </c>
      <c r="B36" s="298">
        <f>B27</f>
        <v>59</v>
      </c>
      <c r="C36" s="298">
        <f>C27</f>
        <v>8</v>
      </c>
      <c r="D36" s="298">
        <f>D27</f>
        <v>15</v>
      </c>
      <c r="E36" s="298">
        <f>E27</f>
        <v>0</v>
      </c>
      <c r="F36" s="555">
        <f>B36+C36+D36</f>
        <v>82</v>
      </c>
      <c r="G36" s="556"/>
      <c r="I36" s="320" t="s">
        <v>19</v>
      </c>
      <c r="J36" s="321">
        <f>SUM(J33:J35)</f>
        <v>520.73076923076928</v>
      </c>
      <c r="K36" s="496"/>
      <c r="L36" s="503"/>
      <c r="M36" s="322"/>
      <c r="N36" s="323" t="s">
        <v>19</v>
      </c>
      <c r="O36" s="321">
        <f>SUM(O33:O35)</f>
        <v>513.76923076923072</v>
      </c>
      <c r="P36" s="496"/>
      <c r="Q36" s="498"/>
      <c r="S36" s="320" t="s">
        <v>19</v>
      </c>
      <c r="T36" s="321">
        <f>SUM(T33:T35)</f>
        <v>513.76923076923072</v>
      </c>
      <c r="U36" s="496"/>
      <c r="V36" s="503"/>
      <c r="W36" s="322"/>
      <c r="X36" s="323" t="s">
        <v>19</v>
      </c>
      <c r="Y36" s="321">
        <f>SUM(Y33:Y35)</f>
        <v>520.73076923076928</v>
      </c>
      <c r="Z36" s="496"/>
      <c r="AA36" s="498"/>
    </row>
    <row r="37" spans="1:27" ht="18.75" thickBot="1" x14ac:dyDescent="0.25">
      <c r="A37" s="300" t="s">
        <v>224</v>
      </c>
      <c r="B37" s="301">
        <f>B35+B36</f>
        <v>106</v>
      </c>
      <c r="C37" s="301">
        <f>C35+C36</f>
        <v>14</v>
      </c>
      <c r="D37" s="301">
        <f>D35+D36</f>
        <v>36</v>
      </c>
      <c r="E37" s="301">
        <f>E35+E36</f>
        <v>0</v>
      </c>
      <c r="F37" s="561">
        <f>B37+C37+D37</f>
        <v>156</v>
      </c>
      <c r="G37" s="562"/>
    </row>
    <row r="38" spans="1:27" ht="30" customHeight="1" x14ac:dyDescent="0.2"/>
  </sheetData>
  <mergeCells count="153">
    <mergeCell ref="W7:AA7"/>
    <mergeCell ref="W8:X8"/>
    <mergeCell ref="Y8:Z8"/>
    <mergeCell ref="W9:X9"/>
    <mergeCell ref="M18:Q18"/>
    <mergeCell ref="P21:Q21"/>
    <mergeCell ref="K13:L13"/>
    <mergeCell ref="K17:L17"/>
    <mergeCell ref="K11:K12"/>
    <mergeCell ref="L11:L12"/>
    <mergeCell ref="U11:U12"/>
    <mergeCell ref="V11:V12"/>
    <mergeCell ref="Y19:Z19"/>
    <mergeCell ref="U17:V17"/>
    <mergeCell ref="W20:X20"/>
    <mergeCell ref="Y20:Z20"/>
    <mergeCell ref="S21:T21"/>
    <mergeCell ref="W21:Y21"/>
    <mergeCell ref="Z21:AA21"/>
    <mergeCell ref="M21:O21"/>
    <mergeCell ref="K2:O2"/>
    <mergeCell ref="K3:O3"/>
    <mergeCell ref="K4:O4"/>
    <mergeCell ref="K5:O5"/>
    <mergeCell ref="U2:Y2"/>
    <mergeCell ref="U3:Y3"/>
    <mergeCell ref="U4:Y4"/>
    <mergeCell ref="U5:Y5"/>
    <mergeCell ref="P2:P5"/>
    <mergeCell ref="S2:T2"/>
    <mergeCell ref="S3:T3"/>
    <mergeCell ref="S4:T4"/>
    <mergeCell ref="S5:T5"/>
    <mergeCell ref="S6:AA6"/>
    <mergeCell ref="S7:T7"/>
    <mergeCell ref="U7:V7"/>
    <mergeCell ref="A20:G20"/>
    <mergeCell ref="F21:G21"/>
    <mergeCell ref="F22:G22"/>
    <mergeCell ref="F23:G23"/>
    <mergeCell ref="F24:G24"/>
    <mergeCell ref="A25:G25"/>
    <mergeCell ref="O20:P20"/>
    <mergeCell ref="I25:J25"/>
    <mergeCell ref="A7:G7"/>
    <mergeCell ref="Y9:Z9"/>
    <mergeCell ref="W10:AA10"/>
    <mergeCell ref="W15:AA15"/>
    <mergeCell ref="W16:X16"/>
    <mergeCell ref="Y16:Z16"/>
    <mergeCell ref="S17:T17"/>
    <mergeCell ref="W17:X17"/>
    <mergeCell ref="Y17:Z17"/>
    <mergeCell ref="W18:AA18"/>
    <mergeCell ref="U13:V13"/>
    <mergeCell ref="S13:T13"/>
    <mergeCell ref="W19:X19"/>
    <mergeCell ref="K23:O23"/>
    <mergeCell ref="K24:L24"/>
    <mergeCell ref="M24:O24"/>
    <mergeCell ref="K21:K22"/>
    <mergeCell ref="L21:L22"/>
    <mergeCell ref="M22:O22"/>
    <mergeCell ref="N25:O25"/>
    <mergeCell ref="N26:O26"/>
    <mergeCell ref="N27:O27"/>
    <mergeCell ref="N28:O28"/>
    <mergeCell ref="N29:O29"/>
    <mergeCell ref="N30:O30"/>
    <mergeCell ref="F37:G37"/>
    <mergeCell ref="F26:G26"/>
    <mergeCell ref="F27:G27"/>
    <mergeCell ref="A28:G28"/>
    <mergeCell ref="F29:G29"/>
    <mergeCell ref="F30:G30"/>
    <mergeCell ref="F31:G31"/>
    <mergeCell ref="F32:G32"/>
    <mergeCell ref="A33:G33"/>
    <mergeCell ref="F34:G34"/>
    <mergeCell ref="F35:G35"/>
    <mergeCell ref="F36:G36"/>
    <mergeCell ref="I29:I30"/>
    <mergeCell ref="J29:J30"/>
    <mergeCell ref="A2:E3"/>
    <mergeCell ref="F2:G3"/>
    <mergeCell ref="A4:G4"/>
    <mergeCell ref="F5:G5"/>
    <mergeCell ref="F6:G6"/>
    <mergeCell ref="F19:G19"/>
    <mergeCell ref="F8:G8"/>
    <mergeCell ref="F9:G9"/>
    <mergeCell ref="F10:G10"/>
    <mergeCell ref="F11:G11"/>
    <mergeCell ref="A12:G12"/>
    <mergeCell ref="F13:G13"/>
    <mergeCell ref="F14:G14"/>
    <mergeCell ref="A15:E16"/>
    <mergeCell ref="F15:G16"/>
    <mergeCell ref="A17:G17"/>
    <mergeCell ref="F18:G18"/>
    <mergeCell ref="I2:J2"/>
    <mergeCell ref="I3:J3"/>
    <mergeCell ref="I4:J4"/>
    <mergeCell ref="K7:L7"/>
    <mergeCell ref="I21:J21"/>
    <mergeCell ref="I17:J17"/>
    <mergeCell ref="M15:Q15"/>
    <mergeCell ref="I13:J13"/>
    <mergeCell ref="M10:Q10"/>
    <mergeCell ref="M8:N8"/>
    <mergeCell ref="M9:N9"/>
    <mergeCell ref="O8:P8"/>
    <mergeCell ref="O9:P9"/>
    <mergeCell ref="I5:J5"/>
    <mergeCell ref="I6:Q6"/>
    <mergeCell ref="I7:J7"/>
    <mergeCell ref="M7:Q7"/>
    <mergeCell ref="M16:N16"/>
    <mergeCell ref="O16:P16"/>
    <mergeCell ref="M17:N17"/>
    <mergeCell ref="O17:P17"/>
    <mergeCell ref="M19:N19"/>
    <mergeCell ref="O19:P19"/>
    <mergeCell ref="M20:N20"/>
    <mergeCell ref="S25:T25"/>
    <mergeCell ref="W22:Y22"/>
    <mergeCell ref="X25:Y25"/>
    <mergeCell ref="W24:Y24"/>
    <mergeCell ref="U24:V24"/>
    <mergeCell ref="U21:U22"/>
    <mergeCell ref="V21:V22"/>
    <mergeCell ref="U23:Y23"/>
    <mergeCell ref="X30:Y30"/>
    <mergeCell ref="X29:Y29"/>
    <mergeCell ref="X28:Y28"/>
    <mergeCell ref="X27:Y27"/>
    <mergeCell ref="X26:Y26"/>
    <mergeCell ref="S29:S30"/>
    <mergeCell ref="T29:T30"/>
    <mergeCell ref="P35:P36"/>
    <mergeCell ref="Q35:Q36"/>
    <mergeCell ref="Z35:Z36"/>
    <mergeCell ref="AA35:AA36"/>
    <mergeCell ref="I31:Q31"/>
    <mergeCell ref="K35:K36"/>
    <mergeCell ref="L35:L36"/>
    <mergeCell ref="U35:U36"/>
    <mergeCell ref="V35:V36"/>
    <mergeCell ref="S31:AA31"/>
    <mergeCell ref="S32:V32"/>
    <mergeCell ref="X32:AA32"/>
    <mergeCell ref="I32:L32"/>
    <mergeCell ref="N32:Q32"/>
  </mergeCells>
  <conditionalFormatting sqref="J16">
    <cfRule type="cellIs" dxfId="40" priority="3" operator="greaterThan">
      <formula>$L$16</formula>
    </cfRule>
    <cfRule type="cellIs" dxfId="39" priority="4" operator="lessThanOrEqual">
      <formula>$L$16</formula>
    </cfRule>
  </conditionalFormatting>
  <conditionalFormatting sqref="J20">
    <cfRule type="cellIs" dxfId="38" priority="40" operator="greaterThanOrEqual">
      <formula>1.9</formula>
    </cfRule>
    <cfRule type="cellIs" dxfId="37" priority="41" operator="lessThan">
      <formula>1.9</formula>
    </cfRule>
  </conditionalFormatting>
  <conditionalFormatting sqref="M20:N20">
    <cfRule type="cellIs" dxfId="36" priority="45" operator="greaterThanOrEqual">
      <formula>125</formula>
    </cfRule>
    <cfRule type="cellIs" dxfId="35" priority="46" operator="between">
      <formula>75</formula>
      <formula>125</formula>
    </cfRule>
    <cfRule type="cellIs" dxfId="34" priority="47" operator="lessThanOrEqual">
      <formula>75</formula>
    </cfRule>
  </conditionalFormatting>
  <conditionalFormatting sqref="M12:Q12">
    <cfRule type="expression" dxfId="33" priority="53">
      <formula>$M$9&lt;=150</formula>
    </cfRule>
  </conditionalFormatting>
  <conditionalFormatting sqref="M13:Q13">
    <cfRule type="expression" dxfId="32" priority="54">
      <formula>AND($M$9&gt;150,$M$9&lt;=200)</formula>
    </cfRule>
  </conditionalFormatting>
  <conditionalFormatting sqref="M14:Q14">
    <cfRule type="expression" dxfId="31" priority="52">
      <formula>$M$9&gt;200</formula>
    </cfRule>
  </conditionalFormatting>
  <conditionalFormatting sqref="Q20">
    <cfRule type="cellIs" dxfId="30" priority="42" operator="greaterThanOrEqual">
      <formula>250</formula>
    </cfRule>
    <cfRule type="cellIs" dxfId="29" priority="43" operator="between">
      <formula>150</formula>
      <formula>250</formula>
    </cfRule>
    <cfRule type="cellIs" dxfId="28" priority="44" operator="lessThanOrEqual">
      <formula>150</formula>
    </cfRule>
  </conditionalFormatting>
  <conditionalFormatting sqref="T16">
    <cfRule type="cellIs" dxfId="27" priority="1" operator="greaterThan">
      <formula>$V$16</formula>
    </cfRule>
    <cfRule type="cellIs" dxfId="26" priority="2" operator="lessThanOrEqual">
      <formula>$V$16</formula>
    </cfRule>
  </conditionalFormatting>
  <conditionalFormatting sqref="T20">
    <cfRule type="cellIs" dxfId="25" priority="19" operator="greaterThanOrEqual">
      <formula>1.9</formula>
    </cfRule>
    <cfRule type="cellIs" dxfId="24" priority="20" operator="lessThan">
      <formula>1.9</formula>
    </cfRule>
  </conditionalFormatting>
  <conditionalFormatting sqref="W20:X20">
    <cfRule type="cellIs" dxfId="23" priority="24" operator="greaterThan">
      <formula>75</formula>
    </cfRule>
    <cfRule type="cellIs" dxfId="22" priority="25" operator="between">
      <formula>40</formula>
      <formula>75</formula>
    </cfRule>
    <cfRule type="cellIs" dxfId="21" priority="26" operator="lessThan">
      <formula>40</formula>
    </cfRule>
  </conditionalFormatting>
  <conditionalFormatting sqref="W12:AA12">
    <cfRule type="expression" dxfId="20" priority="29">
      <formula>$W$9&lt;=150</formula>
    </cfRule>
  </conditionalFormatting>
  <conditionalFormatting sqref="W13:AA13">
    <cfRule type="expression" dxfId="19" priority="30">
      <formula>AND($W$9&gt;150,$M$9&lt;=200)</formula>
    </cfRule>
  </conditionalFormatting>
  <conditionalFormatting sqref="W14:AA14">
    <cfRule type="expression" dxfId="18" priority="27">
      <formula>$W$9&gt;200</formula>
    </cfRule>
  </conditionalFormatting>
  <conditionalFormatting sqref="AA20">
    <cfRule type="cellIs" dxfId="17" priority="21" operator="greaterThan">
      <formula>125</formula>
    </cfRule>
    <cfRule type="cellIs" dxfId="16" priority="22" operator="between">
      <formula>100</formula>
      <formula>125</formula>
    </cfRule>
    <cfRule type="cellIs" dxfId="15" priority="23" operator="lessThan">
      <formula>100</formula>
    </cfRule>
  </conditionalFormatting>
  <dataValidations count="5">
    <dataValidation type="list" allowBlank="1" showInputMessage="1" showErrorMessage="1" sqref="F2:G3" xr:uid="{00000000-0002-0000-0400-000000000000}">
      <formula1>"0600-0900,1300-1600"</formula1>
    </dataValidation>
    <dataValidation type="list" allowBlank="1" showInputMessage="1" showErrorMessage="1" sqref="F15:G16" xr:uid="{00000000-0002-0000-0400-000001000000}">
      <formula1>"0901-1259,1601-2359"</formula1>
    </dataValidation>
    <dataValidation type="list" allowBlank="1" showInputMessage="1" showErrorMessage="1" sqref="K3 U3" xr:uid="{00000000-0002-0000-0400-000002000000}">
      <formula1>$AO$4:$AO$11</formula1>
    </dataValidation>
    <dataValidation type="list" allowBlank="1" showInputMessage="1" showErrorMessage="1" sqref="K4 U4" xr:uid="{00000000-0002-0000-0400-000003000000}">
      <formula1>$AO$12:$AO$16</formula1>
    </dataValidation>
    <dataValidation type="list" allowBlank="1" showInputMessage="1" showErrorMessage="1" sqref="K5 U5" xr:uid="{00000000-0002-0000-0400-000004000000}">
      <formula1>$AO$17:$AO$19</formula1>
    </dataValidation>
  </dataValidations>
  <pageMargins left="0.7" right="0.7" top="0.75" bottom="0.75" header="0.3" footer="0.3"/>
  <pageSetup paperSize="9" scale="17" orientation="portrait" r:id="rId1"/>
  <headerFooter scaleWithDoc="0" alignWithMargins="0">
    <oddFooter>&amp;L&amp;1#&amp;"Calibri"&amp;6&amp;K737373BUSINESS DOCUMENT  This document is intended for business use and should be distributed to intended recipients only.</oddFooter>
  </headerFooter>
  <ignoredErrors>
    <ignoredError sqref="N12:N14 Q12:Q14 O12:O14 M9:Q9 P17:Q17 N17 M17 O17 M20:P20 L8:L10 Q22:Q28 J22:J24 M22 W22 AA22:AA28 T22:T24 T15 W17:AA17 W9:AA9 Y12:Y14 X12:X14 AA12:AA14 W20:AA20 V8 J26:J28 J29 T26:T29" unlockedFormula="1"/>
    <ignoredError sqref="Q29 AA29" evalError="1" unlockedFormula="1"/>
    <ignoredError sqref="V19"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C1FE7-E76B-45A5-92DC-D209F095F49C}">
  <sheetPr>
    <pageSetUpPr fitToPage="1"/>
  </sheetPr>
  <dimension ref="A1:AF36"/>
  <sheetViews>
    <sheetView showGridLines="0" zoomScale="80" zoomScaleNormal="80" workbookViewId="0">
      <selection activeCell="R10" sqref="R10"/>
    </sheetView>
  </sheetViews>
  <sheetFormatPr defaultRowHeight="12.75" x14ac:dyDescent="0.2"/>
  <cols>
    <col min="1" max="10" width="15.7109375" customWidth="1"/>
    <col min="11" max="11" width="37.5703125" bestFit="1" customWidth="1"/>
    <col min="12" max="15" width="15.7109375" customWidth="1"/>
    <col min="16" max="16" width="37.5703125" bestFit="1" customWidth="1"/>
    <col min="17" max="19" width="15.7109375" customWidth="1"/>
    <col min="30" max="31" width="0" hidden="1" customWidth="1"/>
    <col min="32" max="32" width="10.7109375" hidden="1" customWidth="1"/>
    <col min="33" max="33" width="0" hidden="1" customWidth="1"/>
  </cols>
  <sheetData>
    <row r="1" spans="1:32" ht="20.100000000000001" customHeight="1" x14ac:dyDescent="0.2">
      <c r="A1" s="542" t="s">
        <v>190</v>
      </c>
      <c r="B1" s="543"/>
      <c r="C1" s="543"/>
      <c r="D1" s="543"/>
      <c r="E1" s="543"/>
      <c r="F1" s="546" t="s">
        <v>191</v>
      </c>
      <c r="G1" s="547"/>
      <c r="I1" s="585" t="s">
        <v>192</v>
      </c>
      <c r="J1" s="585"/>
      <c r="K1" s="591">
        <v>45204</v>
      </c>
      <c r="L1" s="591"/>
      <c r="N1" s="582" t="s">
        <v>192</v>
      </c>
      <c r="O1" s="582"/>
      <c r="P1" s="583">
        <v>45204</v>
      </c>
      <c r="Q1" s="583"/>
    </row>
    <row r="2" spans="1:32" ht="20.100000000000001" customHeight="1" x14ac:dyDescent="0.2">
      <c r="A2" s="544"/>
      <c r="B2" s="545"/>
      <c r="C2" s="545"/>
      <c r="D2" s="545"/>
      <c r="E2" s="545"/>
      <c r="F2" s="548"/>
      <c r="G2" s="549"/>
      <c r="I2" s="585" t="s">
        <v>193</v>
      </c>
      <c r="J2" s="585"/>
      <c r="K2" s="586"/>
      <c r="L2" s="586"/>
      <c r="N2" s="582" t="s">
        <v>193</v>
      </c>
      <c r="O2" s="582"/>
      <c r="P2" s="584"/>
      <c r="Q2" s="584"/>
    </row>
    <row r="3" spans="1:32" ht="20.100000000000001" customHeight="1" x14ac:dyDescent="0.2">
      <c r="A3" s="550" t="s">
        <v>196</v>
      </c>
      <c r="B3" s="551"/>
      <c r="C3" s="551"/>
      <c r="D3" s="551"/>
      <c r="E3" s="551"/>
      <c r="F3" s="551"/>
      <c r="G3" s="552"/>
      <c r="I3" s="585" t="s">
        <v>51</v>
      </c>
      <c r="J3" s="585"/>
      <c r="K3" s="586"/>
      <c r="L3" s="586"/>
      <c r="N3" s="582" t="s">
        <v>51</v>
      </c>
      <c r="O3" s="582"/>
      <c r="P3" s="584"/>
      <c r="Q3" s="584"/>
      <c r="AF3" s="85"/>
    </row>
    <row r="4" spans="1:32" ht="20.100000000000001" customHeight="1" x14ac:dyDescent="0.2">
      <c r="A4" s="279" t="s">
        <v>197</v>
      </c>
      <c r="B4" s="150" t="s">
        <v>198</v>
      </c>
      <c r="C4" s="150" t="s">
        <v>199</v>
      </c>
      <c r="D4" s="150" t="s">
        <v>200</v>
      </c>
      <c r="E4" s="150" t="s">
        <v>201</v>
      </c>
      <c r="F4" s="593" t="s">
        <v>19</v>
      </c>
      <c r="G4" s="594"/>
      <c r="I4" s="585" t="s">
        <v>202</v>
      </c>
      <c r="J4" s="585"/>
      <c r="K4" s="595" t="s">
        <v>204</v>
      </c>
      <c r="L4" s="595"/>
      <c r="N4" s="582" t="s">
        <v>202</v>
      </c>
      <c r="O4" s="582"/>
      <c r="P4" s="596" t="s">
        <v>203</v>
      </c>
      <c r="Q4" s="596"/>
      <c r="AF4" s="86" t="s">
        <v>205</v>
      </c>
    </row>
    <row r="5" spans="1:32" ht="20.100000000000001" customHeight="1" x14ac:dyDescent="0.2">
      <c r="A5" s="279" t="s">
        <v>64</v>
      </c>
      <c r="B5" s="280"/>
      <c r="C5" s="280"/>
      <c r="D5" s="280"/>
      <c r="E5" s="280"/>
      <c r="F5" s="587">
        <f>B5+C5+D5</f>
        <v>0</v>
      </c>
      <c r="G5" s="588"/>
      <c r="I5" s="589" t="s">
        <v>210</v>
      </c>
      <c r="J5" s="589"/>
      <c r="K5" s="590" t="s">
        <v>277</v>
      </c>
      <c r="L5" s="590"/>
      <c r="N5" s="597" t="s">
        <v>210</v>
      </c>
      <c r="O5" s="597"/>
      <c r="P5" s="592" t="s">
        <v>277</v>
      </c>
      <c r="Q5" s="592"/>
      <c r="AF5" s="86" t="s">
        <v>208</v>
      </c>
    </row>
    <row r="6" spans="1:32" ht="20.100000000000001" customHeight="1" x14ac:dyDescent="0.2">
      <c r="A6" s="550" t="s">
        <v>209</v>
      </c>
      <c r="B6" s="551"/>
      <c r="C6" s="551"/>
      <c r="D6" s="551"/>
      <c r="E6" s="551"/>
      <c r="F6" s="551"/>
      <c r="G6" s="552"/>
      <c r="I6" s="286" t="s">
        <v>69</v>
      </c>
      <c r="J6" s="11">
        <f>'BUP Shift Details Day'!P54</f>
        <v>0</v>
      </c>
      <c r="K6" s="286" t="s">
        <v>213</v>
      </c>
      <c r="L6" s="11">
        <f>J22</f>
        <v>156</v>
      </c>
      <c r="N6" s="288" t="s">
        <v>68</v>
      </c>
      <c r="O6" s="42">
        <f>'BUP Shift Details Night'!P54</f>
        <v>0</v>
      </c>
      <c r="P6" s="288" t="s">
        <v>278</v>
      </c>
      <c r="Q6" s="42">
        <f>'BUP Shift Details Night'!P166</f>
        <v>303</v>
      </c>
      <c r="AF6" s="86" t="s">
        <v>212</v>
      </c>
    </row>
    <row r="7" spans="1:32" ht="20.100000000000001" customHeight="1" x14ac:dyDescent="0.2">
      <c r="A7" s="279" t="s">
        <v>197</v>
      </c>
      <c r="B7" s="150" t="s">
        <v>198</v>
      </c>
      <c r="C7" s="150" t="s">
        <v>199</v>
      </c>
      <c r="D7" s="150" t="s">
        <v>200</v>
      </c>
      <c r="E7" s="150" t="s">
        <v>201</v>
      </c>
      <c r="F7" s="593" t="s">
        <v>19</v>
      </c>
      <c r="G7" s="594"/>
      <c r="I7" s="286" t="s">
        <v>70</v>
      </c>
      <c r="J7" s="11">
        <f>'BUP Shift Details Day'!P55</f>
        <v>0</v>
      </c>
      <c r="K7" s="286" t="s">
        <v>218</v>
      </c>
      <c r="L7" s="11">
        <f>'BUP Shift Details Day'!P172</f>
        <v>0</v>
      </c>
      <c r="N7" s="288" t="s">
        <v>69</v>
      </c>
      <c r="O7" s="42">
        <f>'BUP Shift Details Night'!P55</f>
        <v>70</v>
      </c>
      <c r="P7" s="287" t="s">
        <v>218</v>
      </c>
      <c r="Q7" s="42"/>
      <c r="AF7" s="86" t="s">
        <v>194</v>
      </c>
    </row>
    <row r="8" spans="1:32" ht="20.100000000000001" customHeight="1" x14ac:dyDescent="0.2">
      <c r="A8" s="279" t="s">
        <v>9</v>
      </c>
      <c r="B8" s="278">
        <f>'Adv Report'!E80</f>
        <v>154</v>
      </c>
      <c r="C8" s="278">
        <f>'Adv Report'!F80</f>
        <v>12</v>
      </c>
      <c r="D8" s="278">
        <f>'Adv Report'!G80</f>
        <v>60</v>
      </c>
      <c r="E8" s="280"/>
      <c r="F8" s="587">
        <f>B8+C8+D8</f>
        <v>226</v>
      </c>
      <c r="G8" s="588"/>
      <c r="I8" s="286" t="s">
        <v>68</v>
      </c>
      <c r="J8" s="11">
        <f>'BUP Shift Details Day'!P56</f>
        <v>0</v>
      </c>
      <c r="K8" s="286" t="s">
        <v>220</v>
      </c>
      <c r="L8" s="11">
        <f>'BUP Shift Details Day'!P173</f>
        <v>0</v>
      </c>
      <c r="N8" s="288" t="s">
        <v>70</v>
      </c>
      <c r="O8" s="42">
        <f>'BUP Shift Details Night'!P56</f>
        <v>0</v>
      </c>
      <c r="P8" s="287" t="s">
        <v>220</v>
      </c>
      <c r="Q8" s="42"/>
      <c r="AF8" s="86" t="s">
        <v>195</v>
      </c>
    </row>
    <row r="9" spans="1:32" ht="20.100000000000001" customHeight="1" x14ac:dyDescent="0.2">
      <c r="A9" s="279" t="s">
        <v>10</v>
      </c>
      <c r="B9" s="278">
        <f>'Adv Report'!E81</f>
        <v>14</v>
      </c>
      <c r="C9" s="278">
        <f>'Adv Report'!F81</f>
        <v>0</v>
      </c>
      <c r="D9" s="278">
        <f>'Adv Report'!G81</f>
        <v>0</v>
      </c>
      <c r="E9" s="280"/>
      <c r="F9" s="587">
        <f>B9+C9+D9</f>
        <v>14</v>
      </c>
      <c r="G9" s="588"/>
      <c r="I9" s="286" t="s">
        <v>225</v>
      </c>
      <c r="J9" s="11">
        <f>'BUP Shift Details Day'!P57</f>
        <v>0</v>
      </c>
      <c r="K9" s="287" t="s">
        <v>219</v>
      </c>
      <c r="L9" s="11"/>
      <c r="N9" s="288" t="s">
        <v>225</v>
      </c>
      <c r="O9" s="42">
        <f>'BUP Shift Details Night'!P57</f>
        <v>0</v>
      </c>
      <c r="P9" s="288" t="s">
        <v>219</v>
      </c>
      <c r="Q9" s="42">
        <f>'BUP Shift Details Night'!P172</f>
        <v>74</v>
      </c>
      <c r="AF9" s="86" t="s">
        <v>223</v>
      </c>
    </row>
    <row r="10" spans="1:32" ht="20.100000000000001" customHeight="1" x14ac:dyDescent="0.2">
      <c r="A10" s="279" t="s">
        <v>224</v>
      </c>
      <c r="B10" s="278">
        <f>B8+B9</f>
        <v>168</v>
      </c>
      <c r="C10" s="278">
        <f>C8+C9</f>
        <v>12</v>
      </c>
      <c r="D10" s="278">
        <f>D8+D9</f>
        <v>60</v>
      </c>
      <c r="E10" s="278">
        <f>E8+E9</f>
        <v>0</v>
      </c>
      <c r="F10" s="587">
        <f>B10+C10+D10</f>
        <v>240</v>
      </c>
      <c r="G10" s="588"/>
      <c r="I10" s="286" t="s">
        <v>19</v>
      </c>
      <c r="J10" s="11">
        <f>'BUP Shift Details Day'!P58</f>
        <v>0</v>
      </c>
      <c r="K10" s="287" t="s">
        <v>222</v>
      </c>
      <c r="L10" s="11"/>
      <c r="N10" s="288" t="s">
        <v>19</v>
      </c>
      <c r="O10" s="42">
        <f>'BUP Shift Details Night'!P58</f>
        <v>1</v>
      </c>
      <c r="P10" s="288" t="s">
        <v>222</v>
      </c>
      <c r="Q10" s="42">
        <f>'BUP Shift Details Night'!P173</f>
        <v>82</v>
      </c>
      <c r="AF10" s="86" t="s">
        <v>231</v>
      </c>
    </row>
    <row r="11" spans="1:32" ht="20.100000000000001" customHeight="1" x14ac:dyDescent="0.2">
      <c r="A11" s="550" t="s">
        <v>66</v>
      </c>
      <c r="B11" s="551"/>
      <c r="C11" s="551"/>
      <c r="D11" s="551"/>
      <c r="E11" s="551"/>
      <c r="F11" s="551"/>
      <c r="G11" s="552"/>
      <c r="I11" s="598" t="s">
        <v>120</v>
      </c>
      <c r="J11" s="598"/>
      <c r="K11" s="288" t="s">
        <v>226</v>
      </c>
      <c r="L11" s="11">
        <f>SUM(L6:L8)</f>
        <v>156</v>
      </c>
      <c r="N11" s="599" t="s">
        <v>120</v>
      </c>
      <c r="O11" s="599"/>
      <c r="P11" s="288" t="s">
        <v>226</v>
      </c>
      <c r="Q11" s="42">
        <f>SUM(Q9:Q10)</f>
        <v>156</v>
      </c>
      <c r="S11" s="151"/>
      <c r="T11" s="151"/>
      <c r="U11" s="151"/>
      <c r="AF11" s="86"/>
    </row>
    <row r="12" spans="1:32" ht="20.100000000000001" customHeight="1" x14ac:dyDescent="0.2">
      <c r="A12" s="279" t="s">
        <v>185</v>
      </c>
      <c r="B12" s="150" t="s">
        <v>198</v>
      </c>
      <c r="C12" s="150" t="s">
        <v>199</v>
      </c>
      <c r="D12" s="150" t="s">
        <v>200</v>
      </c>
      <c r="E12" s="150" t="s">
        <v>201</v>
      </c>
      <c r="F12" s="593" t="s">
        <v>19</v>
      </c>
      <c r="G12" s="594"/>
      <c r="I12" s="286" t="s">
        <v>228</v>
      </c>
      <c r="J12" s="11">
        <f>'BUP Shift Details Day'!P160</f>
        <v>314</v>
      </c>
      <c r="K12" s="590" t="s">
        <v>279</v>
      </c>
      <c r="L12" s="590"/>
      <c r="N12" s="288" t="s">
        <v>228</v>
      </c>
      <c r="O12" s="42">
        <f>'BUP Shift Details Night'!P160</f>
        <v>314</v>
      </c>
      <c r="P12" s="590" t="s">
        <v>279</v>
      </c>
      <c r="Q12" s="590"/>
      <c r="AF12" s="86">
        <v>1</v>
      </c>
    </row>
    <row r="13" spans="1:32" ht="20.100000000000001" customHeight="1" x14ac:dyDescent="0.2">
      <c r="A13" s="279" t="s">
        <v>238</v>
      </c>
      <c r="B13" s="278">
        <f>B5-B10</f>
        <v>-168</v>
      </c>
      <c r="C13" s="278">
        <f>C5-C10</f>
        <v>-12</v>
      </c>
      <c r="D13" s="278">
        <f>D5-D10</f>
        <v>-60</v>
      </c>
      <c r="E13" s="278">
        <f>E5-E10</f>
        <v>0</v>
      </c>
      <c r="F13" s="587">
        <f>F5-F10</f>
        <v>-240</v>
      </c>
      <c r="G13" s="588"/>
      <c r="I13" s="286" t="s">
        <v>280</v>
      </c>
      <c r="J13" s="11">
        <f>'BUP Shift Details Day'!P161</f>
        <v>145</v>
      </c>
      <c r="K13" s="286" t="s">
        <v>281</v>
      </c>
      <c r="L13" s="11">
        <f>'BUP Shift Details Day'!P26</f>
        <v>0</v>
      </c>
      <c r="N13" s="288" t="s">
        <v>280</v>
      </c>
      <c r="O13" s="42">
        <f>'BUP Shift Details Night'!P161</f>
        <v>145</v>
      </c>
      <c r="P13" s="286" t="s">
        <v>281</v>
      </c>
      <c r="Q13" s="42">
        <f>'BUP Shift Details Night'!P26</f>
        <v>6</v>
      </c>
      <c r="AF13" s="86">
        <v>2</v>
      </c>
    </row>
    <row r="14" spans="1:32" ht="20.100000000000001" customHeight="1" x14ac:dyDescent="0.2">
      <c r="A14" s="544" t="s">
        <v>190</v>
      </c>
      <c r="B14" s="545"/>
      <c r="C14" s="545"/>
      <c r="D14" s="545"/>
      <c r="E14" s="545"/>
      <c r="F14" s="548" t="s">
        <v>243</v>
      </c>
      <c r="G14" s="549"/>
      <c r="I14" s="286" t="s">
        <v>19</v>
      </c>
      <c r="J14" s="11">
        <f>SUM(J12:J13)</f>
        <v>459</v>
      </c>
      <c r="K14" s="286" t="s">
        <v>282</v>
      </c>
      <c r="L14" s="11">
        <f>'BUP Shift Details Day'!P27+'BUP Shift Details Day'!P28+'BUP Shift Details Day'!P29+'BUP Shift Details Day'!P30</f>
        <v>0</v>
      </c>
      <c r="N14" s="288" t="s">
        <v>19</v>
      </c>
      <c r="O14" s="42">
        <f>SUM(O12:O13)</f>
        <v>459</v>
      </c>
      <c r="P14" s="286" t="s">
        <v>282</v>
      </c>
      <c r="Q14" s="42">
        <f>'BUP Shift Details Night'!P27+'BUP Shift Details Night'!P28+'BUP Shift Details Night'!P29+'BUP Shift Details Night'!P30</f>
        <v>38</v>
      </c>
      <c r="AF14" s="86">
        <v>3</v>
      </c>
    </row>
    <row r="15" spans="1:32" ht="20.100000000000001" customHeight="1" x14ac:dyDescent="0.2">
      <c r="A15" s="544"/>
      <c r="B15" s="545"/>
      <c r="C15" s="545"/>
      <c r="D15" s="545"/>
      <c r="E15" s="545"/>
      <c r="F15" s="548"/>
      <c r="G15" s="549"/>
      <c r="I15" s="600" t="s">
        <v>124</v>
      </c>
      <c r="J15" s="600"/>
      <c r="K15" s="286" t="s">
        <v>19</v>
      </c>
      <c r="L15" s="11">
        <f>'BUP Shift Details Day'!P31</f>
        <v>0</v>
      </c>
      <c r="N15" s="601" t="s">
        <v>124</v>
      </c>
      <c r="O15" s="601"/>
      <c r="P15" s="286" t="s">
        <v>19</v>
      </c>
      <c r="Q15" s="42">
        <f>'BUP Shift Details Night'!P31</f>
        <v>1</v>
      </c>
      <c r="AF15" s="86">
        <v>4</v>
      </c>
    </row>
    <row r="16" spans="1:32" ht="20.100000000000001" customHeight="1" x14ac:dyDescent="0.2">
      <c r="A16" s="550" t="s">
        <v>196</v>
      </c>
      <c r="B16" s="551"/>
      <c r="C16" s="551"/>
      <c r="D16" s="551"/>
      <c r="E16" s="551"/>
      <c r="F16" s="551"/>
      <c r="G16" s="552"/>
      <c r="I16" s="286" t="s">
        <v>228</v>
      </c>
      <c r="J16" s="11">
        <f>'BUP Shift Details Day'!P164</f>
        <v>240</v>
      </c>
      <c r="K16" s="590" t="s">
        <v>131</v>
      </c>
      <c r="L16" s="590"/>
      <c r="N16" s="288" t="s">
        <v>228</v>
      </c>
      <c r="O16" s="42">
        <f>'BUP Shift Details Night'!P164</f>
        <v>240</v>
      </c>
      <c r="P16" s="592" t="s">
        <v>131</v>
      </c>
      <c r="Q16" s="592"/>
      <c r="AF16" s="86"/>
    </row>
    <row r="17" spans="1:32" ht="20.100000000000001" customHeight="1" x14ac:dyDescent="0.2">
      <c r="A17" s="279" t="s">
        <v>197</v>
      </c>
      <c r="B17" s="150" t="s">
        <v>198</v>
      </c>
      <c r="C17" s="150" t="s">
        <v>199</v>
      </c>
      <c r="D17" s="150" t="s">
        <v>200</v>
      </c>
      <c r="E17" s="150" t="s">
        <v>201</v>
      </c>
      <c r="F17" s="593" t="s">
        <v>19</v>
      </c>
      <c r="G17" s="594"/>
      <c r="I17" s="286" t="s">
        <v>280</v>
      </c>
      <c r="J17" s="11">
        <f>'BUP Shift Details Day'!P165</f>
        <v>63</v>
      </c>
      <c r="K17" s="286" t="s">
        <v>254</v>
      </c>
      <c r="L17" s="11">
        <f>'BUP Shift Details Day'!P180</f>
        <v>0</v>
      </c>
      <c r="N17" s="288" t="s">
        <v>280</v>
      </c>
      <c r="O17" s="42">
        <f>'BUP Shift Details Night'!P165</f>
        <v>63</v>
      </c>
      <c r="P17" s="288" t="s">
        <v>254</v>
      </c>
      <c r="Q17" s="42">
        <f>'BUP Shift Details Night'!P180</f>
        <v>1273</v>
      </c>
      <c r="AF17" s="86" t="s">
        <v>204</v>
      </c>
    </row>
    <row r="18" spans="1:32" ht="20.100000000000001" customHeight="1" x14ac:dyDescent="0.2">
      <c r="A18" s="279" t="s">
        <v>64</v>
      </c>
      <c r="B18" s="280"/>
      <c r="C18" s="280"/>
      <c r="D18" s="280"/>
      <c r="E18" s="280"/>
      <c r="F18" s="587">
        <f>B18+C18+D18</f>
        <v>0</v>
      </c>
      <c r="G18" s="588"/>
      <c r="I18" s="286" t="s">
        <v>19</v>
      </c>
      <c r="J18" s="11">
        <f>SUM(J16:J17)</f>
        <v>303</v>
      </c>
      <c r="K18" s="286" t="s">
        <v>255</v>
      </c>
      <c r="L18" s="11">
        <f>L17-L19</f>
        <v>0</v>
      </c>
      <c r="N18" s="288" t="s">
        <v>19</v>
      </c>
      <c r="O18" s="42">
        <f>SUM(O16:O17)</f>
        <v>303</v>
      </c>
      <c r="P18" s="288" t="s">
        <v>255</v>
      </c>
      <c r="Q18" s="42">
        <f>Q17-Q19</f>
        <v>1273</v>
      </c>
      <c r="AF18" s="86" t="s">
        <v>203</v>
      </c>
    </row>
    <row r="19" spans="1:32" ht="20.100000000000001" customHeight="1" x14ac:dyDescent="0.2">
      <c r="A19" s="550" t="s">
        <v>209</v>
      </c>
      <c r="B19" s="551"/>
      <c r="C19" s="551"/>
      <c r="D19" s="551"/>
      <c r="E19" s="551"/>
      <c r="F19" s="551"/>
      <c r="G19" s="552"/>
      <c r="I19" s="427" t="s">
        <v>125</v>
      </c>
      <c r="J19" s="427"/>
      <c r="K19" s="286" t="s">
        <v>258</v>
      </c>
      <c r="L19" s="11">
        <f>'BUP Shift Details Day'!P182</f>
        <v>0</v>
      </c>
      <c r="N19" s="366" t="s">
        <v>125</v>
      </c>
      <c r="O19" s="366"/>
      <c r="P19" s="288" t="s">
        <v>258</v>
      </c>
      <c r="Q19" s="42">
        <f>'BUP Shift Details Night'!P182</f>
        <v>0</v>
      </c>
    </row>
    <row r="20" spans="1:32" ht="20.100000000000001" customHeight="1" x14ac:dyDescent="0.2">
      <c r="A20" s="279" t="s">
        <v>197</v>
      </c>
      <c r="B20" s="150" t="s">
        <v>198</v>
      </c>
      <c r="C20" s="150" t="s">
        <v>199</v>
      </c>
      <c r="D20" s="150" t="s">
        <v>200</v>
      </c>
      <c r="E20" s="150" t="s">
        <v>201</v>
      </c>
      <c r="F20" s="593" t="s">
        <v>19</v>
      </c>
      <c r="G20" s="594"/>
      <c r="I20" s="286" t="s">
        <v>228</v>
      </c>
      <c r="J20" s="11">
        <f>J12-J16</f>
        <v>74</v>
      </c>
      <c r="K20" s="590" t="s">
        <v>253</v>
      </c>
      <c r="L20" s="590"/>
      <c r="N20" s="288" t="s">
        <v>228</v>
      </c>
      <c r="O20" s="42">
        <f>O12-O16</f>
        <v>74</v>
      </c>
      <c r="P20" s="590" t="s">
        <v>253</v>
      </c>
      <c r="Q20" s="590"/>
    </row>
    <row r="21" spans="1:32" ht="20.100000000000001" customHeight="1" x14ac:dyDescent="0.2">
      <c r="A21" s="279" t="s">
        <v>9</v>
      </c>
      <c r="B21" s="278">
        <f>'Adv Report'!S80</f>
        <v>34</v>
      </c>
      <c r="C21" s="278">
        <f>'Adv Report'!T80</f>
        <v>3</v>
      </c>
      <c r="D21" s="278">
        <f>'Adv Report'!U80</f>
        <v>24</v>
      </c>
      <c r="E21" s="280"/>
      <c r="F21" s="587">
        <f>B21+C21+D21</f>
        <v>61</v>
      </c>
      <c r="G21" s="588"/>
      <c r="I21" s="286" t="s">
        <v>280</v>
      </c>
      <c r="J21" s="11">
        <f>J13-J17</f>
        <v>82</v>
      </c>
      <c r="K21" s="286" t="s">
        <v>135</v>
      </c>
      <c r="L21" s="11">
        <f>'BUP Shift Details Day'!P184</f>
        <v>0</v>
      </c>
      <c r="N21" s="288" t="s">
        <v>280</v>
      </c>
      <c r="O21" s="42">
        <f>O13-O17</f>
        <v>82</v>
      </c>
      <c r="P21" s="286" t="s">
        <v>126</v>
      </c>
      <c r="Q21" s="42">
        <f>'BUP Shift Details Night'!P184</f>
        <v>78</v>
      </c>
    </row>
    <row r="22" spans="1:32" ht="20.100000000000001" customHeight="1" x14ac:dyDescent="0.2">
      <c r="A22" s="279" t="s">
        <v>10</v>
      </c>
      <c r="B22" s="278">
        <f>'Adv Report'!S81</f>
        <v>2</v>
      </c>
      <c r="C22" s="278">
        <f>'Adv Report'!T81</f>
        <v>0</v>
      </c>
      <c r="D22" s="278">
        <f>'Adv Report'!U81</f>
        <v>0</v>
      </c>
      <c r="E22" s="280"/>
      <c r="F22" s="587">
        <f>B22+C22+D22</f>
        <v>2</v>
      </c>
      <c r="G22" s="588"/>
      <c r="I22" s="286" t="s">
        <v>19</v>
      </c>
      <c r="J22" s="11">
        <f>J14-J18</f>
        <v>156</v>
      </c>
      <c r="K22" s="286" t="s">
        <v>136</v>
      </c>
      <c r="L22" s="11">
        <f>'BUP Shift Details Day'!P185</f>
        <v>0</v>
      </c>
      <c r="N22" s="288" t="s">
        <v>19</v>
      </c>
      <c r="O22" s="42">
        <f>O14-O18</f>
        <v>156</v>
      </c>
      <c r="P22" s="286" t="s">
        <v>155</v>
      </c>
      <c r="Q22" s="42">
        <f>'BUP Shift Details Night'!P185</f>
        <v>306</v>
      </c>
    </row>
    <row r="23" spans="1:32" ht="20.100000000000001" customHeight="1" x14ac:dyDescent="0.2">
      <c r="A23" s="279" t="s">
        <v>224</v>
      </c>
      <c r="B23" s="278">
        <f>B21+B22</f>
        <v>36</v>
      </c>
      <c r="C23" s="278">
        <f>C21+C22</f>
        <v>3</v>
      </c>
      <c r="D23" s="278">
        <f>D21+D22</f>
        <v>24</v>
      </c>
      <c r="E23" s="278">
        <f>E21+E22</f>
        <v>0</v>
      </c>
      <c r="F23" s="587">
        <f>B23+C23+D23</f>
        <v>63</v>
      </c>
      <c r="G23" s="588"/>
      <c r="I23" s="602" t="s">
        <v>60</v>
      </c>
      <c r="J23" s="603"/>
      <c r="K23" s="286" t="s">
        <v>137</v>
      </c>
      <c r="L23" s="11">
        <f>'BUP Shift Details Day'!P186</f>
        <v>303</v>
      </c>
      <c r="N23" s="602" t="s">
        <v>60</v>
      </c>
      <c r="O23" s="603"/>
      <c r="P23" s="286" t="s">
        <v>137</v>
      </c>
      <c r="Q23" s="42">
        <f>'BUP Shift Details Night'!P186</f>
        <v>303</v>
      </c>
    </row>
    <row r="24" spans="1:32" ht="20.100000000000001" customHeight="1" x14ac:dyDescent="0.2">
      <c r="A24" s="550" t="s">
        <v>66</v>
      </c>
      <c r="B24" s="551"/>
      <c r="C24" s="551"/>
      <c r="D24" s="551"/>
      <c r="E24" s="551"/>
      <c r="F24" s="551"/>
      <c r="G24" s="552"/>
      <c r="I24" s="42" t="s">
        <v>8</v>
      </c>
      <c r="J24" s="42">
        <f>'BUP Shift Details Day'!P40</f>
        <v>0</v>
      </c>
      <c r="K24" s="286" t="s">
        <v>138</v>
      </c>
      <c r="L24" s="11">
        <f>'BUP Shift Details Day'!P187</f>
        <v>0</v>
      </c>
      <c r="N24" s="42" t="s">
        <v>8</v>
      </c>
      <c r="O24" s="42">
        <f>'BUP Shift Details Night'!P40</f>
        <v>0</v>
      </c>
      <c r="P24" s="286" t="s">
        <v>138</v>
      </c>
      <c r="Q24" s="42">
        <f>'BUP Shift Details Night'!P187</f>
        <v>0</v>
      </c>
    </row>
    <row r="25" spans="1:32" ht="20.100000000000001" customHeight="1" x14ac:dyDescent="0.2">
      <c r="A25" s="279" t="s">
        <v>185</v>
      </c>
      <c r="B25" s="150" t="s">
        <v>198</v>
      </c>
      <c r="C25" s="150" t="s">
        <v>199</v>
      </c>
      <c r="D25" s="150" t="s">
        <v>200</v>
      </c>
      <c r="E25" s="150" t="s">
        <v>201</v>
      </c>
      <c r="F25" s="593" t="s">
        <v>19</v>
      </c>
      <c r="G25" s="594"/>
      <c r="I25" s="42" t="s">
        <v>61</v>
      </c>
      <c r="J25" s="42">
        <f>'BUP Shift Details Day'!P41</f>
        <v>303</v>
      </c>
      <c r="K25" s="286" t="s">
        <v>19</v>
      </c>
      <c r="L25" s="11">
        <f>'BUP Shift Details Day'!P188</f>
        <v>303</v>
      </c>
      <c r="N25" s="42" t="s">
        <v>61</v>
      </c>
      <c r="O25" s="42">
        <f>'BUP Shift Details Night'!P41</f>
        <v>891</v>
      </c>
      <c r="P25" s="286" t="s">
        <v>19</v>
      </c>
      <c r="Q25" s="42">
        <f>'BUP Shift Details Night'!P188</f>
        <v>687</v>
      </c>
    </row>
    <row r="26" spans="1:32" ht="20.100000000000001" customHeight="1" x14ac:dyDescent="0.2">
      <c r="A26" s="279" t="s">
        <v>238</v>
      </c>
      <c r="B26" s="278">
        <f>B18-B23</f>
        <v>-36</v>
      </c>
      <c r="C26" s="278">
        <f>C18-C23</f>
        <v>-3</v>
      </c>
      <c r="D26" s="278">
        <f>D18-D23</f>
        <v>-24</v>
      </c>
      <c r="E26" s="278">
        <f>E18-E23</f>
        <v>0</v>
      </c>
      <c r="F26" s="587">
        <f>F18-F23</f>
        <v>-63</v>
      </c>
      <c r="G26" s="588"/>
      <c r="I26" s="289" t="s">
        <v>62</v>
      </c>
      <c r="J26" s="290">
        <f>'BUP Shift Details Day'!P42</f>
        <v>0</v>
      </c>
      <c r="K26" s="286" t="s">
        <v>139</v>
      </c>
      <c r="L26" s="11">
        <f>'BUP Shift Details Day'!P189</f>
        <v>303</v>
      </c>
      <c r="N26" s="289" t="s">
        <v>62</v>
      </c>
      <c r="O26" s="290">
        <f>'BUP Shift Details Night'!P42</f>
        <v>506</v>
      </c>
      <c r="P26" s="286" t="s">
        <v>139</v>
      </c>
      <c r="Q26" s="42">
        <f>'BUP Shift Details Night'!P189</f>
        <v>891</v>
      </c>
    </row>
    <row r="27" spans="1:32" ht="43.5" customHeight="1" x14ac:dyDescent="0.2">
      <c r="A27" s="604" t="s">
        <v>266</v>
      </c>
      <c r="B27" s="605"/>
      <c r="C27" s="605"/>
      <c r="D27" s="605"/>
      <c r="E27" s="605"/>
      <c r="F27" s="605"/>
      <c r="G27" s="606"/>
      <c r="I27" s="607" t="s">
        <v>283</v>
      </c>
      <c r="J27" s="608"/>
      <c r="K27" s="286" t="s">
        <v>140</v>
      </c>
      <c r="L27" s="11">
        <f>'BUP Shift Details Day'!P190</f>
        <v>0</v>
      </c>
      <c r="N27" s="607" t="s">
        <v>284</v>
      </c>
      <c r="O27" s="608"/>
      <c r="P27" s="286" t="s">
        <v>140</v>
      </c>
      <c r="Q27" s="42">
        <f>'BUP Shift Details Night'!P190</f>
        <v>204</v>
      </c>
    </row>
    <row r="28" spans="1:32" ht="20.100000000000001" customHeight="1" x14ac:dyDescent="0.2">
      <c r="A28" s="279" t="s">
        <v>197</v>
      </c>
      <c r="B28" s="150" t="s">
        <v>198</v>
      </c>
      <c r="C28" s="150" t="s">
        <v>199</v>
      </c>
      <c r="D28" s="150" t="s">
        <v>200</v>
      </c>
      <c r="E28" s="150" t="s">
        <v>201</v>
      </c>
      <c r="F28" s="593" t="s">
        <v>19</v>
      </c>
      <c r="G28" s="594"/>
      <c r="I28" s="42" t="s">
        <v>250</v>
      </c>
      <c r="J28" s="42">
        <f>L21+L27</f>
        <v>0</v>
      </c>
      <c r="K28" s="286" t="s">
        <v>141</v>
      </c>
      <c r="L28" s="291">
        <f>'BUP Shift Details Day'!P191</f>
        <v>0</v>
      </c>
      <c r="N28" s="42" t="s">
        <v>136</v>
      </c>
      <c r="O28" s="42">
        <f>Q21</f>
        <v>78</v>
      </c>
      <c r="P28" s="286" t="s">
        <v>141</v>
      </c>
      <c r="Q28" s="294">
        <f>'BUP Shift Details Night'!P191</f>
        <v>0.29694323144104806</v>
      </c>
    </row>
    <row r="29" spans="1:32" ht="20.100000000000001" customHeight="1" x14ac:dyDescent="0.2">
      <c r="A29" s="281" t="str">
        <f>F1</f>
        <v>1300-1600</v>
      </c>
      <c r="B29" s="282">
        <f>B10</f>
        <v>168</v>
      </c>
      <c r="C29" s="282">
        <f>C10</f>
        <v>12</v>
      </c>
      <c r="D29" s="282">
        <f>D10</f>
        <v>60</v>
      </c>
      <c r="E29" s="282">
        <f>E10</f>
        <v>0</v>
      </c>
      <c r="F29" s="609">
        <f>B29+C29+D29</f>
        <v>240</v>
      </c>
      <c r="G29" s="610"/>
      <c r="I29" s="42" t="s">
        <v>136</v>
      </c>
      <c r="J29" s="42">
        <f>L22</f>
        <v>0</v>
      </c>
      <c r="K29" s="592" t="s">
        <v>235</v>
      </c>
      <c r="L29" s="592"/>
      <c r="N29" s="42" t="s">
        <v>251</v>
      </c>
      <c r="O29" s="42">
        <f>Q22+Q27</f>
        <v>510</v>
      </c>
      <c r="P29" s="592" t="s">
        <v>235</v>
      </c>
      <c r="Q29" s="592"/>
    </row>
    <row r="30" spans="1:32" ht="20.100000000000001" customHeight="1" x14ac:dyDescent="0.2">
      <c r="A30" s="281" t="str">
        <f>F14</f>
        <v>1601-2359</v>
      </c>
      <c r="B30" s="282">
        <f>B23</f>
        <v>36</v>
      </c>
      <c r="C30" s="282">
        <f>C23</f>
        <v>3</v>
      </c>
      <c r="D30" s="282">
        <f>D23</f>
        <v>24</v>
      </c>
      <c r="E30" s="282">
        <f>E23</f>
        <v>0</v>
      </c>
      <c r="F30" s="609">
        <f>B30+C30+D30</f>
        <v>63</v>
      </c>
      <c r="G30" s="610"/>
      <c r="I30" s="42" t="s">
        <v>137</v>
      </c>
      <c r="J30" s="42">
        <f>L23</f>
        <v>303</v>
      </c>
      <c r="K30" s="288" t="s">
        <v>240</v>
      </c>
      <c r="L30" s="42">
        <v>1.75</v>
      </c>
      <c r="N30" s="42" t="s">
        <v>137</v>
      </c>
      <c r="O30" s="42">
        <f>Q23</f>
        <v>303</v>
      </c>
      <c r="P30" s="288" t="s">
        <v>240</v>
      </c>
      <c r="Q30" s="42">
        <v>1.55</v>
      </c>
    </row>
    <row r="31" spans="1:32" ht="20.100000000000001" customHeight="1" x14ac:dyDescent="0.2">
      <c r="A31" s="283" t="s">
        <v>224</v>
      </c>
      <c r="B31" s="282">
        <f>SUM(B29:B30)</f>
        <v>204</v>
      </c>
      <c r="C31" s="282">
        <f>SUM(C29:C30)</f>
        <v>15</v>
      </c>
      <c r="D31" s="282">
        <f>SUM(D29:D30)</f>
        <v>84</v>
      </c>
      <c r="E31" s="282">
        <f>SUM(E29:E30)</f>
        <v>0</v>
      </c>
      <c r="F31" s="609">
        <f>B31+C31+D31</f>
        <v>303</v>
      </c>
      <c r="G31" s="610"/>
      <c r="I31" s="611" t="s">
        <v>19</v>
      </c>
      <c r="J31" s="611">
        <f>SUM(J28:J30)</f>
        <v>303</v>
      </c>
      <c r="K31" s="288" t="s">
        <v>245</v>
      </c>
      <c r="L31" s="292">
        <f>L30*12</f>
        <v>21</v>
      </c>
      <c r="N31" s="611" t="s">
        <v>19</v>
      </c>
      <c r="O31" s="611">
        <f>SUM(O28:O30)</f>
        <v>891</v>
      </c>
      <c r="P31" s="288" t="s">
        <v>245</v>
      </c>
      <c r="Q31" s="292">
        <f>Q30*12</f>
        <v>18.600000000000001</v>
      </c>
    </row>
    <row r="32" spans="1:32" ht="20.100000000000001" customHeight="1" x14ac:dyDescent="0.2">
      <c r="A32" s="604" t="s">
        <v>272</v>
      </c>
      <c r="B32" s="605"/>
      <c r="C32" s="605"/>
      <c r="D32" s="605"/>
      <c r="E32" s="605"/>
      <c r="F32" s="605"/>
      <c r="G32" s="606"/>
      <c r="I32" s="611"/>
      <c r="J32" s="611"/>
      <c r="K32" s="286" t="s">
        <v>246</v>
      </c>
      <c r="L32" s="293">
        <f>J31/L31</f>
        <v>14.428571428571429</v>
      </c>
      <c r="N32" s="611"/>
      <c r="O32" s="611"/>
      <c r="P32" s="286" t="s">
        <v>246</v>
      </c>
      <c r="Q32" s="292">
        <f>O31/Q31</f>
        <v>47.903225806451609</v>
      </c>
    </row>
    <row r="33" spans="1:7" ht="20.100000000000001" customHeight="1" x14ac:dyDescent="0.2">
      <c r="A33" s="279" t="s">
        <v>197</v>
      </c>
      <c r="B33" s="150" t="s">
        <v>198</v>
      </c>
      <c r="C33" s="150" t="s">
        <v>199</v>
      </c>
      <c r="D33" s="150" t="s">
        <v>200</v>
      </c>
      <c r="E33" s="150" t="s">
        <v>201</v>
      </c>
      <c r="F33" s="593" t="s">
        <v>19</v>
      </c>
      <c r="G33" s="594"/>
    </row>
    <row r="34" spans="1:7" ht="20.100000000000001" customHeight="1" x14ac:dyDescent="0.2">
      <c r="A34" s="281" t="str">
        <f>F1</f>
        <v>1300-1600</v>
      </c>
      <c r="B34" s="282">
        <f>B13</f>
        <v>-168</v>
      </c>
      <c r="C34" s="282">
        <f>C13</f>
        <v>-12</v>
      </c>
      <c r="D34" s="282">
        <f>D13</f>
        <v>-60</v>
      </c>
      <c r="E34" s="282">
        <f>E13</f>
        <v>0</v>
      </c>
      <c r="F34" s="609">
        <f>B34+C34+D34</f>
        <v>-240</v>
      </c>
      <c r="G34" s="610"/>
    </row>
    <row r="35" spans="1:7" ht="20.100000000000001" customHeight="1" x14ac:dyDescent="0.2">
      <c r="A35" s="281" t="str">
        <f>F14</f>
        <v>1601-2359</v>
      </c>
      <c r="B35" s="282">
        <f>B26</f>
        <v>-36</v>
      </c>
      <c r="C35" s="282">
        <f>C26</f>
        <v>-3</v>
      </c>
      <c r="D35" s="282">
        <f>D26</f>
        <v>-24</v>
      </c>
      <c r="E35" s="282">
        <f>E26</f>
        <v>0</v>
      </c>
      <c r="F35" s="609">
        <f>B35+C35+D35</f>
        <v>-63</v>
      </c>
      <c r="G35" s="610"/>
    </row>
    <row r="36" spans="1:7" ht="20.100000000000001" customHeight="1" thickBot="1" x14ac:dyDescent="0.25">
      <c r="A36" s="284" t="s">
        <v>224</v>
      </c>
      <c r="B36" s="285">
        <f>B34+B35</f>
        <v>-204</v>
      </c>
      <c r="C36" s="285">
        <f>C34+C35</f>
        <v>-15</v>
      </c>
      <c r="D36" s="285">
        <f>D34+D35</f>
        <v>-84</v>
      </c>
      <c r="E36" s="285">
        <f>E34+E35</f>
        <v>0</v>
      </c>
      <c r="F36" s="612">
        <f>B36+C36+D36</f>
        <v>-303</v>
      </c>
      <c r="G36" s="613"/>
    </row>
  </sheetData>
  <mergeCells count="78">
    <mergeCell ref="F35:G35"/>
    <mergeCell ref="F36:G36"/>
    <mergeCell ref="A32:G32"/>
    <mergeCell ref="F33:G33"/>
    <mergeCell ref="F34:G34"/>
    <mergeCell ref="F31:G31"/>
    <mergeCell ref="I31:I32"/>
    <mergeCell ref="J31:J32"/>
    <mergeCell ref="N31:N32"/>
    <mergeCell ref="O31:O32"/>
    <mergeCell ref="F29:G29"/>
    <mergeCell ref="K29:L29"/>
    <mergeCell ref="P29:Q29"/>
    <mergeCell ref="F28:G28"/>
    <mergeCell ref="F30:G30"/>
    <mergeCell ref="F26:G26"/>
    <mergeCell ref="A27:G27"/>
    <mergeCell ref="I27:J27"/>
    <mergeCell ref="N27:O27"/>
    <mergeCell ref="A24:G24"/>
    <mergeCell ref="F25:G25"/>
    <mergeCell ref="P20:Q20"/>
    <mergeCell ref="F22:G22"/>
    <mergeCell ref="F23:G23"/>
    <mergeCell ref="I23:J23"/>
    <mergeCell ref="N23:O23"/>
    <mergeCell ref="F18:G18"/>
    <mergeCell ref="A19:G19"/>
    <mergeCell ref="I19:J19"/>
    <mergeCell ref="N19:O19"/>
    <mergeCell ref="F21:G21"/>
    <mergeCell ref="F20:G20"/>
    <mergeCell ref="K20:L20"/>
    <mergeCell ref="F12:G12"/>
    <mergeCell ref="K12:L12"/>
    <mergeCell ref="F9:G9"/>
    <mergeCell ref="P12:Q12"/>
    <mergeCell ref="F17:G17"/>
    <mergeCell ref="A16:G16"/>
    <mergeCell ref="K16:L16"/>
    <mergeCell ref="P16:Q16"/>
    <mergeCell ref="F13:G13"/>
    <mergeCell ref="A14:E15"/>
    <mergeCell ref="F14:G15"/>
    <mergeCell ref="I15:J15"/>
    <mergeCell ref="N15:O15"/>
    <mergeCell ref="F7:G7"/>
    <mergeCell ref="A6:G6"/>
    <mergeCell ref="F10:G10"/>
    <mergeCell ref="A11:G11"/>
    <mergeCell ref="N5:O5"/>
    <mergeCell ref="I11:J11"/>
    <mergeCell ref="N11:O11"/>
    <mergeCell ref="F8:G8"/>
    <mergeCell ref="P5:Q5"/>
    <mergeCell ref="F4:G4"/>
    <mergeCell ref="I4:J4"/>
    <mergeCell ref="K4:L4"/>
    <mergeCell ref="N4:O4"/>
    <mergeCell ref="P4:Q4"/>
    <mergeCell ref="A1:E2"/>
    <mergeCell ref="F1:G2"/>
    <mergeCell ref="F5:G5"/>
    <mergeCell ref="I5:J5"/>
    <mergeCell ref="K5:L5"/>
    <mergeCell ref="A3:G3"/>
    <mergeCell ref="I3:J3"/>
    <mergeCell ref="K3:L3"/>
    <mergeCell ref="I1:J1"/>
    <mergeCell ref="K1:L1"/>
    <mergeCell ref="N1:O1"/>
    <mergeCell ref="P1:Q1"/>
    <mergeCell ref="N3:O3"/>
    <mergeCell ref="P3:Q3"/>
    <mergeCell ref="I2:J2"/>
    <mergeCell ref="K2:L2"/>
    <mergeCell ref="N2:O2"/>
    <mergeCell ref="P2:Q2"/>
  </mergeCells>
  <conditionalFormatting sqref="J20">
    <cfRule type="cellIs" dxfId="14" priority="4" operator="greaterThan">
      <formula>125</formula>
    </cfRule>
    <cfRule type="cellIs" dxfId="13" priority="5" operator="between">
      <formula>75</formula>
      <formula>125</formula>
    </cfRule>
    <cfRule type="cellIs" dxfId="12" priority="6" operator="lessThan">
      <formula>75</formula>
    </cfRule>
  </conditionalFormatting>
  <conditionalFormatting sqref="J22">
    <cfRule type="cellIs" dxfId="11" priority="1" operator="greaterThan">
      <formula>250</formula>
    </cfRule>
    <cfRule type="cellIs" dxfId="10" priority="2" operator="between">
      <formula>150</formula>
      <formula>250</formula>
    </cfRule>
    <cfRule type="cellIs" dxfId="9" priority="3" operator="lessThan">
      <formula>150</formula>
    </cfRule>
  </conditionalFormatting>
  <conditionalFormatting sqref="O20">
    <cfRule type="cellIs" dxfId="8" priority="10" operator="greaterThan">
      <formula>75</formula>
    </cfRule>
    <cfRule type="cellIs" dxfId="7" priority="11" operator="between">
      <formula>40</formula>
      <formula>75</formula>
    </cfRule>
    <cfRule type="cellIs" dxfId="6" priority="12" operator="lessThan">
      <formula>40</formula>
    </cfRule>
  </conditionalFormatting>
  <conditionalFormatting sqref="O22">
    <cfRule type="cellIs" dxfId="5" priority="7" operator="greaterThan">
      <formula>125</formula>
    </cfRule>
    <cfRule type="cellIs" dxfId="4" priority="8" operator="between">
      <formula>100</formula>
      <formula>125</formula>
    </cfRule>
    <cfRule type="cellIs" dxfId="3" priority="9" operator="lessThan">
      <formula>100</formula>
    </cfRule>
  </conditionalFormatting>
  <dataValidations count="5">
    <dataValidation type="list" allowBlank="1" showInputMessage="1" showErrorMessage="1" sqref="K4:L4 P4:Q4" xr:uid="{A6C0FE05-27EC-43F7-B971-44FEB7262EF5}">
      <formula1>$AF$16:$AF$18</formula1>
    </dataValidation>
    <dataValidation type="list" allowBlank="1" showInputMessage="1" showErrorMessage="1" sqref="K3:L3 P3:Q3" xr:uid="{77E20DAD-CA86-4546-8157-7E8348A19D3B}">
      <formula1>$AF$11:$AF$15</formula1>
    </dataValidation>
    <dataValidation type="list" allowBlank="1" showInputMessage="1" showErrorMessage="1" sqref="K2:L2 P2:Q2" xr:uid="{A0B90A61-DC09-4C3A-AAA5-C13715E220BF}">
      <formula1>$AF$3:$AF$10</formula1>
    </dataValidation>
    <dataValidation type="list" allowBlank="1" showInputMessage="1" showErrorMessage="1" sqref="F14:G15" xr:uid="{126CADC7-CD97-4A86-AA02-C7C7CBE2B9AE}">
      <formula1>"0901-1259,1601-2359"</formula1>
    </dataValidation>
    <dataValidation type="list" allowBlank="1" showInputMessage="1" showErrorMessage="1" sqref="F1:G2" xr:uid="{D485A8BA-57D1-42E5-B8FF-FE7A8BC198F3}">
      <formula1>"0600-0900,1300-1600"</formula1>
    </dataValidation>
  </dataValidations>
  <pageMargins left="0.7" right="0.7" top="0.75" bottom="0.75" header="0.3" footer="0.3"/>
  <pageSetup paperSize="9" scale="17" orientation="portrait" r:id="rId1"/>
  <headerFooter scaleWithDoc="0" alignWithMargins="0">
    <oddFooter>&amp;L&amp;1#&amp;"Calibri"&amp;6&amp;K737373BUSINESS DOCUMENT  This document is intended for business use and should be distributed to intended recipients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10"/>
  <sheetViews>
    <sheetView workbookViewId="0">
      <selection activeCell="B6" sqref="B6:D6"/>
    </sheetView>
  </sheetViews>
  <sheetFormatPr defaultRowHeight="15" x14ac:dyDescent="0.25"/>
  <cols>
    <col min="1" max="1" width="11.5703125" style="172" customWidth="1"/>
    <col min="2" max="2" width="19.42578125" style="172" customWidth="1"/>
    <col min="3" max="3" width="29.140625" style="172" customWidth="1"/>
    <col min="4" max="4" width="24.42578125" style="172" customWidth="1"/>
    <col min="5" max="5" width="23.85546875" style="172" bestFit="1" customWidth="1"/>
    <col min="6" max="16384" width="9.140625" style="172"/>
  </cols>
  <sheetData>
    <row r="2" spans="1:4" x14ac:dyDescent="0.25">
      <c r="A2" s="240" t="s">
        <v>193</v>
      </c>
      <c r="B2" s="241" t="s">
        <v>285</v>
      </c>
    </row>
    <row r="3" spans="1:4" x14ac:dyDescent="0.25">
      <c r="A3" s="173"/>
      <c r="B3" s="173"/>
      <c r="C3" s="173"/>
      <c r="D3" s="173"/>
    </row>
    <row r="4" spans="1:4" x14ac:dyDescent="0.25">
      <c r="A4" s="241"/>
      <c r="B4" s="240" t="s">
        <v>286</v>
      </c>
      <c r="C4" s="241"/>
      <c r="D4" s="241"/>
    </row>
    <row r="5" spans="1:4" x14ac:dyDescent="0.25">
      <c r="A5" s="240" t="s">
        <v>287</v>
      </c>
      <c r="B5" s="241" t="s">
        <v>288</v>
      </c>
      <c r="C5" s="241" t="s">
        <v>289</v>
      </c>
      <c r="D5" s="241" t="s">
        <v>290</v>
      </c>
    </row>
    <row r="6" spans="1:4" x14ac:dyDescent="0.25">
      <c r="A6" s="241" t="s">
        <v>291</v>
      </c>
      <c r="B6" s="243">
        <v>145.19230769230768</v>
      </c>
      <c r="C6" s="243">
        <v>180.5</v>
      </c>
      <c r="D6" s="243">
        <v>195.03846153846155</v>
      </c>
    </row>
    <row r="7" spans="1:4" x14ac:dyDescent="0.25">
      <c r="A7" s="241" t="s">
        <v>96</v>
      </c>
      <c r="B7" s="243">
        <v>145.19230769230768</v>
      </c>
      <c r="C7" s="243">
        <v>180.5</v>
      </c>
      <c r="D7" s="243">
        <v>195.03846153846155</v>
      </c>
    </row>
    <row r="8" spans="1:4" x14ac:dyDescent="0.25">
      <c r="A8" s="173"/>
      <c r="B8" s="173"/>
      <c r="C8" s="173"/>
      <c r="D8" s="173"/>
    </row>
    <row r="9" spans="1:4" x14ac:dyDescent="0.25">
      <c r="A9" s="173"/>
      <c r="B9" s="173"/>
      <c r="C9" s="173"/>
      <c r="D9" s="173"/>
    </row>
    <row r="10" spans="1:4" x14ac:dyDescent="0.25">
      <c r="A10" s="173"/>
      <c r="B10" s="173"/>
      <c r="C10" s="173"/>
      <c r="D10" s="173"/>
    </row>
  </sheetData>
  <pageMargins left="0.7" right="0.7" top="0.75" bottom="0.75" header="0.3" footer="0.3"/>
  <pageSetup paperSize="9" orientation="portrait" r:id="rId2"/>
  <headerFooter>
    <oddFooter>&amp;L&amp;1#&amp;"Calibri"&amp;6&amp;K737373BUSINESS DOCUMENT  This document is intended for business use and should be distributed to intended recipients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workbookViewId="0">
      <selection activeCell="D5" sqref="D5"/>
    </sheetView>
  </sheetViews>
  <sheetFormatPr defaultRowHeight="15" x14ac:dyDescent="0.25"/>
  <cols>
    <col min="1" max="1" width="13.85546875" style="172" bestFit="1" customWidth="1"/>
    <col min="2" max="2" width="20.140625" style="172" customWidth="1"/>
    <col min="3" max="3" width="23.85546875" style="172" bestFit="1" customWidth="1"/>
    <col min="4" max="4" width="26" style="172" bestFit="1" customWidth="1"/>
    <col min="5" max="16384" width="9.140625" style="172"/>
  </cols>
  <sheetData>
    <row r="1" spans="1:4" x14ac:dyDescent="0.25">
      <c r="A1" s="240" t="s">
        <v>292</v>
      </c>
      <c r="B1" s="241" t="s">
        <v>293</v>
      </c>
    </row>
    <row r="2" spans="1:4" x14ac:dyDescent="0.25">
      <c r="A2" s="173"/>
      <c r="B2" s="173"/>
      <c r="C2" s="173"/>
      <c r="D2" s="173"/>
    </row>
    <row r="3" spans="1:4" x14ac:dyDescent="0.25">
      <c r="A3" s="240" t="s">
        <v>294</v>
      </c>
      <c r="B3" s="241" t="s">
        <v>295</v>
      </c>
      <c r="C3" s="241" t="s">
        <v>296</v>
      </c>
      <c r="D3" s="241" t="s">
        <v>297</v>
      </c>
    </row>
    <row r="4" spans="1:4" x14ac:dyDescent="0.25">
      <c r="A4" s="242" t="s">
        <v>298</v>
      </c>
      <c r="B4" s="243">
        <v>45.653846153846153</v>
      </c>
      <c r="C4" s="243">
        <v>276.30769230769232</v>
      </c>
      <c r="D4" s="243">
        <v>191.80769230769232</v>
      </c>
    </row>
    <row r="5" spans="1:4" x14ac:dyDescent="0.25">
      <c r="A5" s="242" t="s">
        <v>96</v>
      </c>
      <c r="B5" s="243">
        <v>45.653846153846153</v>
      </c>
      <c r="C5" s="243">
        <v>276.30769230769232</v>
      </c>
      <c r="D5" s="243">
        <v>191.80769230769232</v>
      </c>
    </row>
    <row r="6" spans="1:4" x14ac:dyDescent="0.25">
      <c r="A6" s="173"/>
      <c r="B6" s="173"/>
      <c r="C6" s="173"/>
      <c r="D6" s="173"/>
    </row>
  </sheetData>
  <pageMargins left="0.7" right="0.7" top="0.75" bottom="0.75" header="0.3" footer="0.3"/>
  <pageSetup paperSize="9" orientation="portrait" r:id="rId2"/>
  <headerFooter>
    <oddFooter>&amp;L&amp;1#&amp;"Calibri"&amp;6&amp;K737373BUSINESS DOCUMENT  This document is intended for business use and should be distributed to intended recipients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B182"/>
  <sheetViews>
    <sheetView workbookViewId="0">
      <pane ySplit="1" topLeftCell="A7" activePane="bottomLeft" state="frozen"/>
      <selection activeCell="I6" sqref="I6"/>
      <selection pane="bottomLeft" activeCell="D7" sqref="D7"/>
    </sheetView>
  </sheetViews>
  <sheetFormatPr defaultRowHeight="15" x14ac:dyDescent="0.25"/>
  <cols>
    <col min="1" max="1" width="11" style="173" bestFit="1" customWidth="1"/>
    <col min="2" max="2" width="5.85546875" style="173" bestFit="1" customWidth="1"/>
    <col min="3" max="3" width="6.5703125" style="173" bestFit="1" customWidth="1"/>
    <col min="4" max="4" width="11.140625" style="173" bestFit="1" customWidth="1"/>
    <col min="5" max="5" width="11.42578125" style="173" bestFit="1" customWidth="1"/>
    <col min="6" max="8" width="17.28515625" style="173" bestFit="1" customWidth="1"/>
    <col min="9" max="9" width="16.85546875" style="173" bestFit="1" customWidth="1"/>
    <col min="10" max="11" width="11" style="173" bestFit="1" customWidth="1"/>
    <col min="12" max="12" width="10.7109375" style="173" bestFit="1" customWidth="1"/>
    <col min="13" max="20" width="10.42578125" style="173" bestFit="1" customWidth="1"/>
    <col min="21" max="24" width="7.140625" style="173" bestFit="1" customWidth="1"/>
    <col min="25" max="27" width="10.42578125" style="173" bestFit="1" customWidth="1"/>
    <col min="28" max="28" width="13" style="173" bestFit="1" customWidth="1"/>
    <col min="29" max="29" width="11" style="173" bestFit="1" customWidth="1"/>
    <col min="30" max="30" width="5.85546875" style="173" bestFit="1" customWidth="1"/>
    <col min="31" max="31" width="6.5703125" style="173" bestFit="1" customWidth="1"/>
    <col min="32" max="32" width="11.140625" style="173" bestFit="1" customWidth="1"/>
    <col min="33" max="33" width="6.7109375" style="173" bestFit="1" customWidth="1"/>
    <col min="34" max="34" width="11" style="173" bestFit="1" customWidth="1"/>
    <col min="35" max="35" width="16.85546875" style="173" bestFit="1" customWidth="1"/>
    <col min="36" max="36" width="20" style="173" bestFit="1" customWidth="1"/>
    <col min="37" max="37" width="11" style="173" bestFit="1" customWidth="1"/>
    <col min="38" max="38" width="10.7109375" style="173" bestFit="1" customWidth="1"/>
    <col min="39" max="46" width="10.42578125" style="173" bestFit="1" customWidth="1"/>
    <col min="47" max="50" width="7.140625" style="173" bestFit="1" customWidth="1"/>
    <col min="51" max="53" width="10.42578125" style="173" bestFit="1" customWidth="1"/>
    <col min="54" max="54" width="10.28515625" style="239" bestFit="1" customWidth="1"/>
    <col min="55" max="16384" width="9.140625" style="173"/>
  </cols>
  <sheetData>
    <row r="1" spans="1:54" s="184" customFormat="1" ht="66" customHeight="1" thickBot="1" x14ac:dyDescent="0.3">
      <c r="A1" s="174" t="s">
        <v>192</v>
      </c>
      <c r="B1" s="175" t="s">
        <v>193</v>
      </c>
      <c r="C1" s="175" t="s">
        <v>51</v>
      </c>
      <c r="D1" s="175" t="s">
        <v>287</v>
      </c>
      <c r="E1" s="175" t="s">
        <v>299</v>
      </c>
      <c r="F1" s="175" t="s">
        <v>103</v>
      </c>
      <c r="G1" s="175" t="s">
        <v>122</v>
      </c>
      <c r="H1" s="175" t="s">
        <v>300</v>
      </c>
      <c r="I1" s="175" t="s">
        <v>142</v>
      </c>
      <c r="J1" s="175" t="s">
        <v>143</v>
      </c>
      <c r="K1" s="175" t="s">
        <v>266</v>
      </c>
      <c r="L1" s="175" t="s">
        <v>301</v>
      </c>
      <c r="M1" s="176" t="s">
        <v>302</v>
      </c>
      <c r="N1" s="176" t="s">
        <v>303</v>
      </c>
      <c r="O1" s="176" t="s">
        <v>304</v>
      </c>
      <c r="P1" s="176" t="s">
        <v>305</v>
      </c>
      <c r="Q1" s="177" t="s">
        <v>302</v>
      </c>
      <c r="R1" s="177" t="s">
        <v>303</v>
      </c>
      <c r="S1" s="177" t="s">
        <v>304</v>
      </c>
      <c r="T1" s="177" t="s">
        <v>306</v>
      </c>
      <c r="U1" s="178" t="s">
        <v>307</v>
      </c>
      <c r="V1" s="178" t="s">
        <v>308</v>
      </c>
      <c r="W1" s="178" t="s">
        <v>309</v>
      </c>
      <c r="X1" s="178" t="s">
        <v>310</v>
      </c>
      <c r="Y1" s="175" t="s">
        <v>311</v>
      </c>
      <c r="Z1" s="179" t="s">
        <v>312</v>
      </c>
      <c r="AA1" s="180" t="s">
        <v>313</v>
      </c>
      <c r="AB1" s="181" t="s">
        <v>272</v>
      </c>
      <c r="AC1" s="182" t="s">
        <v>192</v>
      </c>
      <c r="AD1" s="175" t="s">
        <v>193</v>
      </c>
      <c r="AE1" s="175" t="s">
        <v>51</v>
      </c>
      <c r="AF1" s="175" t="s">
        <v>287</v>
      </c>
      <c r="AG1" s="175" t="s">
        <v>314</v>
      </c>
      <c r="AH1" s="175" t="s">
        <v>265</v>
      </c>
      <c r="AI1" s="175" t="s">
        <v>142</v>
      </c>
      <c r="AJ1" s="175" t="s">
        <v>143</v>
      </c>
      <c r="AK1" s="175" t="s">
        <v>266</v>
      </c>
      <c r="AL1" s="175" t="s">
        <v>315</v>
      </c>
      <c r="AM1" s="176" t="s">
        <v>302</v>
      </c>
      <c r="AN1" s="176" t="s">
        <v>303</v>
      </c>
      <c r="AO1" s="176" t="s">
        <v>304</v>
      </c>
      <c r="AP1" s="176" t="s">
        <v>305</v>
      </c>
      <c r="AQ1" s="177" t="s">
        <v>302</v>
      </c>
      <c r="AR1" s="177" t="s">
        <v>303</v>
      </c>
      <c r="AS1" s="177" t="s">
        <v>304</v>
      </c>
      <c r="AT1" s="177" t="s">
        <v>306</v>
      </c>
      <c r="AU1" s="178" t="s">
        <v>307</v>
      </c>
      <c r="AV1" s="178" t="s">
        <v>308</v>
      </c>
      <c r="AW1" s="178" t="s">
        <v>309</v>
      </c>
      <c r="AX1" s="178" t="s">
        <v>310</v>
      </c>
      <c r="AY1" s="175" t="s">
        <v>311</v>
      </c>
      <c r="AZ1" s="175" t="s">
        <v>312</v>
      </c>
      <c r="BA1" s="175" t="s">
        <v>313</v>
      </c>
      <c r="BB1" s="183" t="s">
        <v>272</v>
      </c>
    </row>
    <row r="2" spans="1:54" ht="15.75" x14ac:dyDescent="0.25">
      <c r="A2" s="185">
        <v>44927</v>
      </c>
      <c r="B2" s="186" t="s">
        <v>293</v>
      </c>
      <c r="C2" s="186">
        <v>1</v>
      </c>
      <c r="D2" s="186" t="s">
        <v>291</v>
      </c>
      <c r="E2" s="186">
        <v>126</v>
      </c>
      <c r="F2" s="186">
        <v>81</v>
      </c>
      <c r="G2" s="186">
        <v>118</v>
      </c>
      <c r="H2" s="187">
        <v>199</v>
      </c>
      <c r="I2" s="186">
        <v>126</v>
      </c>
      <c r="J2" s="188">
        <v>36</v>
      </c>
      <c r="K2" s="189">
        <v>162</v>
      </c>
      <c r="L2" s="190">
        <v>487</v>
      </c>
      <c r="M2" s="191">
        <v>147</v>
      </c>
      <c r="N2" s="191">
        <v>19</v>
      </c>
      <c r="O2" s="191">
        <v>51</v>
      </c>
      <c r="P2" s="191">
        <v>217</v>
      </c>
      <c r="Q2" s="192">
        <v>80</v>
      </c>
      <c r="R2" s="192">
        <v>12</v>
      </c>
      <c r="S2" s="192">
        <v>46</v>
      </c>
      <c r="T2" s="192">
        <v>138</v>
      </c>
      <c r="U2" s="193">
        <v>90</v>
      </c>
      <c r="V2" s="193">
        <v>13</v>
      </c>
      <c r="W2" s="193">
        <v>59</v>
      </c>
      <c r="X2" s="193">
        <v>162</v>
      </c>
      <c r="Y2" s="191">
        <v>137</v>
      </c>
      <c r="Z2" s="194">
        <v>18</v>
      </c>
      <c r="AA2" s="195">
        <v>38</v>
      </c>
      <c r="AB2" s="195">
        <v>193</v>
      </c>
      <c r="AC2" s="196">
        <v>44927</v>
      </c>
      <c r="AD2" s="186" t="s">
        <v>293</v>
      </c>
      <c r="AE2" s="186">
        <v>2</v>
      </c>
      <c r="AF2" s="186" t="s">
        <v>298</v>
      </c>
      <c r="AG2" s="186">
        <v>48</v>
      </c>
      <c r="AH2" s="186">
        <v>259</v>
      </c>
      <c r="AI2" s="186">
        <v>101</v>
      </c>
      <c r="AJ2" s="186">
        <v>48</v>
      </c>
      <c r="AK2" s="189">
        <v>149</v>
      </c>
      <c r="AL2" s="197">
        <v>456</v>
      </c>
      <c r="AM2" s="191">
        <v>84</v>
      </c>
      <c r="AN2" s="191">
        <v>9</v>
      </c>
      <c r="AO2" s="191">
        <v>32</v>
      </c>
      <c r="AP2" s="198">
        <v>125</v>
      </c>
      <c r="AQ2" s="192">
        <v>48</v>
      </c>
      <c r="AR2" s="192">
        <v>4</v>
      </c>
      <c r="AS2" s="192">
        <v>24</v>
      </c>
      <c r="AT2" s="192">
        <v>76</v>
      </c>
      <c r="AU2" s="193">
        <v>101</v>
      </c>
      <c r="AV2" s="193">
        <v>13</v>
      </c>
      <c r="AW2" s="193">
        <v>35</v>
      </c>
      <c r="AX2" s="193">
        <v>149</v>
      </c>
      <c r="AY2" s="191">
        <v>31</v>
      </c>
      <c r="AZ2" s="194">
        <v>0</v>
      </c>
      <c r="BA2" s="195">
        <v>21</v>
      </c>
      <c r="BB2" s="199">
        <v>52</v>
      </c>
    </row>
    <row r="3" spans="1:54" ht="15.75" x14ac:dyDescent="0.25">
      <c r="A3" s="200">
        <v>44928</v>
      </c>
      <c r="B3" s="201" t="s">
        <v>316</v>
      </c>
      <c r="C3" s="201">
        <v>3</v>
      </c>
      <c r="D3" s="201" t="s">
        <v>291</v>
      </c>
      <c r="E3" s="201">
        <v>72</v>
      </c>
      <c r="F3" s="201">
        <v>71</v>
      </c>
      <c r="G3" s="201">
        <v>74</v>
      </c>
      <c r="H3" s="202">
        <v>145</v>
      </c>
      <c r="I3" s="201">
        <v>83</v>
      </c>
      <c r="J3" s="203">
        <v>66</v>
      </c>
      <c r="K3" s="204">
        <v>149</v>
      </c>
      <c r="L3" s="205">
        <v>366</v>
      </c>
      <c r="M3" s="206">
        <v>79</v>
      </c>
      <c r="N3" s="206">
        <v>13</v>
      </c>
      <c r="O3" s="206">
        <v>56</v>
      </c>
      <c r="P3" s="206">
        <v>148</v>
      </c>
      <c r="Q3" s="207">
        <v>85</v>
      </c>
      <c r="R3" s="207">
        <v>18</v>
      </c>
      <c r="S3" s="207">
        <v>58</v>
      </c>
      <c r="T3" s="207">
        <v>161</v>
      </c>
      <c r="U3" s="208">
        <v>68</v>
      </c>
      <c r="V3" s="208">
        <v>15</v>
      </c>
      <c r="W3" s="208">
        <v>66</v>
      </c>
      <c r="X3" s="208">
        <v>149</v>
      </c>
      <c r="Y3" s="206">
        <v>96</v>
      </c>
      <c r="Z3" s="209">
        <v>16</v>
      </c>
      <c r="AA3" s="210">
        <v>48</v>
      </c>
      <c r="AB3" s="210">
        <v>160</v>
      </c>
      <c r="AC3" s="211">
        <v>44928</v>
      </c>
      <c r="AD3" s="201" t="s">
        <v>316</v>
      </c>
      <c r="AE3" s="201">
        <v>4</v>
      </c>
      <c r="AF3" s="201" t="s">
        <v>298</v>
      </c>
      <c r="AG3" s="201">
        <v>20</v>
      </c>
      <c r="AH3" s="201">
        <v>185</v>
      </c>
      <c r="AI3" s="201">
        <v>69</v>
      </c>
      <c r="AJ3" s="201">
        <v>56</v>
      </c>
      <c r="AK3" s="204">
        <v>125</v>
      </c>
      <c r="AL3" s="212">
        <v>330</v>
      </c>
      <c r="AM3" s="206">
        <v>68</v>
      </c>
      <c r="AN3" s="206">
        <v>5</v>
      </c>
      <c r="AO3" s="206">
        <v>36</v>
      </c>
      <c r="AP3" s="213">
        <v>109</v>
      </c>
      <c r="AQ3" s="207">
        <v>43</v>
      </c>
      <c r="AR3" s="207">
        <v>5</v>
      </c>
      <c r="AS3" s="207">
        <v>22</v>
      </c>
      <c r="AT3" s="207">
        <v>70</v>
      </c>
      <c r="AU3" s="208">
        <v>72</v>
      </c>
      <c r="AV3" s="208">
        <v>9</v>
      </c>
      <c r="AW3" s="208">
        <v>44</v>
      </c>
      <c r="AX3" s="208">
        <v>125</v>
      </c>
      <c r="AY3" s="206">
        <v>39</v>
      </c>
      <c r="AZ3" s="209">
        <v>1</v>
      </c>
      <c r="BA3" s="210">
        <v>14</v>
      </c>
      <c r="BB3" s="214">
        <v>54</v>
      </c>
    </row>
    <row r="4" spans="1:54" ht="15.75" x14ac:dyDescent="0.25">
      <c r="A4" s="200">
        <v>44929</v>
      </c>
      <c r="B4" s="201" t="s">
        <v>317</v>
      </c>
      <c r="C4" s="201">
        <v>3</v>
      </c>
      <c r="D4" s="201" t="s">
        <v>291</v>
      </c>
      <c r="E4" s="201">
        <v>58</v>
      </c>
      <c r="F4" s="201">
        <v>57</v>
      </c>
      <c r="G4" s="201">
        <v>59</v>
      </c>
      <c r="H4" s="202">
        <v>116</v>
      </c>
      <c r="I4" s="201">
        <v>82</v>
      </c>
      <c r="J4" s="203">
        <v>53</v>
      </c>
      <c r="K4" s="204">
        <v>135</v>
      </c>
      <c r="L4" s="205">
        <v>309</v>
      </c>
      <c r="M4" s="206">
        <v>91</v>
      </c>
      <c r="N4" s="206">
        <v>21</v>
      </c>
      <c r="O4" s="206">
        <v>55</v>
      </c>
      <c r="P4" s="206">
        <v>167</v>
      </c>
      <c r="Q4" s="207">
        <v>72</v>
      </c>
      <c r="R4" s="207">
        <v>14</v>
      </c>
      <c r="S4" s="207">
        <v>40</v>
      </c>
      <c r="T4" s="207">
        <v>126</v>
      </c>
      <c r="U4" s="208">
        <v>66</v>
      </c>
      <c r="V4" s="208">
        <v>15</v>
      </c>
      <c r="W4" s="208">
        <v>54</v>
      </c>
      <c r="X4" s="208">
        <v>135</v>
      </c>
      <c r="Y4" s="206">
        <v>97</v>
      </c>
      <c r="Z4" s="209">
        <v>20</v>
      </c>
      <c r="AA4" s="210">
        <v>41</v>
      </c>
      <c r="AB4" s="210">
        <v>158</v>
      </c>
      <c r="AC4" s="211">
        <v>44929</v>
      </c>
      <c r="AD4" s="201" t="s">
        <v>317</v>
      </c>
      <c r="AE4" s="201">
        <v>4</v>
      </c>
      <c r="AF4" s="201" t="s">
        <v>298</v>
      </c>
      <c r="AG4" s="201">
        <v>38</v>
      </c>
      <c r="AH4" s="201">
        <v>194</v>
      </c>
      <c r="AI4" s="201">
        <v>95</v>
      </c>
      <c r="AJ4" s="201">
        <v>69</v>
      </c>
      <c r="AK4" s="204">
        <v>164</v>
      </c>
      <c r="AL4" s="212">
        <v>396</v>
      </c>
      <c r="AM4" s="206">
        <v>91</v>
      </c>
      <c r="AN4" s="206">
        <v>21</v>
      </c>
      <c r="AO4" s="206">
        <v>55</v>
      </c>
      <c r="AP4" s="213">
        <v>167</v>
      </c>
      <c r="AQ4" s="207">
        <v>72</v>
      </c>
      <c r="AR4" s="207">
        <v>14</v>
      </c>
      <c r="AS4" s="207">
        <v>40</v>
      </c>
      <c r="AT4" s="207">
        <v>126</v>
      </c>
      <c r="AU4" s="208">
        <v>66</v>
      </c>
      <c r="AV4" s="208">
        <v>15</v>
      </c>
      <c r="AW4" s="208">
        <v>54</v>
      </c>
      <c r="AX4" s="208">
        <v>135</v>
      </c>
      <c r="AY4" s="206">
        <v>97</v>
      </c>
      <c r="AZ4" s="209">
        <v>20</v>
      </c>
      <c r="BA4" s="210">
        <v>41</v>
      </c>
      <c r="BB4" s="214">
        <v>158</v>
      </c>
    </row>
    <row r="5" spans="1:54" ht="15.75" x14ac:dyDescent="0.25">
      <c r="A5" s="200">
        <v>44930</v>
      </c>
      <c r="B5" s="201" t="s">
        <v>318</v>
      </c>
      <c r="C5" s="201">
        <v>2</v>
      </c>
      <c r="D5" s="201" t="s">
        <v>291</v>
      </c>
      <c r="E5" s="201">
        <v>74</v>
      </c>
      <c r="F5" s="201">
        <v>69</v>
      </c>
      <c r="G5" s="201">
        <v>66</v>
      </c>
      <c r="H5" s="202">
        <v>135</v>
      </c>
      <c r="I5" s="201">
        <v>94</v>
      </c>
      <c r="J5" s="203">
        <v>63</v>
      </c>
      <c r="K5" s="204">
        <v>157</v>
      </c>
      <c r="L5" s="205">
        <v>366</v>
      </c>
      <c r="M5" s="206">
        <v>84</v>
      </c>
      <c r="N5" s="206">
        <v>6</v>
      </c>
      <c r="O5" s="206">
        <v>70</v>
      </c>
      <c r="P5" s="206">
        <v>160</v>
      </c>
      <c r="Q5" s="207">
        <v>69</v>
      </c>
      <c r="R5" s="207">
        <v>10</v>
      </c>
      <c r="S5" s="207">
        <v>63</v>
      </c>
      <c r="T5" s="207">
        <v>142</v>
      </c>
      <c r="U5" s="208">
        <v>83</v>
      </c>
      <c r="V5" s="208">
        <v>13</v>
      </c>
      <c r="W5" s="208">
        <v>61</v>
      </c>
      <c r="X5" s="208">
        <v>157</v>
      </c>
      <c r="Y5" s="206">
        <v>70</v>
      </c>
      <c r="Z5" s="209">
        <v>3</v>
      </c>
      <c r="AA5" s="210">
        <v>72</v>
      </c>
      <c r="AB5" s="210">
        <v>145</v>
      </c>
      <c r="AC5" s="211">
        <v>44930</v>
      </c>
      <c r="AD5" s="201" t="s">
        <v>318</v>
      </c>
      <c r="AE5" s="201">
        <v>1</v>
      </c>
      <c r="AF5" s="201" t="s">
        <v>298</v>
      </c>
      <c r="AG5" s="201">
        <v>40</v>
      </c>
      <c r="AH5" s="201">
        <v>163</v>
      </c>
      <c r="AI5" s="201">
        <v>89</v>
      </c>
      <c r="AJ5" s="201">
        <v>71</v>
      </c>
      <c r="AK5" s="204">
        <v>160</v>
      </c>
      <c r="AL5" s="212">
        <v>363</v>
      </c>
      <c r="AM5" s="206">
        <v>75</v>
      </c>
      <c r="AN5" s="206">
        <v>9</v>
      </c>
      <c r="AO5" s="206">
        <v>35</v>
      </c>
      <c r="AP5" s="213">
        <v>119</v>
      </c>
      <c r="AQ5" s="207">
        <v>66</v>
      </c>
      <c r="AR5" s="207">
        <v>7</v>
      </c>
      <c r="AS5" s="207">
        <v>34</v>
      </c>
      <c r="AT5" s="207">
        <v>107</v>
      </c>
      <c r="AU5" s="208">
        <v>99</v>
      </c>
      <c r="AV5" s="208">
        <v>15</v>
      </c>
      <c r="AW5" s="208">
        <v>46</v>
      </c>
      <c r="AX5" s="208">
        <v>160</v>
      </c>
      <c r="AY5" s="206">
        <v>42</v>
      </c>
      <c r="AZ5" s="209">
        <v>1</v>
      </c>
      <c r="BA5" s="210">
        <v>23</v>
      </c>
      <c r="BB5" s="214">
        <v>66</v>
      </c>
    </row>
    <row r="6" spans="1:54" ht="15.75" x14ac:dyDescent="0.25">
      <c r="A6" s="200">
        <v>44931</v>
      </c>
      <c r="B6" s="201" t="s">
        <v>319</v>
      </c>
      <c r="C6" s="201">
        <v>2</v>
      </c>
      <c r="D6" s="201" t="s">
        <v>291</v>
      </c>
      <c r="E6" s="201">
        <v>87</v>
      </c>
      <c r="F6" s="201">
        <v>76</v>
      </c>
      <c r="G6" s="201">
        <v>66</v>
      </c>
      <c r="H6" s="202">
        <v>142</v>
      </c>
      <c r="I6" s="201">
        <v>111</v>
      </c>
      <c r="J6" s="203">
        <v>64</v>
      </c>
      <c r="K6" s="204">
        <v>175</v>
      </c>
      <c r="L6" s="205">
        <v>404</v>
      </c>
      <c r="M6" s="206">
        <v>95</v>
      </c>
      <c r="N6" s="206">
        <v>13</v>
      </c>
      <c r="O6" s="206">
        <v>62</v>
      </c>
      <c r="P6" s="206">
        <v>170</v>
      </c>
      <c r="Q6" s="207">
        <v>90</v>
      </c>
      <c r="R6" s="207">
        <v>14</v>
      </c>
      <c r="S6" s="207">
        <v>57</v>
      </c>
      <c r="T6" s="207">
        <v>161</v>
      </c>
      <c r="U6" s="208">
        <v>100</v>
      </c>
      <c r="V6" s="208">
        <v>19</v>
      </c>
      <c r="W6" s="208">
        <v>56</v>
      </c>
      <c r="X6" s="208">
        <v>175</v>
      </c>
      <c r="Y6" s="206">
        <v>85</v>
      </c>
      <c r="Z6" s="209">
        <v>8</v>
      </c>
      <c r="AA6" s="210">
        <v>63</v>
      </c>
      <c r="AB6" s="210">
        <v>156</v>
      </c>
      <c r="AC6" s="211">
        <v>44931</v>
      </c>
      <c r="AD6" s="201" t="s">
        <v>319</v>
      </c>
      <c r="AE6" s="201">
        <v>1</v>
      </c>
      <c r="AF6" s="201" t="s">
        <v>298</v>
      </c>
      <c r="AG6" s="201">
        <v>31</v>
      </c>
      <c r="AH6" s="201">
        <v>166</v>
      </c>
      <c r="AI6" s="201">
        <v>72</v>
      </c>
      <c r="AJ6" s="201">
        <v>53</v>
      </c>
      <c r="AK6" s="204">
        <v>125</v>
      </c>
      <c r="AL6" s="212">
        <v>322</v>
      </c>
      <c r="AM6" s="206">
        <v>80</v>
      </c>
      <c r="AN6" s="206">
        <v>10</v>
      </c>
      <c r="AO6" s="206">
        <v>30</v>
      </c>
      <c r="AP6" s="213">
        <v>120</v>
      </c>
      <c r="AQ6" s="207">
        <v>65</v>
      </c>
      <c r="AR6" s="207">
        <v>5</v>
      </c>
      <c r="AS6" s="207">
        <v>28</v>
      </c>
      <c r="AT6" s="207">
        <v>98</v>
      </c>
      <c r="AU6" s="208">
        <v>84</v>
      </c>
      <c r="AV6" s="208">
        <v>9</v>
      </c>
      <c r="AW6" s="208">
        <v>32</v>
      </c>
      <c r="AX6" s="208">
        <v>125</v>
      </c>
      <c r="AY6" s="206">
        <v>61</v>
      </c>
      <c r="AZ6" s="209">
        <v>6</v>
      </c>
      <c r="BA6" s="210">
        <v>26</v>
      </c>
      <c r="BB6" s="214">
        <v>93</v>
      </c>
    </row>
    <row r="7" spans="1:54" ht="15.75" x14ac:dyDescent="0.25">
      <c r="A7" s="200">
        <v>44932</v>
      </c>
      <c r="B7" s="201" t="s">
        <v>285</v>
      </c>
      <c r="C7" s="201">
        <v>4</v>
      </c>
      <c r="D7" s="201" t="s">
        <v>291</v>
      </c>
      <c r="E7" s="201">
        <v>138</v>
      </c>
      <c r="F7" s="201">
        <v>74</v>
      </c>
      <c r="G7" s="201">
        <v>83</v>
      </c>
      <c r="H7" s="202">
        <v>157</v>
      </c>
      <c r="I7" s="201">
        <v>119</v>
      </c>
      <c r="J7" s="203">
        <v>51</v>
      </c>
      <c r="K7" s="204">
        <v>170</v>
      </c>
      <c r="L7" s="205">
        <v>465</v>
      </c>
      <c r="M7" s="206">
        <v>107</v>
      </c>
      <c r="N7" s="206">
        <v>15</v>
      </c>
      <c r="O7" s="206">
        <v>69</v>
      </c>
      <c r="P7" s="206">
        <v>191</v>
      </c>
      <c r="Q7" s="207">
        <v>80</v>
      </c>
      <c r="R7" s="207">
        <v>6</v>
      </c>
      <c r="S7" s="207">
        <v>39</v>
      </c>
      <c r="T7" s="207">
        <v>125</v>
      </c>
      <c r="U7" s="208">
        <v>80</v>
      </c>
      <c r="V7" s="208">
        <v>9</v>
      </c>
      <c r="W7" s="208">
        <v>81</v>
      </c>
      <c r="X7" s="208">
        <v>170</v>
      </c>
      <c r="Y7" s="206">
        <v>107</v>
      </c>
      <c r="Z7" s="209">
        <v>12</v>
      </c>
      <c r="AA7" s="210">
        <v>27</v>
      </c>
      <c r="AB7" s="210">
        <v>146</v>
      </c>
      <c r="AC7" s="211">
        <v>44932</v>
      </c>
      <c r="AD7" s="201" t="s">
        <v>285</v>
      </c>
      <c r="AE7" s="201">
        <v>3</v>
      </c>
      <c r="AF7" s="201" t="s">
        <v>298</v>
      </c>
      <c r="AG7" s="201">
        <v>43</v>
      </c>
      <c r="AH7" s="201">
        <v>190</v>
      </c>
      <c r="AI7" s="201">
        <v>87</v>
      </c>
      <c r="AJ7" s="201">
        <v>46</v>
      </c>
      <c r="AK7" s="204">
        <v>133</v>
      </c>
      <c r="AL7" s="212">
        <v>366</v>
      </c>
      <c r="AM7" s="206">
        <v>66</v>
      </c>
      <c r="AN7" s="206">
        <v>7</v>
      </c>
      <c r="AO7" s="206">
        <v>44</v>
      </c>
      <c r="AP7" s="213">
        <v>117</v>
      </c>
      <c r="AQ7" s="207">
        <v>43</v>
      </c>
      <c r="AR7" s="207">
        <v>14</v>
      </c>
      <c r="AS7" s="207">
        <v>24</v>
      </c>
      <c r="AT7" s="207">
        <v>81</v>
      </c>
      <c r="AU7" s="208">
        <v>79</v>
      </c>
      <c r="AV7" s="208">
        <v>16</v>
      </c>
      <c r="AW7" s="208">
        <v>38</v>
      </c>
      <c r="AX7" s="208">
        <v>133</v>
      </c>
      <c r="AY7" s="206">
        <v>30</v>
      </c>
      <c r="AZ7" s="209">
        <v>5</v>
      </c>
      <c r="BA7" s="210">
        <v>30</v>
      </c>
      <c r="BB7" s="214">
        <v>65</v>
      </c>
    </row>
    <row r="8" spans="1:54" ht="15.75" x14ac:dyDescent="0.25">
      <c r="A8" s="200">
        <v>44933</v>
      </c>
      <c r="B8" s="201" t="s">
        <v>320</v>
      </c>
      <c r="C8" s="201">
        <v>4</v>
      </c>
      <c r="D8" s="201" t="s">
        <v>291</v>
      </c>
      <c r="E8" s="201">
        <v>84</v>
      </c>
      <c r="F8" s="201">
        <v>87</v>
      </c>
      <c r="G8" s="201">
        <v>79</v>
      </c>
      <c r="H8" s="202">
        <v>166</v>
      </c>
      <c r="I8" s="201">
        <v>119</v>
      </c>
      <c r="J8" s="203">
        <v>60</v>
      </c>
      <c r="K8" s="204">
        <v>179</v>
      </c>
      <c r="L8" s="205">
        <v>429</v>
      </c>
      <c r="M8" s="206">
        <v>122</v>
      </c>
      <c r="N8" s="206">
        <v>12</v>
      </c>
      <c r="O8" s="206">
        <v>42</v>
      </c>
      <c r="P8" s="206">
        <v>176</v>
      </c>
      <c r="Q8" s="207">
        <v>86</v>
      </c>
      <c r="R8" s="207">
        <v>13</v>
      </c>
      <c r="S8" s="207">
        <v>56</v>
      </c>
      <c r="T8" s="207">
        <v>155</v>
      </c>
      <c r="U8" s="208">
        <v>101</v>
      </c>
      <c r="V8" s="208">
        <v>11</v>
      </c>
      <c r="W8" s="208">
        <v>67</v>
      </c>
      <c r="X8" s="208">
        <v>179</v>
      </c>
      <c r="Y8" s="206">
        <v>107</v>
      </c>
      <c r="Z8" s="209">
        <v>14</v>
      </c>
      <c r="AA8" s="210">
        <v>31</v>
      </c>
      <c r="AB8" s="210">
        <v>152</v>
      </c>
      <c r="AC8" s="211">
        <v>44933</v>
      </c>
      <c r="AD8" s="201" t="s">
        <v>320</v>
      </c>
      <c r="AE8" s="201">
        <v>3</v>
      </c>
      <c r="AF8" s="201" t="s">
        <v>298</v>
      </c>
      <c r="AG8" s="201">
        <v>32</v>
      </c>
      <c r="AH8" s="201">
        <v>208</v>
      </c>
      <c r="AI8" s="201">
        <v>109</v>
      </c>
      <c r="AJ8" s="201">
        <v>50</v>
      </c>
      <c r="AK8" s="204">
        <v>159</v>
      </c>
      <c r="AL8" s="212">
        <v>399</v>
      </c>
      <c r="AM8" s="206">
        <v>94</v>
      </c>
      <c r="AN8" s="206">
        <v>6</v>
      </c>
      <c r="AO8" s="206">
        <v>53</v>
      </c>
      <c r="AP8" s="213">
        <v>153</v>
      </c>
      <c r="AQ8" s="207">
        <v>50</v>
      </c>
      <c r="AR8" s="207">
        <v>9</v>
      </c>
      <c r="AS8" s="207">
        <v>34</v>
      </c>
      <c r="AT8" s="207">
        <v>93</v>
      </c>
      <c r="AU8" s="208">
        <v>95</v>
      </c>
      <c r="AV8" s="208">
        <v>12</v>
      </c>
      <c r="AW8" s="208">
        <v>52</v>
      </c>
      <c r="AX8" s="208">
        <v>159</v>
      </c>
      <c r="AY8" s="206">
        <v>49</v>
      </c>
      <c r="AZ8" s="209">
        <v>3</v>
      </c>
      <c r="BA8" s="210">
        <v>35</v>
      </c>
      <c r="BB8" s="214">
        <v>87</v>
      </c>
    </row>
    <row r="9" spans="1:54" ht="15.75" x14ac:dyDescent="0.25">
      <c r="A9" s="200">
        <v>44934</v>
      </c>
      <c r="B9" s="201" t="s">
        <v>293</v>
      </c>
      <c r="C9" s="201">
        <v>1</v>
      </c>
      <c r="D9" s="201" t="s">
        <v>291</v>
      </c>
      <c r="E9" s="201">
        <v>92</v>
      </c>
      <c r="F9" s="201">
        <v>78</v>
      </c>
      <c r="G9" s="201">
        <v>91</v>
      </c>
      <c r="H9" s="202">
        <v>169</v>
      </c>
      <c r="I9" s="201">
        <v>99</v>
      </c>
      <c r="J9" s="203">
        <v>36</v>
      </c>
      <c r="K9" s="204">
        <v>135</v>
      </c>
      <c r="L9" s="205">
        <v>396</v>
      </c>
      <c r="M9" s="206">
        <v>122</v>
      </c>
      <c r="N9" s="206">
        <v>18</v>
      </c>
      <c r="O9" s="206">
        <v>45</v>
      </c>
      <c r="P9" s="206">
        <v>185</v>
      </c>
      <c r="Q9" s="207">
        <v>111</v>
      </c>
      <c r="R9" s="207">
        <v>18</v>
      </c>
      <c r="S9" s="207">
        <v>48</v>
      </c>
      <c r="T9" s="207">
        <v>177</v>
      </c>
      <c r="U9" s="208">
        <v>68</v>
      </c>
      <c r="V9" s="208">
        <v>13</v>
      </c>
      <c r="W9" s="208">
        <v>54</v>
      </c>
      <c r="X9" s="208">
        <v>135</v>
      </c>
      <c r="Y9" s="206">
        <v>165</v>
      </c>
      <c r="Z9" s="209">
        <v>23</v>
      </c>
      <c r="AA9" s="210">
        <v>39</v>
      </c>
      <c r="AB9" s="210">
        <v>227</v>
      </c>
      <c r="AC9" s="211">
        <v>44934</v>
      </c>
      <c r="AD9" s="201" t="s">
        <v>293</v>
      </c>
      <c r="AE9" s="201">
        <v>2</v>
      </c>
      <c r="AF9" s="201" t="s">
        <v>298</v>
      </c>
      <c r="AG9" s="201">
        <v>43</v>
      </c>
      <c r="AH9" s="201">
        <v>284</v>
      </c>
      <c r="AI9" s="201">
        <v>95</v>
      </c>
      <c r="AJ9" s="201">
        <v>25</v>
      </c>
      <c r="AK9" s="204">
        <v>120</v>
      </c>
      <c r="AL9" s="212">
        <v>447</v>
      </c>
      <c r="AM9" s="206">
        <v>101</v>
      </c>
      <c r="AN9" s="206">
        <v>12</v>
      </c>
      <c r="AO9" s="206">
        <v>27</v>
      </c>
      <c r="AP9" s="213">
        <v>140</v>
      </c>
      <c r="AQ9" s="207">
        <v>63</v>
      </c>
      <c r="AR9" s="207">
        <v>5</v>
      </c>
      <c r="AS9" s="207">
        <v>22</v>
      </c>
      <c r="AT9" s="207">
        <v>90</v>
      </c>
      <c r="AU9" s="208">
        <v>80</v>
      </c>
      <c r="AV9" s="208">
        <v>16</v>
      </c>
      <c r="AW9" s="208">
        <v>24</v>
      </c>
      <c r="AX9" s="208">
        <v>120</v>
      </c>
      <c r="AY9" s="206">
        <v>84</v>
      </c>
      <c r="AZ9" s="209">
        <v>1</v>
      </c>
      <c r="BA9" s="210">
        <v>25</v>
      </c>
      <c r="BB9" s="214">
        <v>110</v>
      </c>
    </row>
    <row r="10" spans="1:54" ht="15.75" x14ac:dyDescent="0.25">
      <c r="A10" s="200">
        <v>44935</v>
      </c>
      <c r="B10" s="201" t="s">
        <v>316</v>
      </c>
      <c r="C10" s="201">
        <v>1</v>
      </c>
      <c r="D10" s="201" t="s">
        <v>291</v>
      </c>
      <c r="E10" s="201">
        <v>117</v>
      </c>
      <c r="F10" s="201">
        <v>82</v>
      </c>
      <c r="G10" s="201">
        <v>58</v>
      </c>
      <c r="H10" s="202">
        <v>140</v>
      </c>
      <c r="I10" s="201">
        <v>106</v>
      </c>
      <c r="J10" s="203">
        <v>32</v>
      </c>
      <c r="K10" s="204">
        <v>138</v>
      </c>
      <c r="L10" s="205">
        <v>395</v>
      </c>
      <c r="M10" s="206">
        <v>95</v>
      </c>
      <c r="N10" s="206">
        <v>14</v>
      </c>
      <c r="O10" s="206">
        <v>50</v>
      </c>
      <c r="P10" s="206">
        <v>159</v>
      </c>
      <c r="Q10" s="207">
        <v>62</v>
      </c>
      <c r="R10" s="207">
        <v>15</v>
      </c>
      <c r="S10" s="207">
        <v>54</v>
      </c>
      <c r="T10" s="207">
        <v>131</v>
      </c>
      <c r="U10" s="208">
        <v>75</v>
      </c>
      <c r="V10" s="208">
        <v>15</v>
      </c>
      <c r="W10" s="208">
        <v>48</v>
      </c>
      <c r="X10" s="208">
        <v>138</v>
      </c>
      <c r="Y10" s="206">
        <v>82</v>
      </c>
      <c r="Z10" s="209">
        <v>14</v>
      </c>
      <c r="AA10" s="210">
        <v>56</v>
      </c>
      <c r="AB10" s="210">
        <v>152</v>
      </c>
      <c r="AC10" s="211">
        <v>44935</v>
      </c>
      <c r="AD10" s="201" t="s">
        <v>316</v>
      </c>
      <c r="AE10" s="201">
        <v>2</v>
      </c>
      <c r="AF10" s="201" t="s">
        <v>298</v>
      </c>
      <c r="AG10" s="201">
        <v>43</v>
      </c>
      <c r="AH10" s="201">
        <v>197</v>
      </c>
      <c r="AI10" s="201">
        <v>84</v>
      </c>
      <c r="AJ10" s="201">
        <v>52</v>
      </c>
      <c r="AK10" s="204">
        <v>136</v>
      </c>
      <c r="AL10" s="212">
        <v>376</v>
      </c>
      <c r="AM10" s="206">
        <v>72</v>
      </c>
      <c r="AN10" s="206">
        <v>9</v>
      </c>
      <c r="AO10" s="206">
        <v>30</v>
      </c>
      <c r="AP10" s="213">
        <v>111</v>
      </c>
      <c r="AQ10" s="207">
        <v>54</v>
      </c>
      <c r="AR10" s="207">
        <v>4</v>
      </c>
      <c r="AS10" s="207">
        <v>37</v>
      </c>
      <c r="AT10" s="207">
        <v>95</v>
      </c>
      <c r="AU10" s="208">
        <v>82</v>
      </c>
      <c r="AV10" s="208">
        <v>12</v>
      </c>
      <c r="AW10" s="208">
        <v>42</v>
      </c>
      <c r="AX10" s="208">
        <v>136</v>
      </c>
      <c r="AY10" s="206">
        <v>44</v>
      </c>
      <c r="AZ10" s="209">
        <v>1</v>
      </c>
      <c r="BA10" s="210">
        <v>25</v>
      </c>
      <c r="BB10" s="214">
        <v>70</v>
      </c>
    </row>
    <row r="11" spans="1:54" ht="15.75" x14ac:dyDescent="0.25">
      <c r="A11" s="200">
        <v>44936</v>
      </c>
      <c r="B11" s="201" t="s">
        <v>317</v>
      </c>
      <c r="C11" s="201">
        <v>3</v>
      </c>
      <c r="D11" s="201" t="s">
        <v>291</v>
      </c>
      <c r="E11" s="201">
        <v>83</v>
      </c>
      <c r="F11" s="201">
        <v>67</v>
      </c>
      <c r="G11" s="201">
        <v>75</v>
      </c>
      <c r="H11" s="202">
        <v>142</v>
      </c>
      <c r="I11" s="201">
        <v>102</v>
      </c>
      <c r="J11" s="203">
        <v>68</v>
      </c>
      <c r="K11" s="204">
        <v>170</v>
      </c>
      <c r="L11" s="205">
        <v>395</v>
      </c>
      <c r="M11" s="206">
        <v>99</v>
      </c>
      <c r="N11" s="206">
        <v>15</v>
      </c>
      <c r="O11" s="206">
        <v>58</v>
      </c>
      <c r="P11" s="206">
        <v>172</v>
      </c>
      <c r="Q11" s="207">
        <v>80</v>
      </c>
      <c r="R11" s="207">
        <v>11</v>
      </c>
      <c r="S11" s="207">
        <v>61</v>
      </c>
      <c r="T11" s="207">
        <v>152</v>
      </c>
      <c r="U11" s="208">
        <v>85</v>
      </c>
      <c r="V11" s="208">
        <v>16</v>
      </c>
      <c r="W11" s="208">
        <v>69</v>
      </c>
      <c r="X11" s="208">
        <v>170</v>
      </c>
      <c r="Y11" s="206">
        <v>94</v>
      </c>
      <c r="Z11" s="209">
        <v>10</v>
      </c>
      <c r="AA11" s="210">
        <v>50</v>
      </c>
      <c r="AB11" s="210">
        <v>154</v>
      </c>
      <c r="AC11" s="211">
        <v>44936</v>
      </c>
      <c r="AD11" s="201" t="s">
        <v>317</v>
      </c>
      <c r="AE11" s="201">
        <v>4</v>
      </c>
      <c r="AF11" s="201" t="s">
        <v>298</v>
      </c>
      <c r="AG11" s="201">
        <v>37</v>
      </c>
      <c r="AH11" s="201">
        <v>192</v>
      </c>
      <c r="AI11" s="201">
        <v>128</v>
      </c>
      <c r="AJ11" s="201">
        <v>51</v>
      </c>
      <c r="AK11" s="204">
        <v>179</v>
      </c>
      <c r="AL11" s="212">
        <v>408</v>
      </c>
      <c r="AM11" s="206">
        <v>88</v>
      </c>
      <c r="AN11" s="206">
        <v>10</v>
      </c>
      <c r="AO11" s="206">
        <v>58</v>
      </c>
      <c r="AP11" s="213">
        <v>156</v>
      </c>
      <c r="AQ11" s="207">
        <v>55</v>
      </c>
      <c r="AR11" s="207">
        <v>9</v>
      </c>
      <c r="AS11" s="207">
        <v>26</v>
      </c>
      <c r="AT11" s="207">
        <v>90</v>
      </c>
      <c r="AU11" s="208">
        <v>103</v>
      </c>
      <c r="AV11" s="208">
        <v>8</v>
      </c>
      <c r="AW11" s="208">
        <v>68</v>
      </c>
      <c r="AX11" s="208">
        <v>179</v>
      </c>
      <c r="AY11" s="206">
        <v>40</v>
      </c>
      <c r="AZ11" s="209">
        <v>11</v>
      </c>
      <c r="BA11" s="210">
        <v>16</v>
      </c>
      <c r="BB11" s="214">
        <v>67</v>
      </c>
    </row>
    <row r="12" spans="1:54" ht="15.75" x14ac:dyDescent="0.25">
      <c r="A12" s="200">
        <v>44937</v>
      </c>
      <c r="B12" s="201" t="s">
        <v>318</v>
      </c>
      <c r="C12" s="201">
        <v>3</v>
      </c>
      <c r="D12" s="201" t="s">
        <v>291</v>
      </c>
      <c r="E12" s="201">
        <v>92</v>
      </c>
      <c r="F12" s="201">
        <v>66</v>
      </c>
      <c r="G12" s="201">
        <v>74</v>
      </c>
      <c r="H12" s="202">
        <v>140</v>
      </c>
      <c r="I12" s="201">
        <v>87</v>
      </c>
      <c r="J12" s="203">
        <v>56</v>
      </c>
      <c r="K12" s="204">
        <v>143</v>
      </c>
      <c r="L12" s="205">
        <v>375</v>
      </c>
      <c r="M12" s="206">
        <v>106</v>
      </c>
      <c r="N12" s="206">
        <v>18</v>
      </c>
      <c r="O12" s="206">
        <v>59</v>
      </c>
      <c r="P12" s="206">
        <v>183</v>
      </c>
      <c r="Q12" s="207">
        <v>104</v>
      </c>
      <c r="R12" s="207">
        <v>17</v>
      </c>
      <c r="S12" s="207">
        <v>49</v>
      </c>
      <c r="T12" s="207">
        <v>170</v>
      </c>
      <c r="U12" s="208">
        <v>63</v>
      </c>
      <c r="V12" s="208">
        <v>15</v>
      </c>
      <c r="W12" s="208">
        <v>65</v>
      </c>
      <c r="X12" s="208">
        <v>143</v>
      </c>
      <c r="Y12" s="206">
        <v>147</v>
      </c>
      <c r="Z12" s="209">
        <v>20</v>
      </c>
      <c r="AA12" s="210">
        <v>43</v>
      </c>
      <c r="AB12" s="210">
        <v>210</v>
      </c>
      <c r="AC12" s="211">
        <v>44937</v>
      </c>
      <c r="AD12" s="201" t="s">
        <v>318</v>
      </c>
      <c r="AE12" s="201">
        <v>4</v>
      </c>
      <c r="AF12" s="201" t="s">
        <v>298</v>
      </c>
      <c r="AG12" s="201">
        <v>44</v>
      </c>
      <c r="AH12" s="201">
        <v>293</v>
      </c>
      <c r="AI12" s="201">
        <v>118</v>
      </c>
      <c r="AJ12" s="201">
        <v>51</v>
      </c>
      <c r="AK12" s="204">
        <v>169</v>
      </c>
      <c r="AL12" s="212">
        <v>506</v>
      </c>
      <c r="AM12" s="206">
        <v>104</v>
      </c>
      <c r="AN12" s="206">
        <v>11</v>
      </c>
      <c r="AO12" s="206">
        <v>38</v>
      </c>
      <c r="AP12" s="213">
        <v>153</v>
      </c>
      <c r="AQ12" s="207">
        <v>79</v>
      </c>
      <c r="AR12" s="207">
        <v>6</v>
      </c>
      <c r="AS12" s="207">
        <v>26</v>
      </c>
      <c r="AT12" s="207">
        <v>111</v>
      </c>
      <c r="AU12" s="208">
        <v>110</v>
      </c>
      <c r="AV12" s="208">
        <v>13</v>
      </c>
      <c r="AW12" s="208">
        <v>46</v>
      </c>
      <c r="AX12" s="208">
        <v>169</v>
      </c>
      <c r="AY12" s="206">
        <v>73</v>
      </c>
      <c r="AZ12" s="209">
        <v>4</v>
      </c>
      <c r="BA12" s="210">
        <v>18</v>
      </c>
      <c r="BB12" s="214">
        <v>95</v>
      </c>
    </row>
    <row r="13" spans="1:54" ht="15.75" x14ac:dyDescent="0.25">
      <c r="A13" s="200">
        <v>44938</v>
      </c>
      <c r="B13" s="201" t="s">
        <v>319</v>
      </c>
      <c r="C13" s="201">
        <v>2</v>
      </c>
      <c r="D13" s="201" t="s">
        <v>291</v>
      </c>
      <c r="E13" s="201">
        <v>143</v>
      </c>
      <c r="F13" s="201">
        <v>95</v>
      </c>
      <c r="G13" s="201">
        <v>70</v>
      </c>
      <c r="H13" s="202">
        <v>165</v>
      </c>
      <c r="I13" s="201">
        <v>121</v>
      </c>
      <c r="J13" s="203">
        <v>51</v>
      </c>
      <c r="K13" s="204">
        <v>172</v>
      </c>
      <c r="L13" s="205">
        <v>480</v>
      </c>
      <c r="M13" s="206">
        <v>142</v>
      </c>
      <c r="N13" s="206">
        <v>7</v>
      </c>
      <c r="O13" s="206">
        <v>61</v>
      </c>
      <c r="P13" s="206">
        <v>210</v>
      </c>
      <c r="Q13" s="207">
        <v>116</v>
      </c>
      <c r="R13" s="207">
        <v>15</v>
      </c>
      <c r="S13" s="207">
        <v>41</v>
      </c>
      <c r="T13" s="207">
        <v>172</v>
      </c>
      <c r="U13" s="208">
        <v>100</v>
      </c>
      <c r="V13" s="208">
        <v>9</v>
      </c>
      <c r="W13" s="208">
        <v>63</v>
      </c>
      <c r="X13" s="208">
        <v>172</v>
      </c>
      <c r="Y13" s="206">
        <v>158</v>
      </c>
      <c r="Z13" s="209">
        <v>13</v>
      </c>
      <c r="AA13" s="210">
        <v>39</v>
      </c>
      <c r="AB13" s="210">
        <v>210</v>
      </c>
      <c r="AC13" s="211">
        <v>44938</v>
      </c>
      <c r="AD13" s="201" t="s">
        <v>319</v>
      </c>
      <c r="AE13" s="201">
        <v>1</v>
      </c>
      <c r="AF13" s="201" t="s">
        <v>298</v>
      </c>
      <c r="AG13" s="201">
        <v>57</v>
      </c>
      <c r="AH13" s="201">
        <v>242</v>
      </c>
      <c r="AI13" s="201">
        <v>100</v>
      </c>
      <c r="AJ13" s="201">
        <v>34</v>
      </c>
      <c r="AK13" s="204">
        <v>134</v>
      </c>
      <c r="AL13" s="212">
        <v>433</v>
      </c>
      <c r="AM13" s="206">
        <v>103</v>
      </c>
      <c r="AN13" s="206">
        <v>7</v>
      </c>
      <c r="AO13" s="206">
        <v>45</v>
      </c>
      <c r="AP13" s="213">
        <v>155</v>
      </c>
      <c r="AQ13" s="207">
        <v>66</v>
      </c>
      <c r="AR13" s="207">
        <v>9</v>
      </c>
      <c r="AS13" s="207">
        <v>33</v>
      </c>
      <c r="AT13" s="207">
        <v>108</v>
      </c>
      <c r="AU13" s="208">
        <v>85</v>
      </c>
      <c r="AV13" s="208">
        <v>12</v>
      </c>
      <c r="AW13" s="208">
        <v>37</v>
      </c>
      <c r="AX13" s="208">
        <v>134</v>
      </c>
      <c r="AY13" s="206">
        <v>84</v>
      </c>
      <c r="AZ13" s="209">
        <v>4</v>
      </c>
      <c r="BA13" s="210">
        <v>41</v>
      </c>
      <c r="BB13" s="214">
        <v>129</v>
      </c>
    </row>
    <row r="14" spans="1:54" ht="15.75" x14ac:dyDescent="0.25">
      <c r="A14" s="200">
        <v>44939</v>
      </c>
      <c r="B14" s="201" t="s">
        <v>285</v>
      </c>
      <c r="C14" s="201">
        <v>2</v>
      </c>
      <c r="D14" s="201" t="s">
        <v>291</v>
      </c>
      <c r="E14" s="201">
        <v>165</v>
      </c>
      <c r="F14" s="201">
        <v>73</v>
      </c>
      <c r="G14" s="201">
        <v>90</v>
      </c>
      <c r="H14" s="202">
        <v>163</v>
      </c>
      <c r="I14" s="201">
        <v>97</v>
      </c>
      <c r="J14" s="203">
        <v>77</v>
      </c>
      <c r="K14" s="204">
        <v>174</v>
      </c>
      <c r="L14" s="205">
        <v>502</v>
      </c>
      <c r="M14" s="206">
        <v>108</v>
      </c>
      <c r="N14" s="206">
        <v>6</v>
      </c>
      <c r="O14" s="206">
        <v>68</v>
      </c>
      <c r="P14" s="206">
        <v>182</v>
      </c>
      <c r="Q14" s="207">
        <v>105</v>
      </c>
      <c r="R14" s="207">
        <v>12</v>
      </c>
      <c r="S14" s="207">
        <v>55</v>
      </c>
      <c r="T14" s="207">
        <v>172</v>
      </c>
      <c r="U14" s="208">
        <v>103</v>
      </c>
      <c r="V14" s="208">
        <v>8</v>
      </c>
      <c r="W14" s="208">
        <v>63</v>
      </c>
      <c r="X14" s="208">
        <v>174</v>
      </c>
      <c r="Y14" s="206">
        <v>110</v>
      </c>
      <c r="Z14" s="209">
        <v>10</v>
      </c>
      <c r="AA14" s="210">
        <v>60</v>
      </c>
      <c r="AB14" s="210">
        <v>180</v>
      </c>
      <c r="AC14" s="211">
        <v>44939</v>
      </c>
      <c r="AD14" s="201" t="s">
        <v>285</v>
      </c>
      <c r="AE14" s="201">
        <v>1</v>
      </c>
      <c r="AF14" s="201" t="s">
        <v>298</v>
      </c>
      <c r="AG14" s="201">
        <v>40</v>
      </c>
      <c r="AH14" s="201">
        <v>223</v>
      </c>
      <c r="AI14" s="201">
        <v>79</v>
      </c>
      <c r="AJ14" s="201">
        <v>33</v>
      </c>
      <c r="AK14" s="204">
        <v>112</v>
      </c>
      <c r="AL14" s="212">
        <v>375</v>
      </c>
      <c r="AM14" s="206">
        <v>94</v>
      </c>
      <c r="AN14" s="206">
        <v>12</v>
      </c>
      <c r="AO14" s="206">
        <v>23</v>
      </c>
      <c r="AP14" s="213">
        <v>129</v>
      </c>
      <c r="AQ14" s="207">
        <v>66</v>
      </c>
      <c r="AR14" s="207">
        <v>4</v>
      </c>
      <c r="AS14" s="207">
        <v>30</v>
      </c>
      <c r="AT14" s="207">
        <v>100</v>
      </c>
      <c r="AU14" s="208">
        <v>78</v>
      </c>
      <c r="AV14" s="208">
        <v>11</v>
      </c>
      <c r="AW14" s="208">
        <v>23</v>
      </c>
      <c r="AX14" s="208">
        <v>112</v>
      </c>
      <c r="AY14" s="206">
        <v>82</v>
      </c>
      <c r="AZ14" s="209">
        <v>5</v>
      </c>
      <c r="BA14" s="210">
        <v>30</v>
      </c>
      <c r="BB14" s="214">
        <v>117</v>
      </c>
    </row>
    <row r="15" spans="1:54" ht="15.75" x14ac:dyDescent="0.25">
      <c r="A15" s="200">
        <v>44940</v>
      </c>
      <c r="B15" s="201" t="s">
        <v>320</v>
      </c>
      <c r="C15" s="201">
        <v>4</v>
      </c>
      <c r="D15" s="201" t="s">
        <v>291</v>
      </c>
      <c r="E15" s="201">
        <v>171</v>
      </c>
      <c r="F15" s="201">
        <v>75</v>
      </c>
      <c r="G15" s="201">
        <v>81</v>
      </c>
      <c r="H15" s="202">
        <v>156</v>
      </c>
      <c r="I15" s="201">
        <v>116</v>
      </c>
      <c r="J15" s="203">
        <v>75</v>
      </c>
      <c r="K15" s="204">
        <v>191</v>
      </c>
      <c r="L15" s="205">
        <v>518</v>
      </c>
      <c r="M15" s="206">
        <v>128</v>
      </c>
      <c r="N15" s="206">
        <v>15</v>
      </c>
      <c r="O15" s="206">
        <v>59</v>
      </c>
      <c r="P15" s="206">
        <v>202</v>
      </c>
      <c r="Q15" s="207">
        <v>101</v>
      </c>
      <c r="R15" s="207">
        <v>18</v>
      </c>
      <c r="S15" s="207">
        <v>70</v>
      </c>
      <c r="T15" s="207">
        <v>189</v>
      </c>
      <c r="U15" s="208">
        <v>96</v>
      </c>
      <c r="V15" s="208">
        <v>14</v>
      </c>
      <c r="W15" s="208">
        <v>81</v>
      </c>
      <c r="X15" s="208">
        <v>191</v>
      </c>
      <c r="Y15" s="206">
        <v>133</v>
      </c>
      <c r="Z15" s="209">
        <v>19</v>
      </c>
      <c r="AA15" s="210">
        <v>48</v>
      </c>
      <c r="AB15" s="210">
        <v>200</v>
      </c>
      <c r="AC15" s="211">
        <v>44940</v>
      </c>
      <c r="AD15" s="201" t="s">
        <v>320</v>
      </c>
      <c r="AE15" s="201">
        <v>3</v>
      </c>
      <c r="AF15" s="201" t="s">
        <v>298</v>
      </c>
      <c r="AG15" s="201">
        <v>39</v>
      </c>
      <c r="AH15" s="201">
        <v>287</v>
      </c>
      <c r="AI15" s="201">
        <v>89</v>
      </c>
      <c r="AJ15" s="201">
        <v>42</v>
      </c>
      <c r="AK15" s="204">
        <v>131</v>
      </c>
      <c r="AL15" s="212">
        <v>457</v>
      </c>
      <c r="AM15" s="206">
        <v>109</v>
      </c>
      <c r="AN15" s="206">
        <v>10</v>
      </c>
      <c r="AO15" s="206">
        <v>54</v>
      </c>
      <c r="AP15" s="213">
        <v>173</v>
      </c>
      <c r="AQ15" s="207">
        <v>77</v>
      </c>
      <c r="AR15" s="207">
        <v>9</v>
      </c>
      <c r="AS15" s="207">
        <v>26</v>
      </c>
      <c r="AT15" s="207">
        <v>112</v>
      </c>
      <c r="AU15" s="208">
        <v>78</v>
      </c>
      <c r="AV15" s="208">
        <v>11</v>
      </c>
      <c r="AW15" s="208">
        <v>42</v>
      </c>
      <c r="AX15" s="208">
        <v>131</v>
      </c>
      <c r="AY15" s="206">
        <v>108</v>
      </c>
      <c r="AZ15" s="209">
        <v>8</v>
      </c>
      <c r="BA15" s="210">
        <v>38</v>
      </c>
      <c r="BB15" s="214">
        <v>154</v>
      </c>
    </row>
    <row r="16" spans="1:54" ht="15.75" x14ac:dyDescent="0.25">
      <c r="A16" s="200">
        <v>44941</v>
      </c>
      <c r="B16" s="201" t="s">
        <v>293</v>
      </c>
      <c r="C16" s="201">
        <v>4</v>
      </c>
      <c r="D16" s="201" t="s">
        <v>291</v>
      </c>
      <c r="E16" s="201">
        <v>193</v>
      </c>
      <c r="F16" s="201">
        <v>59</v>
      </c>
      <c r="G16" s="201">
        <v>76</v>
      </c>
      <c r="H16" s="202">
        <v>135</v>
      </c>
      <c r="I16" s="201">
        <v>101</v>
      </c>
      <c r="J16" s="203">
        <v>78</v>
      </c>
      <c r="K16" s="204">
        <v>179</v>
      </c>
      <c r="L16" s="205">
        <v>507</v>
      </c>
      <c r="M16" s="206">
        <v>125</v>
      </c>
      <c r="N16" s="206">
        <v>8</v>
      </c>
      <c r="O16" s="206">
        <v>50</v>
      </c>
      <c r="P16" s="206">
        <v>183</v>
      </c>
      <c r="Q16" s="207">
        <v>105</v>
      </c>
      <c r="R16" s="207">
        <v>18</v>
      </c>
      <c r="S16" s="207">
        <v>60</v>
      </c>
      <c r="T16" s="207">
        <v>183</v>
      </c>
      <c r="U16" s="208">
        <v>92</v>
      </c>
      <c r="V16" s="208">
        <v>8</v>
      </c>
      <c r="W16" s="208">
        <v>79</v>
      </c>
      <c r="X16" s="208">
        <v>179</v>
      </c>
      <c r="Y16" s="206">
        <v>138</v>
      </c>
      <c r="Z16" s="209">
        <v>18</v>
      </c>
      <c r="AA16" s="210">
        <v>31</v>
      </c>
      <c r="AB16" s="210">
        <v>187</v>
      </c>
      <c r="AC16" s="211">
        <v>44941</v>
      </c>
      <c r="AD16" s="201" t="s">
        <v>293</v>
      </c>
      <c r="AE16" s="201">
        <v>3</v>
      </c>
      <c r="AF16" s="201" t="s">
        <v>298</v>
      </c>
      <c r="AG16" s="201">
        <v>42</v>
      </c>
      <c r="AH16" s="201">
        <v>253</v>
      </c>
      <c r="AI16" s="201">
        <v>115</v>
      </c>
      <c r="AJ16" s="201">
        <v>55</v>
      </c>
      <c r="AK16" s="204">
        <v>170</v>
      </c>
      <c r="AL16" s="212">
        <v>465</v>
      </c>
      <c r="AM16" s="206">
        <v>84</v>
      </c>
      <c r="AN16" s="206">
        <v>9</v>
      </c>
      <c r="AO16" s="206">
        <v>48</v>
      </c>
      <c r="AP16" s="213">
        <v>141</v>
      </c>
      <c r="AQ16" s="207">
        <v>82</v>
      </c>
      <c r="AR16" s="207">
        <v>9</v>
      </c>
      <c r="AS16" s="207">
        <v>28</v>
      </c>
      <c r="AT16" s="207">
        <v>119</v>
      </c>
      <c r="AU16" s="208">
        <v>94</v>
      </c>
      <c r="AV16" s="208">
        <v>15</v>
      </c>
      <c r="AW16" s="208">
        <v>61</v>
      </c>
      <c r="AX16" s="208">
        <v>170</v>
      </c>
      <c r="AY16" s="206">
        <v>72</v>
      </c>
      <c r="AZ16" s="209">
        <v>3</v>
      </c>
      <c r="BA16" s="210">
        <v>15</v>
      </c>
      <c r="BB16" s="214">
        <v>90</v>
      </c>
    </row>
    <row r="17" spans="1:54" ht="15.75" x14ac:dyDescent="0.25">
      <c r="A17" s="200">
        <v>44942</v>
      </c>
      <c r="B17" s="201" t="s">
        <v>316</v>
      </c>
      <c r="C17" s="201">
        <v>1</v>
      </c>
      <c r="D17" s="201" t="s">
        <v>291</v>
      </c>
      <c r="E17" s="201">
        <v>143</v>
      </c>
      <c r="F17" s="201">
        <v>62</v>
      </c>
      <c r="G17" s="201">
        <v>87</v>
      </c>
      <c r="H17" s="202">
        <v>149</v>
      </c>
      <c r="I17" s="201">
        <v>105</v>
      </c>
      <c r="J17" s="203">
        <v>55</v>
      </c>
      <c r="K17" s="204">
        <v>160</v>
      </c>
      <c r="L17" s="205">
        <v>452</v>
      </c>
      <c r="M17" s="206">
        <v>88</v>
      </c>
      <c r="N17" s="206">
        <v>12</v>
      </c>
      <c r="O17" s="206">
        <v>37</v>
      </c>
      <c r="P17" s="206">
        <v>137</v>
      </c>
      <c r="Q17" s="207">
        <v>80</v>
      </c>
      <c r="R17" s="207">
        <v>19</v>
      </c>
      <c r="S17" s="207">
        <v>59</v>
      </c>
      <c r="T17" s="207">
        <v>158</v>
      </c>
      <c r="U17" s="208">
        <v>87</v>
      </c>
      <c r="V17" s="208">
        <v>19</v>
      </c>
      <c r="W17" s="208">
        <v>54</v>
      </c>
      <c r="X17" s="208">
        <v>160</v>
      </c>
      <c r="Y17" s="206">
        <v>81</v>
      </c>
      <c r="Z17" s="209">
        <v>12</v>
      </c>
      <c r="AA17" s="210">
        <v>42</v>
      </c>
      <c r="AB17" s="210">
        <v>135</v>
      </c>
      <c r="AC17" s="211">
        <v>44942</v>
      </c>
      <c r="AD17" s="201" t="s">
        <v>316</v>
      </c>
      <c r="AE17" s="201">
        <v>2</v>
      </c>
      <c r="AF17" s="201" t="s">
        <v>298</v>
      </c>
      <c r="AG17" s="201">
        <v>21</v>
      </c>
      <c r="AH17" s="201">
        <v>207</v>
      </c>
      <c r="AI17" s="201">
        <v>132</v>
      </c>
      <c r="AJ17" s="201">
        <v>51</v>
      </c>
      <c r="AK17" s="204">
        <v>183</v>
      </c>
      <c r="AL17" s="212">
        <v>411</v>
      </c>
      <c r="AM17" s="206">
        <v>105</v>
      </c>
      <c r="AN17" s="206">
        <v>12</v>
      </c>
      <c r="AO17" s="206">
        <v>45</v>
      </c>
      <c r="AP17" s="213">
        <v>162</v>
      </c>
      <c r="AQ17" s="207">
        <v>55</v>
      </c>
      <c r="AR17" s="207">
        <v>4</v>
      </c>
      <c r="AS17" s="207">
        <v>36</v>
      </c>
      <c r="AT17" s="207">
        <v>95</v>
      </c>
      <c r="AU17" s="208">
        <v>118</v>
      </c>
      <c r="AV17" s="208">
        <v>15</v>
      </c>
      <c r="AW17" s="208">
        <v>50</v>
      </c>
      <c r="AX17" s="208">
        <v>183</v>
      </c>
      <c r="AY17" s="206">
        <v>42</v>
      </c>
      <c r="AZ17" s="209">
        <v>1</v>
      </c>
      <c r="BA17" s="210">
        <v>31</v>
      </c>
      <c r="BB17" s="214">
        <v>74</v>
      </c>
    </row>
    <row r="18" spans="1:54" ht="15.75" x14ac:dyDescent="0.25">
      <c r="A18" s="200">
        <v>44943</v>
      </c>
      <c r="B18" s="201" t="s">
        <v>317</v>
      </c>
      <c r="C18" s="201">
        <v>1</v>
      </c>
      <c r="D18" s="201" t="s">
        <v>291</v>
      </c>
      <c r="E18" s="201">
        <v>93</v>
      </c>
      <c r="F18" s="201">
        <v>65</v>
      </c>
      <c r="G18" s="201">
        <v>59</v>
      </c>
      <c r="H18" s="202">
        <v>124</v>
      </c>
      <c r="I18" s="201">
        <v>110</v>
      </c>
      <c r="J18" s="203">
        <v>50</v>
      </c>
      <c r="K18" s="204">
        <v>160</v>
      </c>
      <c r="L18" s="205">
        <v>377</v>
      </c>
      <c r="M18" s="206">
        <v>103</v>
      </c>
      <c r="N18" s="206">
        <v>12</v>
      </c>
      <c r="O18" s="206">
        <v>39</v>
      </c>
      <c r="P18" s="206">
        <v>154</v>
      </c>
      <c r="Q18" s="207">
        <v>91</v>
      </c>
      <c r="R18" s="207">
        <v>13</v>
      </c>
      <c r="S18" s="207">
        <v>32</v>
      </c>
      <c r="T18" s="207">
        <v>136</v>
      </c>
      <c r="U18" s="208">
        <v>87</v>
      </c>
      <c r="V18" s="208">
        <v>21</v>
      </c>
      <c r="W18" s="208">
        <v>52</v>
      </c>
      <c r="X18" s="208">
        <v>160</v>
      </c>
      <c r="Y18" s="206">
        <v>107</v>
      </c>
      <c r="Z18" s="209">
        <v>4</v>
      </c>
      <c r="AA18" s="210">
        <v>19</v>
      </c>
      <c r="AB18" s="210">
        <v>130</v>
      </c>
      <c r="AC18" s="211">
        <v>44943</v>
      </c>
      <c r="AD18" s="201" t="s">
        <v>317</v>
      </c>
      <c r="AE18" s="201">
        <v>2</v>
      </c>
      <c r="AF18" s="201" t="s">
        <v>298</v>
      </c>
      <c r="AG18" s="201">
        <v>45</v>
      </c>
      <c r="AH18" s="201">
        <v>204</v>
      </c>
      <c r="AI18" s="201">
        <v>94</v>
      </c>
      <c r="AJ18" s="201">
        <v>37</v>
      </c>
      <c r="AK18" s="204">
        <v>131</v>
      </c>
      <c r="AL18" s="212">
        <v>380</v>
      </c>
      <c r="AM18" s="206">
        <v>86</v>
      </c>
      <c r="AN18" s="206">
        <v>6</v>
      </c>
      <c r="AO18" s="206">
        <v>27</v>
      </c>
      <c r="AP18" s="213">
        <v>119</v>
      </c>
      <c r="AQ18" s="207">
        <v>59</v>
      </c>
      <c r="AR18" s="207">
        <v>9</v>
      </c>
      <c r="AS18" s="207">
        <v>31</v>
      </c>
      <c r="AT18" s="207">
        <v>99</v>
      </c>
      <c r="AU18" s="208">
        <v>77</v>
      </c>
      <c r="AV18" s="208">
        <v>9</v>
      </c>
      <c r="AW18" s="208">
        <v>45</v>
      </c>
      <c r="AX18" s="208">
        <v>131</v>
      </c>
      <c r="AY18" s="206">
        <v>68</v>
      </c>
      <c r="AZ18" s="209">
        <v>6</v>
      </c>
      <c r="BA18" s="210">
        <v>13</v>
      </c>
      <c r="BB18" s="214">
        <v>87</v>
      </c>
    </row>
    <row r="19" spans="1:54" ht="15.75" x14ac:dyDescent="0.25">
      <c r="A19" s="200">
        <v>44944</v>
      </c>
      <c r="B19" s="201" t="s">
        <v>318</v>
      </c>
      <c r="C19" s="201">
        <v>3</v>
      </c>
      <c r="D19" s="201" t="s">
        <v>291</v>
      </c>
      <c r="E19" s="201">
        <v>138</v>
      </c>
      <c r="F19" s="201">
        <v>70</v>
      </c>
      <c r="G19" s="201">
        <v>62</v>
      </c>
      <c r="H19" s="202">
        <v>132</v>
      </c>
      <c r="I19" s="201">
        <v>103</v>
      </c>
      <c r="J19" s="203">
        <v>49</v>
      </c>
      <c r="K19" s="204">
        <v>152</v>
      </c>
      <c r="L19" s="205">
        <v>422</v>
      </c>
      <c r="M19" s="206">
        <v>110</v>
      </c>
      <c r="N19" s="206">
        <v>30</v>
      </c>
      <c r="O19" s="206">
        <v>74</v>
      </c>
      <c r="P19" s="206">
        <v>214</v>
      </c>
      <c r="Q19" s="207">
        <v>112</v>
      </c>
      <c r="R19" s="207">
        <v>13</v>
      </c>
      <c r="S19" s="207">
        <v>44</v>
      </c>
      <c r="T19" s="207">
        <v>169</v>
      </c>
      <c r="U19" s="208">
        <v>72</v>
      </c>
      <c r="V19" s="208">
        <v>16</v>
      </c>
      <c r="W19" s="208">
        <v>64</v>
      </c>
      <c r="X19" s="208">
        <v>152</v>
      </c>
      <c r="Y19" s="206">
        <v>150</v>
      </c>
      <c r="Z19" s="209">
        <v>27</v>
      </c>
      <c r="AA19" s="210">
        <v>54</v>
      </c>
      <c r="AB19" s="210">
        <v>231</v>
      </c>
      <c r="AC19" s="211">
        <v>44944</v>
      </c>
      <c r="AD19" s="201" t="s">
        <v>318</v>
      </c>
      <c r="AE19" s="201">
        <v>4</v>
      </c>
      <c r="AF19" s="201" t="s">
        <v>298</v>
      </c>
      <c r="AG19" s="201">
        <v>45</v>
      </c>
      <c r="AH19" s="201">
        <v>278</v>
      </c>
      <c r="AI19" s="201">
        <v>109</v>
      </c>
      <c r="AJ19" s="201">
        <v>28</v>
      </c>
      <c r="AK19" s="204">
        <v>137</v>
      </c>
      <c r="AL19" s="212">
        <v>460</v>
      </c>
      <c r="AM19" s="206">
        <v>105</v>
      </c>
      <c r="AN19" s="206">
        <v>5</v>
      </c>
      <c r="AO19" s="206">
        <v>31</v>
      </c>
      <c r="AP19" s="213">
        <v>141</v>
      </c>
      <c r="AQ19" s="207">
        <v>71</v>
      </c>
      <c r="AR19" s="207">
        <v>7</v>
      </c>
      <c r="AS19" s="207">
        <v>20</v>
      </c>
      <c r="AT19" s="207">
        <v>98</v>
      </c>
      <c r="AU19" s="208">
        <v>94</v>
      </c>
      <c r="AV19" s="208">
        <v>5</v>
      </c>
      <c r="AW19" s="208">
        <v>38</v>
      </c>
      <c r="AX19" s="208">
        <v>137</v>
      </c>
      <c r="AY19" s="206">
        <v>82</v>
      </c>
      <c r="AZ19" s="209">
        <v>7</v>
      </c>
      <c r="BA19" s="210">
        <v>13</v>
      </c>
      <c r="BB19" s="214">
        <v>102</v>
      </c>
    </row>
    <row r="20" spans="1:54" ht="15.75" x14ac:dyDescent="0.25">
      <c r="A20" s="200">
        <v>44945</v>
      </c>
      <c r="B20" s="201" t="s">
        <v>319</v>
      </c>
      <c r="C20" s="201">
        <v>3</v>
      </c>
      <c r="D20" s="201" t="s">
        <v>291</v>
      </c>
      <c r="E20" s="201">
        <v>144</v>
      </c>
      <c r="F20" s="201">
        <v>65</v>
      </c>
      <c r="G20" s="201">
        <v>97</v>
      </c>
      <c r="H20" s="202">
        <v>162</v>
      </c>
      <c r="I20" s="201">
        <v>100</v>
      </c>
      <c r="J20" s="203">
        <v>46</v>
      </c>
      <c r="K20" s="204">
        <v>146</v>
      </c>
      <c r="L20" s="205">
        <v>452</v>
      </c>
      <c r="M20" s="206">
        <v>122</v>
      </c>
      <c r="N20" s="206">
        <v>5</v>
      </c>
      <c r="O20" s="206">
        <v>46</v>
      </c>
      <c r="P20" s="206">
        <v>173</v>
      </c>
      <c r="Q20" s="207">
        <v>109</v>
      </c>
      <c r="R20" s="207">
        <v>7</v>
      </c>
      <c r="S20" s="207">
        <v>31</v>
      </c>
      <c r="T20" s="207">
        <v>147</v>
      </c>
      <c r="U20" s="208">
        <v>91</v>
      </c>
      <c r="V20" s="208">
        <v>4</v>
      </c>
      <c r="W20" s="208">
        <v>51</v>
      </c>
      <c r="X20" s="208">
        <v>146</v>
      </c>
      <c r="Y20" s="206">
        <v>140</v>
      </c>
      <c r="Z20" s="209">
        <v>8</v>
      </c>
      <c r="AA20" s="210">
        <v>26</v>
      </c>
      <c r="AB20" s="210">
        <v>174</v>
      </c>
      <c r="AC20" s="211">
        <v>44945</v>
      </c>
      <c r="AD20" s="201" t="s">
        <v>319</v>
      </c>
      <c r="AE20" s="201">
        <v>4</v>
      </c>
      <c r="AF20" s="201" t="s">
        <v>298</v>
      </c>
      <c r="AG20" s="201">
        <v>59</v>
      </c>
      <c r="AH20" s="201">
        <v>281</v>
      </c>
      <c r="AI20" s="201">
        <v>134</v>
      </c>
      <c r="AJ20" s="201">
        <v>51</v>
      </c>
      <c r="AK20" s="204">
        <v>185</v>
      </c>
      <c r="AL20" s="212">
        <v>525</v>
      </c>
      <c r="AM20" s="206">
        <v>94</v>
      </c>
      <c r="AN20" s="206">
        <v>12</v>
      </c>
      <c r="AO20" s="206">
        <v>40</v>
      </c>
      <c r="AP20" s="213">
        <v>146</v>
      </c>
      <c r="AQ20" s="207">
        <v>65</v>
      </c>
      <c r="AR20" s="207">
        <v>4</v>
      </c>
      <c r="AS20" s="207">
        <v>20</v>
      </c>
      <c r="AT20" s="207">
        <v>89</v>
      </c>
      <c r="AU20" s="208">
        <v>122</v>
      </c>
      <c r="AV20" s="208">
        <v>14</v>
      </c>
      <c r="AW20" s="208">
        <v>49</v>
      </c>
      <c r="AX20" s="208">
        <v>185</v>
      </c>
      <c r="AY20" s="206">
        <v>37</v>
      </c>
      <c r="AZ20" s="209">
        <v>2</v>
      </c>
      <c r="BA20" s="210">
        <v>11</v>
      </c>
      <c r="BB20" s="214">
        <v>50</v>
      </c>
    </row>
    <row r="21" spans="1:54" ht="15.75" x14ac:dyDescent="0.25">
      <c r="A21" s="200">
        <v>44946</v>
      </c>
      <c r="B21" s="201" t="s">
        <v>285</v>
      </c>
      <c r="C21" s="201">
        <v>2</v>
      </c>
      <c r="D21" s="201" t="s">
        <v>291</v>
      </c>
      <c r="E21" s="201">
        <v>124</v>
      </c>
      <c r="F21" s="201">
        <v>79</v>
      </c>
      <c r="G21" s="201">
        <v>68</v>
      </c>
      <c r="H21" s="202">
        <v>147</v>
      </c>
      <c r="I21" s="201">
        <v>115</v>
      </c>
      <c r="J21" s="203">
        <v>49</v>
      </c>
      <c r="K21" s="204">
        <v>164</v>
      </c>
      <c r="L21" s="205">
        <v>435</v>
      </c>
      <c r="M21" s="206">
        <v>146</v>
      </c>
      <c r="N21" s="206">
        <v>16</v>
      </c>
      <c r="O21" s="206">
        <v>48</v>
      </c>
      <c r="P21" s="206">
        <v>210</v>
      </c>
      <c r="Q21" s="207">
        <v>98</v>
      </c>
      <c r="R21" s="207">
        <v>10</v>
      </c>
      <c r="S21" s="207">
        <v>43</v>
      </c>
      <c r="T21" s="207">
        <v>151</v>
      </c>
      <c r="U21" s="208">
        <v>111</v>
      </c>
      <c r="V21" s="208">
        <v>14</v>
      </c>
      <c r="W21" s="208">
        <v>39</v>
      </c>
      <c r="X21" s="208">
        <v>164</v>
      </c>
      <c r="Y21" s="206">
        <v>133</v>
      </c>
      <c r="Z21" s="209">
        <v>12</v>
      </c>
      <c r="AA21" s="210">
        <v>52</v>
      </c>
      <c r="AB21" s="210">
        <v>197</v>
      </c>
      <c r="AC21" s="211">
        <v>44946</v>
      </c>
      <c r="AD21" s="201" t="s">
        <v>285</v>
      </c>
      <c r="AE21" s="201">
        <v>1</v>
      </c>
      <c r="AF21" s="201" t="s">
        <v>298</v>
      </c>
      <c r="AG21" s="201">
        <v>45</v>
      </c>
      <c r="AH21" s="201">
        <v>219</v>
      </c>
      <c r="AI21" s="201">
        <v>94</v>
      </c>
      <c r="AJ21" s="201">
        <v>34</v>
      </c>
      <c r="AK21" s="204">
        <v>128</v>
      </c>
      <c r="AL21" s="212">
        <v>392</v>
      </c>
      <c r="AM21" s="206">
        <v>100</v>
      </c>
      <c r="AN21" s="206">
        <v>4</v>
      </c>
      <c r="AO21" s="206">
        <v>54</v>
      </c>
      <c r="AP21" s="213">
        <v>158</v>
      </c>
      <c r="AQ21" s="207">
        <v>71</v>
      </c>
      <c r="AR21" s="207">
        <v>9</v>
      </c>
      <c r="AS21" s="207">
        <v>30</v>
      </c>
      <c r="AT21" s="207">
        <v>110</v>
      </c>
      <c r="AU21" s="208">
        <v>72</v>
      </c>
      <c r="AV21" s="208">
        <v>5</v>
      </c>
      <c r="AW21" s="208">
        <v>51</v>
      </c>
      <c r="AX21" s="208">
        <v>128</v>
      </c>
      <c r="AY21" s="206">
        <v>99</v>
      </c>
      <c r="AZ21" s="209">
        <v>8</v>
      </c>
      <c r="BA21" s="210">
        <v>33</v>
      </c>
      <c r="BB21" s="214">
        <v>140</v>
      </c>
    </row>
    <row r="22" spans="1:54" ht="15.75" x14ac:dyDescent="0.25">
      <c r="A22" s="200">
        <v>44947</v>
      </c>
      <c r="B22" s="201" t="s">
        <v>320</v>
      </c>
      <c r="C22" s="201">
        <v>2</v>
      </c>
      <c r="D22" s="201" t="s">
        <v>291</v>
      </c>
      <c r="E22" s="201">
        <v>167</v>
      </c>
      <c r="F22" s="201">
        <v>96</v>
      </c>
      <c r="G22" s="201">
        <v>82</v>
      </c>
      <c r="H22" s="202">
        <v>178</v>
      </c>
      <c r="I22" s="201">
        <v>116</v>
      </c>
      <c r="J22" s="203">
        <v>58</v>
      </c>
      <c r="K22" s="204">
        <v>174</v>
      </c>
      <c r="L22" s="205">
        <v>519</v>
      </c>
      <c r="M22" s="206">
        <v>119</v>
      </c>
      <c r="N22" s="206">
        <v>16</v>
      </c>
      <c r="O22" s="206">
        <v>67</v>
      </c>
      <c r="P22" s="206">
        <v>202</v>
      </c>
      <c r="Q22" s="207">
        <v>99</v>
      </c>
      <c r="R22" s="207">
        <v>12</v>
      </c>
      <c r="S22" s="207">
        <v>52</v>
      </c>
      <c r="T22" s="207">
        <v>163</v>
      </c>
      <c r="U22" s="208">
        <v>111</v>
      </c>
      <c r="V22" s="208">
        <v>18</v>
      </c>
      <c r="W22" s="208">
        <v>45</v>
      </c>
      <c r="X22" s="208">
        <v>174</v>
      </c>
      <c r="Y22" s="206">
        <v>107</v>
      </c>
      <c r="Z22" s="209">
        <v>10</v>
      </c>
      <c r="AA22" s="210">
        <v>74</v>
      </c>
      <c r="AB22" s="210">
        <v>191</v>
      </c>
      <c r="AC22" s="211">
        <v>44947</v>
      </c>
      <c r="AD22" s="201" t="s">
        <v>320</v>
      </c>
      <c r="AE22" s="201">
        <v>1</v>
      </c>
      <c r="AF22" s="201" t="s">
        <v>298</v>
      </c>
      <c r="AG22" s="201">
        <v>55</v>
      </c>
      <c r="AH22" s="201">
        <v>232</v>
      </c>
      <c r="AI22" s="201">
        <v>97</v>
      </c>
      <c r="AJ22" s="201">
        <v>38</v>
      </c>
      <c r="AK22" s="204">
        <v>135</v>
      </c>
      <c r="AL22" s="212">
        <v>422</v>
      </c>
      <c r="AM22" s="206">
        <v>101</v>
      </c>
      <c r="AN22" s="206">
        <v>11</v>
      </c>
      <c r="AO22" s="206">
        <v>60</v>
      </c>
      <c r="AP22" s="213">
        <v>172</v>
      </c>
      <c r="AQ22" s="207">
        <v>48</v>
      </c>
      <c r="AR22" s="207">
        <v>3</v>
      </c>
      <c r="AS22" s="207">
        <v>36</v>
      </c>
      <c r="AT22" s="207">
        <v>87</v>
      </c>
      <c r="AU22" s="208">
        <v>75</v>
      </c>
      <c r="AV22" s="208">
        <v>13</v>
      </c>
      <c r="AW22" s="208">
        <v>47</v>
      </c>
      <c r="AX22" s="208">
        <v>135</v>
      </c>
      <c r="AY22" s="206">
        <v>74</v>
      </c>
      <c r="AZ22" s="209">
        <v>1</v>
      </c>
      <c r="BA22" s="210">
        <v>49</v>
      </c>
      <c r="BB22" s="214">
        <v>124</v>
      </c>
    </row>
    <row r="23" spans="1:54" ht="15.75" x14ac:dyDescent="0.25">
      <c r="A23" s="200">
        <v>44948</v>
      </c>
      <c r="B23" s="201" t="s">
        <v>293</v>
      </c>
      <c r="C23" s="201">
        <v>4</v>
      </c>
      <c r="D23" s="201" t="s">
        <v>291</v>
      </c>
      <c r="E23" s="201">
        <v>185</v>
      </c>
      <c r="F23" s="201">
        <v>64</v>
      </c>
      <c r="G23" s="201">
        <v>82</v>
      </c>
      <c r="H23" s="202">
        <v>146</v>
      </c>
      <c r="I23" s="201">
        <v>138</v>
      </c>
      <c r="J23" s="203">
        <v>56</v>
      </c>
      <c r="K23" s="204">
        <v>194</v>
      </c>
      <c r="L23" s="205">
        <v>525</v>
      </c>
      <c r="M23" s="206">
        <v>127</v>
      </c>
      <c r="N23" s="206">
        <v>19</v>
      </c>
      <c r="O23" s="206">
        <v>54</v>
      </c>
      <c r="P23" s="206">
        <v>200</v>
      </c>
      <c r="Q23" s="207">
        <v>104</v>
      </c>
      <c r="R23" s="207">
        <v>21</v>
      </c>
      <c r="S23" s="207">
        <v>49</v>
      </c>
      <c r="T23" s="207">
        <v>174</v>
      </c>
      <c r="U23" s="208">
        <v>117</v>
      </c>
      <c r="V23" s="208">
        <v>20</v>
      </c>
      <c r="W23" s="208">
        <v>57</v>
      </c>
      <c r="X23" s="208">
        <v>194</v>
      </c>
      <c r="Y23" s="206">
        <v>114</v>
      </c>
      <c r="Z23" s="209">
        <v>20</v>
      </c>
      <c r="AA23" s="210">
        <v>46</v>
      </c>
      <c r="AB23" s="210">
        <v>180</v>
      </c>
      <c r="AC23" s="211">
        <v>44948</v>
      </c>
      <c r="AD23" s="201" t="s">
        <v>293</v>
      </c>
      <c r="AE23" s="201">
        <v>3</v>
      </c>
      <c r="AF23" s="201" t="s">
        <v>298</v>
      </c>
      <c r="AG23" s="201">
        <v>40</v>
      </c>
      <c r="AH23" s="201">
        <v>256</v>
      </c>
      <c r="AI23" s="201">
        <v>126</v>
      </c>
      <c r="AJ23" s="201">
        <v>59</v>
      </c>
      <c r="AK23" s="204">
        <v>185</v>
      </c>
      <c r="AL23" s="212">
        <v>481</v>
      </c>
      <c r="AM23" s="206">
        <v>108</v>
      </c>
      <c r="AN23" s="206">
        <v>12</v>
      </c>
      <c r="AO23" s="206">
        <v>47</v>
      </c>
      <c r="AP23" s="213">
        <v>167</v>
      </c>
      <c r="AQ23" s="207">
        <v>71</v>
      </c>
      <c r="AR23" s="207">
        <v>9</v>
      </c>
      <c r="AS23" s="207">
        <v>36</v>
      </c>
      <c r="AT23" s="207">
        <v>116</v>
      </c>
      <c r="AU23" s="208">
        <v>114</v>
      </c>
      <c r="AV23" s="208">
        <v>15</v>
      </c>
      <c r="AW23" s="208">
        <v>56</v>
      </c>
      <c r="AX23" s="208">
        <v>185</v>
      </c>
      <c r="AY23" s="206">
        <v>65</v>
      </c>
      <c r="AZ23" s="209">
        <v>6</v>
      </c>
      <c r="BA23" s="210">
        <v>27</v>
      </c>
      <c r="BB23" s="214">
        <v>98</v>
      </c>
    </row>
    <row r="24" spans="1:54" ht="15.75" x14ac:dyDescent="0.25">
      <c r="A24" s="200">
        <v>44949</v>
      </c>
      <c r="B24" s="201" t="s">
        <v>316</v>
      </c>
      <c r="C24" s="201">
        <v>4</v>
      </c>
      <c r="D24" s="201" t="s">
        <v>291</v>
      </c>
      <c r="E24" s="201">
        <v>149</v>
      </c>
      <c r="F24" s="201">
        <v>85</v>
      </c>
      <c r="G24" s="201">
        <v>73</v>
      </c>
      <c r="H24" s="202">
        <v>158</v>
      </c>
      <c r="I24" s="201">
        <v>116</v>
      </c>
      <c r="J24" s="203">
        <v>48</v>
      </c>
      <c r="K24" s="204">
        <v>164</v>
      </c>
      <c r="L24" s="205">
        <v>471</v>
      </c>
      <c r="M24" s="206">
        <v>121</v>
      </c>
      <c r="N24" s="206">
        <v>20</v>
      </c>
      <c r="O24" s="206">
        <v>39</v>
      </c>
      <c r="P24" s="206">
        <v>180</v>
      </c>
      <c r="Q24" s="207">
        <v>95</v>
      </c>
      <c r="R24" s="207">
        <v>8</v>
      </c>
      <c r="S24" s="207">
        <v>36</v>
      </c>
      <c r="T24" s="207">
        <v>139</v>
      </c>
      <c r="U24" s="208">
        <v>104</v>
      </c>
      <c r="V24" s="208">
        <v>13</v>
      </c>
      <c r="W24" s="208">
        <v>47</v>
      </c>
      <c r="X24" s="208">
        <v>164</v>
      </c>
      <c r="Y24" s="206">
        <v>112</v>
      </c>
      <c r="Z24" s="209">
        <v>15</v>
      </c>
      <c r="AA24" s="210">
        <v>28</v>
      </c>
      <c r="AB24" s="210">
        <v>155</v>
      </c>
      <c r="AC24" s="211">
        <v>44949</v>
      </c>
      <c r="AD24" s="201" t="s">
        <v>316</v>
      </c>
      <c r="AE24" s="201">
        <v>3</v>
      </c>
      <c r="AF24" s="201" t="s">
        <v>298</v>
      </c>
      <c r="AG24" s="201">
        <v>43</v>
      </c>
      <c r="AH24" s="201">
        <v>179</v>
      </c>
      <c r="AI24" s="201">
        <v>116</v>
      </c>
      <c r="AJ24" s="201">
        <v>51</v>
      </c>
      <c r="AK24" s="204">
        <v>167</v>
      </c>
      <c r="AL24" s="212">
        <v>389</v>
      </c>
      <c r="AM24" s="206">
        <v>97</v>
      </c>
      <c r="AN24" s="206">
        <v>11</v>
      </c>
      <c r="AO24" s="206">
        <v>32</v>
      </c>
      <c r="AP24" s="213">
        <v>140</v>
      </c>
      <c r="AQ24" s="207">
        <v>52</v>
      </c>
      <c r="AR24" s="207">
        <v>6</v>
      </c>
      <c r="AS24" s="207">
        <v>35</v>
      </c>
      <c r="AT24" s="207">
        <v>93</v>
      </c>
      <c r="AU24" s="208">
        <v>113</v>
      </c>
      <c r="AV24" s="208">
        <v>14</v>
      </c>
      <c r="AW24" s="208">
        <v>40</v>
      </c>
      <c r="AX24" s="208">
        <v>167</v>
      </c>
      <c r="AY24" s="206">
        <v>36</v>
      </c>
      <c r="AZ24" s="209">
        <v>3</v>
      </c>
      <c r="BA24" s="210">
        <v>27</v>
      </c>
      <c r="BB24" s="214">
        <v>66</v>
      </c>
    </row>
    <row r="25" spans="1:54" ht="15.75" x14ac:dyDescent="0.25">
      <c r="A25" s="200">
        <v>44950</v>
      </c>
      <c r="B25" s="201" t="s">
        <v>317</v>
      </c>
      <c r="C25" s="201">
        <v>1</v>
      </c>
      <c r="D25" s="201" t="s">
        <v>291</v>
      </c>
      <c r="E25" s="201">
        <v>90</v>
      </c>
      <c r="F25" s="201">
        <v>47</v>
      </c>
      <c r="G25" s="201">
        <v>67</v>
      </c>
      <c r="H25" s="202">
        <v>114</v>
      </c>
      <c r="I25" s="201">
        <v>115</v>
      </c>
      <c r="J25" s="203">
        <v>54</v>
      </c>
      <c r="K25" s="204">
        <v>169</v>
      </c>
      <c r="L25" s="205">
        <v>373</v>
      </c>
      <c r="M25" s="206">
        <v>105</v>
      </c>
      <c r="N25" s="206">
        <v>10</v>
      </c>
      <c r="O25" s="206">
        <v>52</v>
      </c>
      <c r="P25" s="206">
        <v>167</v>
      </c>
      <c r="Q25" s="207">
        <v>105</v>
      </c>
      <c r="R25" s="207">
        <v>8</v>
      </c>
      <c r="S25" s="207">
        <v>34</v>
      </c>
      <c r="T25" s="207">
        <v>147</v>
      </c>
      <c r="U25" s="208">
        <v>96</v>
      </c>
      <c r="V25" s="208">
        <v>10</v>
      </c>
      <c r="W25" s="208">
        <v>63</v>
      </c>
      <c r="X25" s="208">
        <v>169</v>
      </c>
      <c r="Y25" s="206">
        <v>114</v>
      </c>
      <c r="Z25" s="209">
        <v>8</v>
      </c>
      <c r="AA25" s="210">
        <v>23</v>
      </c>
      <c r="AB25" s="210">
        <v>145</v>
      </c>
      <c r="AC25" s="211">
        <v>44950</v>
      </c>
      <c r="AD25" s="201" t="s">
        <v>317</v>
      </c>
      <c r="AE25" s="201">
        <v>2</v>
      </c>
      <c r="AF25" s="201" t="s">
        <v>298</v>
      </c>
      <c r="AG25" s="201">
        <v>27</v>
      </c>
      <c r="AH25" s="201">
        <v>209</v>
      </c>
      <c r="AI25" s="201">
        <v>87</v>
      </c>
      <c r="AJ25" s="201">
        <v>41</v>
      </c>
      <c r="AK25" s="204">
        <v>128</v>
      </c>
      <c r="AL25" s="212">
        <v>364</v>
      </c>
      <c r="AM25" s="206">
        <v>87</v>
      </c>
      <c r="AN25" s="206">
        <v>2</v>
      </c>
      <c r="AO25" s="206">
        <v>28</v>
      </c>
      <c r="AP25" s="213">
        <v>117</v>
      </c>
      <c r="AQ25" s="207">
        <v>63</v>
      </c>
      <c r="AR25" s="207">
        <v>5</v>
      </c>
      <c r="AS25" s="207">
        <v>24</v>
      </c>
      <c r="AT25" s="207">
        <v>92</v>
      </c>
      <c r="AU25" s="208">
        <v>105</v>
      </c>
      <c r="AV25" s="208">
        <v>3</v>
      </c>
      <c r="AW25" s="208">
        <v>20</v>
      </c>
      <c r="AX25" s="208">
        <v>128</v>
      </c>
      <c r="AY25" s="206">
        <v>45</v>
      </c>
      <c r="AZ25" s="209">
        <v>4</v>
      </c>
      <c r="BA25" s="210">
        <v>32</v>
      </c>
      <c r="BB25" s="214">
        <v>81</v>
      </c>
    </row>
    <row r="26" spans="1:54" ht="15.75" x14ac:dyDescent="0.25">
      <c r="A26" s="200">
        <v>44951</v>
      </c>
      <c r="B26" s="201" t="s">
        <v>318</v>
      </c>
      <c r="C26" s="201">
        <v>1</v>
      </c>
      <c r="D26" s="201" t="s">
        <v>291</v>
      </c>
      <c r="E26" s="201">
        <v>106</v>
      </c>
      <c r="F26" s="201">
        <v>61</v>
      </c>
      <c r="G26" s="201">
        <v>74</v>
      </c>
      <c r="H26" s="202">
        <v>135</v>
      </c>
      <c r="I26" s="201">
        <v>100</v>
      </c>
      <c r="J26" s="203">
        <v>47</v>
      </c>
      <c r="K26" s="204">
        <v>147</v>
      </c>
      <c r="L26" s="205">
        <v>388</v>
      </c>
      <c r="M26" s="206">
        <v>94</v>
      </c>
      <c r="N26" s="206">
        <v>10</v>
      </c>
      <c r="O26" s="206">
        <v>49</v>
      </c>
      <c r="P26" s="206">
        <v>153</v>
      </c>
      <c r="Q26" s="207">
        <v>96</v>
      </c>
      <c r="R26" s="207">
        <v>13</v>
      </c>
      <c r="S26" s="207">
        <v>18</v>
      </c>
      <c r="T26" s="207">
        <v>127</v>
      </c>
      <c r="U26" s="208">
        <v>87</v>
      </c>
      <c r="V26" s="208">
        <v>12</v>
      </c>
      <c r="W26" s="208">
        <v>48</v>
      </c>
      <c r="X26" s="208">
        <v>147</v>
      </c>
      <c r="Y26" s="206">
        <v>103</v>
      </c>
      <c r="Z26" s="209">
        <v>11</v>
      </c>
      <c r="AA26" s="210">
        <v>19</v>
      </c>
      <c r="AB26" s="210">
        <v>133</v>
      </c>
      <c r="AC26" s="211">
        <v>44951</v>
      </c>
      <c r="AD26" s="201" t="s">
        <v>318</v>
      </c>
      <c r="AE26" s="201">
        <v>2</v>
      </c>
      <c r="AF26" s="201" t="s">
        <v>298</v>
      </c>
      <c r="AG26" s="201">
        <v>32</v>
      </c>
      <c r="AH26" s="201">
        <v>219</v>
      </c>
      <c r="AI26" s="201">
        <v>113</v>
      </c>
      <c r="AJ26" s="201">
        <v>66</v>
      </c>
      <c r="AK26" s="204">
        <v>179</v>
      </c>
      <c r="AL26" s="212">
        <v>430</v>
      </c>
      <c r="AM26" s="206">
        <v>104</v>
      </c>
      <c r="AN26" s="206">
        <v>7</v>
      </c>
      <c r="AO26" s="206">
        <v>27</v>
      </c>
      <c r="AP26" s="213">
        <v>138</v>
      </c>
      <c r="AQ26" s="207">
        <v>91</v>
      </c>
      <c r="AR26" s="207">
        <v>5</v>
      </c>
      <c r="AS26" s="207">
        <v>25</v>
      </c>
      <c r="AT26" s="207">
        <v>121</v>
      </c>
      <c r="AU26" s="208">
        <v>130</v>
      </c>
      <c r="AV26" s="208">
        <v>12</v>
      </c>
      <c r="AW26" s="208">
        <v>37</v>
      </c>
      <c r="AX26" s="208">
        <v>179</v>
      </c>
      <c r="AY26" s="206">
        <v>65</v>
      </c>
      <c r="AZ26" s="209">
        <v>0</v>
      </c>
      <c r="BA26" s="210">
        <v>15</v>
      </c>
      <c r="BB26" s="214">
        <v>80</v>
      </c>
    </row>
    <row r="27" spans="1:54" ht="15.75" x14ac:dyDescent="0.25">
      <c r="A27" s="200">
        <v>44952</v>
      </c>
      <c r="B27" s="201" t="s">
        <v>319</v>
      </c>
      <c r="C27" s="201">
        <v>3</v>
      </c>
      <c r="D27" s="201" t="s">
        <v>291</v>
      </c>
      <c r="E27" s="201">
        <v>123</v>
      </c>
      <c r="F27" s="201">
        <v>87</v>
      </c>
      <c r="G27" s="201">
        <v>57</v>
      </c>
      <c r="H27" s="202">
        <v>144</v>
      </c>
      <c r="I27" s="201">
        <v>86</v>
      </c>
      <c r="J27" s="203">
        <v>45</v>
      </c>
      <c r="K27" s="204">
        <v>131</v>
      </c>
      <c r="L27" s="205">
        <v>398</v>
      </c>
      <c r="M27" s="206">
        <v>124</v>
      </c>
      <c r="N27" s="206">
        <v>9</v>
      </c>
      <c r="O27" s="206">
        <v>34</v>
      </c>
      <c r="P27" s="206">
        <v>167</v>
      </c>
      <c r="Q27" s="207">
        <v>83</v>
      </c>
      <c r="R27" s="207">
        <v>11</v>
      </c>
      <c r="S27" s="207">
        <v>30</v>
      </c>
      <c r="T27" s="207">
        <v>124</v>
      </c>
      <c r="U27" s="208">
        <v>82</v>
      </c>
      <c r="V27" s="208">
        <v>5</v>
      </c>
      <c r="W27" s="208">
        <v>44</v>
      </c>
      <c r="X27" s="208">
        <v>131</v>
      </c>
      <c r="Y27" s="206">
        <v>125</v>
      </c>
      <c r="Z27" s="209">
        <v>15</v>
      </c>
      <c r="AA27" s="210">
        <v>20</v>
      </c>
      <c r="AB27" s="210">
        <v>160</v>
      </c>
      <c r="AC27" s="211">
        <v>44952</v>
      </c>
      <c r="AD27" s="201" t="s">
        <v>319</v>
      </c>
      <c r="AE27" s="201">
        <v>4</v>
      </c>
      <c r="AF27" s="201" t="s">
        <v>298</v>
      </c>
      <c r="AG27" s="201">
        <v>47</v>
      </c>
      <c r="AH27" s="201">
        <v>249</v>
      </c>
      <c r="AI27" s="201">
        <v>91</v>
      </c>
      <c r="AJ27" s="201">
        <v>61</v>
      </c>
      <c r="AK27" s="204">
        <v>152</v>
      </c>
      <c r="AL27" s="212">
        <v>448</v>
      </c>
      <c r="AM27" s="206">
        <v>76</v>
      </c>
      <c r="AN27" s="206">
        <v>7</v>
      </c>
      <c r="AO27" s="206">
        <v>19</v>
      </c>
      <c r="AP27" s="213">
        <v>102</v>
      </c>
      <c r="AQ27" s="207">
        <v>95</v>
      </c>
      <c r="AR27" s="207">
        <v>8</v>
      </c>
      <c r="AS27" s="207">
        <v>36</v>
      </c>
      <c r="AT27" s="207">
        <v>139</v>
      </c>
      <c r="AU27" s="208">
        <v>113</v>
      </c>
      <c r="AV27" s="208">
        <v>5</v>
      </c>
      <c r="AW27" s="208">
        <v>34</v>
      </c>
      <c r="AX27" s="208">
        <v>152</v>
      </c>
      <c r="AY27" s="206">
        <v>58</v>
      </c>
      <c r="AZ27" s="209">
        <v>10</v>
      </c>
      <c r="BA27" s="210">
        <v>21</v>
      </c>
      <c r="BB27" s="214">
        <v>89</v>
      </c>
    </row>
    <row r="28" spans="1:54" ht="15.75" x14ac:dyDescent="0.25">
      <c r="A28" s="200">
        <v>44953</v>
      </c>
      <c r="B28" s="201" t="s">
        <v>285</v>
      </c>
      <c r="C28" s="201">
        <v>3</v>
      </c>
      <c r="D28" s="201" t="s">
        <v>291</v>
      </c>
      <c r="E28" s="201">
        <v>92</v>
      </c>
      <c r="F28" s="201">
        <v>71</v>
      </c>
      <c r="G28" s="201">
        <v>68</v>
      </c>
      <c r="H28" s="202">
        <v>139</v>
      </c>
      <c r="I28" s="201">
        <v>91</v>
      </c>
      <c r="J28" s="203">
        <v>41</v>
      </c>
      <c r="K28" s="204">
        <v>132</v>
      </c>
      <c r="L28" s="205">
        <v>363</v>
      </c>
      <c r="M28" s="206">
        <v>89</v>
      </c>
      <c r="N28" s="206">
        <v>12</v>
      </c>
      <c r="O28" s="206">
        <v>30</v>
      </c>
      <c r="P28" s="206">
        <v>131</v>
      </c>
      <c r="Q28" s="207">
        <v>80</v>
      </c>
      <c r="R28" s="207">
        <v>6</v>
      </c>
      <c r="S28" s="207">
        <v>28</v>
      </c>
      <c r="T28" s="207">
        <v>114</v>
      </c>
      <c r="U28" s="208">
        <v>77</v>
      </c>
      <c r="V28" s="208">
        <v>15</v>
      </c>
      <c r="W28" s="208">
        <v>40</v>
      </c>
      <c r="X28" s="208">
        <v>132</v>
      </c>
      <c r="Y28" s="206">
        <v>92</v>
      </c>
      <c r="Z28" s="209">
        <v>3</v>
      </c>
      <c r="AA28" s="210">
        <v>18</v>
      </c>
      <c r="AB28" s="210">
        <v>113</v>
      </c>
      <c r="AC28" s="211">
        <v>44953</v>
      </c>
      <c r="AD28" s="201" t="s">
        <v>285</v>
      </c>
      <c r="AE28" s="201">
        <v>4</v>
      </c>
      <c r="AF28" s="201" t="s">
        <v>298</v>
      </c>
      <c r="AG28" s="201">
        <v>28</v>
      </c>
      <c r="AH28" s="201">
        <v>217</v>
      </c>
      <c r="AI28" s="201">
        <v>90</v>
      </c>
      <c r="AJ28" s="201">
        <v>43</v>
      </c>
      <c r="AK28" s="204">
        <v>133</v>
      </c>
      <c r="AL28" s="212">
        <v>378</v>
      </c>
      <c r="AM28" s="206">
        <v>64</v>
      </c>
      <c r="AN28" s="206">
        <v>5</v>
      </c>
      <c r="AO28" s="206">
        <v>35</v>
      </c>
      <c r="AP28" s="213">
        <v>104</v>
      </c>
      <c r="AQ28" s="207">
        <v>40</v>
      </c>
      <c r="AR28" s="207">
        <v>6</v>
      </c>
      <c r="AS28" s="207">
        <v>16</v>
      </c>
      <c r="AT28" s="207">
        <v>62</v>
      </c>
      <c r="AU28" s="208">
        <v>89</v>
      </c>
      <c r="AV28" s="208">
        <v>9</v>
      </c>
      <c r="AW28" s="208">
        <v>35</v>
      </c>
      <c r="AX28" s="208">
        <v>133</v>
      </c>
      <c r="AY28" s="206">
        <v>15</v>
      </c>
      <c r="AZ28" s="209">
        <v>2</v>
      </c>
      <c r="BA28" s="210">
        <v>16</v>
      </c>
      <c r="BB28" s="214">
        <v>33</v>
      </c>
    </row>
    <row r="29" spans="1:54" ht="15.75" x14ac:dyDescent="0.25">
      <c r="A29" s="200">
        <v>44954</v>
      </c>
      <c r="B29" s="201" t="s">
        <v>320</v>
      </c>
      <c r="C29" s="201">
        <v>2</v>
      </c>
      <c r="D29" s="201" t="s">
        <v>291</v>
      </c>
      <c r="E29" s="201">
        <v>108</v>
      </c>
      <c r="F29" s="201">
        <v>72</v>
      </c>
      <c r="G29" s="201">
        <v>65</v>
      </c>
      <c r="H29" s="202">
        <v>137</v>
      </c>
      <c r="I29" s="201">
        <v>118</v>
      </c>
      <c r="J29" s="203">
        <v>54</v>
      </c>
      <c r="K29" s="204">
        <v>172</v>
      </c>
      <c r="L29" s="205">
        <v>417</v>
      </c>
      <c r="M29" s="206">
        <v>101</v>
      </c>
      <c r="N29" s="206">
        <v>22</v>
      </c>
      <c r="O29" s="206">
        <v>52</v>
      </c>
      <c r="P29" s="206">
        <v>175</v>
      </c>
      <c r="Q29" s="207">
        <v>101</v>
      </c>
      <c r="R29" s="207">
        <v>15</v>
      </c>
      <c r="S29" s="207">
        <v>50</v>
      </c>
      <c r="T29" s="207">
        <v>166</v>
      </c>
      <c r="U29" s="208">
        <v>92</v>
      </c>
      <c r="V29" s="208">
        <v>22</v>
      </c>
      <c r="W29" s="208">
        <v>58</v>
      </c>
      <c r="X29" s="208">
        <v>172</v>
      </c>
      <c r="Y29" s="206">
        <v>110</v>
      </c>
      <c r="Z29" s="209">
        <v>15</v>
      </c>
      <c r="AA29" s="210">
        <v>44</v>
      </c>
      <c r="AB29" s="210">
        <v>169</v>
      </c>
      <c r="AC29" s="211">
        <v>44954</v>
      </c>
      <c r="AD29" s="201" t="s">
        <v>320</v>
      </c>
      <c r="AE29" s="201">
        <v>1</v>
      </c>
      <c r="AF29" s="201" t="s">
        <v>298</v>
      </c>
      <c r="AG29" s="201">
        <v>20</v>
      </c>
      <c r="AH29" s="201">
        <v>188</v>
      </c>
      <c r="AI29" s="201">
        <v>77</v>
      </c>
      <c r="AJ29" s="201">
        <v>29</v>
      </c>
      <c r="AK29" s="204">
        <v>106</v>
      </c>
      <c r="AL29" s="212">
        <v>314</v>
      </c>
      <c r="AM29" s="206">
        <v>60</v>
      </c>
      <c r="AN29" s="206">
        <v>7</v>
      </c>
      <c r="AO29" s="206">
        <v>33</v>
      </c>
      <c r="AP29" s="213">
        <v>100</v>
      </c>
      <c r="AQ29" s="207">
        <v>34</v>
      </c>
      <c r="AR29" s="207">
        <v>12</v>
      </c>
      <c r="AS29" s="207">
        <v>22</v>
      </c>
      <c r="AT29" s="207">
        <v>68</v>
      </c>
      <c r="AU29" s="208">
        <v>49</v>
      </c>
      <c r="AV29" s="208">
        <v>7</v>
      </c>
      <c r="AW29" s="208">
        <v>50</v>
      </c>
      <c r="AX29" s="208">
        <v>106</v>
      </c>
      <c r="AY29" s="206">
        <v>45</v>
      </c>
      <c r="AZ29" s="209">
        <v>12</v>
      </c>
      <c r="BA29" s="210">
        <v>5</v>
      </c>
      <c r="BB29" s="214">
        <v>62</v>
      </c>
    </row>
    <row r="30" spans="1:54" ht="15.75" x14ac:dyDescent="0.25">
      <c r="A30" s="200">
        <v>44955</v>
      </c>
      <c r="B30" s="201" t="s">
        <v>293</v>
      </c>
      <c r="C30" s="201">
        <v>2</v>
      </c>
      <c r="D30" s="201" t="s">
        <v>291</v>
      </c>
      <c r="E30" s="201">
        <v>92</v>
      </c>
      <c r="F30" s="201">
        <v>64</v>
      </c>
      <c r="G30" s="201">
        <v>70</v>
      </c>
      <c r="H30" s="202">
        <v>134</v>
      </c>
      <c r="I30" s="201">
        <v>117</v>
      </c>
      <c r="J30" s="203">
        <v>62</v>
      </c>
      <c r="K30" s="204">
        <v>179</v>
      </c>
      <c r="L30" s="205">
        <v>405</v>
      </c>
      <c r="M30" s="206">
        <v>93</v>
      </c>
      <c r="N30" s="206">
        <v>54</v>
      </c>
      <c r="O30" s="206">
        <v>45</v>
      </c>
      <c r="P30" s="206">
        <v>192</v>
      </c>
      <c r="Q30" s="207">
        <v>107</v>
      </c>
      <c r="R30" s="207">
        <v>18</v>
      </c>
      <c r="S30" s="207">
        <v>44</v>
      </c>
      <c r="T30" s="207">
        <v>169</v>
      </c>
      <c r="U30" s="208">
        <v>88</v>
      </c>
      <c r="V30" s="208">
        <v>31</v>
      </c>
      <c r="W30" s="208">
        <v>60</v>
      </c>
      <c r="X30" s="208">
        <v>179</v>
      </c>
      <c r="Y30" s="206">
        <v>112</v>
      </c>
      <c r="Z30" s="209">
        <v>41</v>
      </c>
      <c r="AA30" s="210">
        <v>29</v>
      </c>
      <c r="AB30" s="210">
        <v>182</v>
      </c>
      <c r="AC30" s="211">
        <v>44955</v>
      </c>
      <c r="AD30" s="201" t="s">
        <v>293</v>
      </c>
      <c r="AE30" s="201">
        <v>1</v>
      </c>
      <c r="AF30" s="201" t="s">
        <v>298</v>
      </c>
      <c r="AG30" s="201">
        <v>31</v>
      </c>
      <c r="AH30" s="201">
        <v>196</v>
      </c>
      <c r="AI30" s="201">
        <v>107</v>
      </c>
      <c r="AJ30" s="201">
        <v>32</v>
      </c>
      <c r="AK30" s="204">
        <v>139</v>
      </c>
      <c r="AL30" s="212">
        <v>366</v>
      </c>
      <c r="AM30" s="206">
        <v>75</v>
      </c>
      <c r="AN30" s="206">
        <v>5</v>
      </c>
      <c r="AO30" s="206">
        <v>35</v>
      </c>
      <c r="AP30" s="213">
        <v>115</v>
      </c>
      <c r="AQ30" s="207">
        <v>50</v>
      </c>
      <c r="AR30" s="207">
        <v>9</v>
      </c>
      <c r="AS30" s="207">
        <v>25</v>
      </c>
      <c r="AT30" s="207">
        <v>84</v>
      </c>
      <c r="AU30" s="208">
        <v>83</v>
      </c>
      <c r="AV30" s="208">
        <v>8</v>
      </c>
      <c r="AW30" s="208">
        <v>48</v>
      </c>
      <c r="AX30" s="208">
        <v>139</v>
      </c>
      <c r="AY30" s="206">
        <v>42</v>
      </c>
      <c r="AZ30" s="209">
        <v>6</v>
      </c>
      <c r="BA30" s="210">
        <v>12</v>
      </c>
      <c r="BB30" s="214">
        <v>60</v>
      </c>
    </row>
    <row r="31" spans="1:54" ht="15.75" x14ac:dyDescent="0.25">
      <c r="A31" s="200">
        <v>44956</v>
      </c>
      <c r="B31" s="201" t="s">
        <v>316</v>
      </c>
      <c r="C31" s="201">
        <v>4</v>
      </c>
      <c r="D31" s="201" t="s">
        <v>291</v>
      </c>
      <c r="E31" s="201">
        <v>100</v>
      </c>
      <c r="F31" s="201">
        <v>75</v>
      </c>
      <c r="G31" s="201">
        <v>77</v>
      </c>
      <c r="H31" s="202">
        <v>152</v>
      </c>
      <c r="I31" s="201">
        <v>92</v>
      </c>
      <c r="J31" s="203">
        <v>49</v>
      </c>
      <c r="K31" s="204">
        <v>141</v>
      </c>
      <c r="L31" s="205">
        <v>393</v>
      </c>
      <c r="M31" s="206">
        <v>99</v>
      </c>
      <c r="N31" s="206">
        <v>7</v>
      </c>
      <c r="O31" s="206">
        <v>44</v>
      </c>
      <c r="P31" s="206">
        <v>150</v>
      </c>
      <c r="Q31" s="207">
        <v>95</v>
      </c>
      <c r="R31" s="207">
        <v>11</v>
      </c>
      <c r="S31" s="207">
        <v>32</v>
      </c>
      <c r="T31" s="207">
        <v>138</v>
      </c>
      <c r="U31" s="208">
        <v>88</v>
      </c>
      <c r="V31" s="208">
        <v>12</v>
      </c>
      <c r="W31" s="208">
        <v>41</v>
      </c>
      <c r="X31" s="208">
        <v>141</v>
      </c>
      <c r="Y31" s="206">
        <v>106</v>
      </c>
      <c r="Z31" s="209">
        <v>6</v>
      </c>
      <c r="AA31" s="210">
        <v>35</v>
      </c>
      <c r="AB31" s="210">
        <v>147</v>
      </c>
      <c r="AC31" s="211">
        <v>44956</v>
      </c>
      <c r="AD31" s="201" t="s">
        <v>316</v>
      </c>
      <c r="AE31" s="201">
        <v>3</v>
      </c>
      <c r="AF31" s="201" t="s">
        <v>298</v>
      </c>
      <c r="AG31" s="201">
        <v>19</v>
      </c>
      <c r="AH31" s="201">
        <v>153</v>
      </c>
      <c r="AI31" s="201">
        <v>90</v>
      </c>
      <c r="AJ31" s="201">
        <v>38</v>
      </c>
      <c r="AK31" s="204">
        <v>128</v>
      </c>
      <c r="AL31" s="212">
        <v>300</v>
      </c>
      <c r="AM31" s="206">
        <v>64</v>
      </c>
      <c r="AN31" s="206">
        <v>9</v>
      </c>
      <c r="AO31" s="206">
        <v>46</v>
      </c>
      <c r="AP31" s="213">
        <v>119</v>
      </c>
      <c r="AQ31" s="207">
        <v>35</v>
      </c>
      <c r="AR31" s="207">
        <v>8</v>
      </c>
      <c r="AS31" s="207">
        <v>26</v>
      </c>
      <c r="AT31" s="207">
        <v>69</v>
      </c>
      <c r="AU31" s="208">
        <v>68</v>
      </c>
      <c r="AV31" s="208">
        <v>13</v>
      </c>
      <c r="AW31" s="208">
        <v>47</v>
      </c>
      <c r="AX31" s="208">
        <v>128</v>
      </c>
      <c r="AY31" s="206">
        <v>31</v>
      </c>
      <c r="AZ31" s="209">
        <v>4</v>
      </c>
      <c r="BA31" s="210">
        <v>25</v>
      </c>
      <c r="BB31" s="214">
        <v>60</v>
      </c>
    </row>
    <row r="32" spans="1:54" ht="15.75" x14ac:dyDescent="0.25">
      <c r="A32" s="200">
        <v>44957</v>
      </c>
      <c r="B32" s="201" t="s">
        <v>317</v>
      </c>
      <c r="C32" s="201">
        <v>4</v>
      </c>
      <c r="D32" s="201" t="s">
        <v>291</v>
      </c>
      <c r="E32" s="201">
        <v>94</v>
      </c>
      <c r="F32" s="201">
        <v>63</v>
      </c>
      <c r="G32" s="201">
        <v>62</v>
      </c>
      <c r="H32" s="202">
        <v>125</v>
      </c>
      <c r="I32" s="201">
        <v>94</v>
      </c>
      <c r="J32" s="203">
        <v>36</v>
      </c>
      <c r="K32" s="204">
        <v>130</v>
      </c>
      <c r="L32" s="205">
        <v>349</v>
      </c>
      <c r="M32" s="206">
        <v>65</v>
      </c>
      <c r="N32" s="206">
        <v>14</v>
      </c>
      <c r="O32" s="206">
        <v>43</v>
      </c>
      <c r="P32" s="206">
        <v>122</v>
      </c>
      <c r="Q32" s="207">
        <v>64</v>
      </c>
      <c r="R32" s="207">
        <v>12</v>
      </c>
      <c r="S32" s="207">
        <v>45</v>
      </c>
      <c r="T32" s="207">
        <v>121</v>
      </c>
      <c r="U32" s="208">
        <v>58</v>
      </c>
      <c r="V32" s="208">
        <v>15</v>
      </c>
      <c r="W32" s="208">
        <v>57</v>
      </c>
      <c r="X32" s="208">
        <v>130</v>
      </c>
      <c r="Y32" s="206">
        <v>71</v>
      </c>
      <c r="Z32" s="209">
        <v>11</v>
      </c>
      <c r="AA32" s="210">
        <v>31</v>
      </c>
      <c r="AB32" s="210">
        <v>113</v>
      </c>
      <c r="AC32" s="211">
        <v>44957</v>
      </c>
      <c r="AD32" s="201" t="s">
        <v>317</v>
      </c>
      <c r="AE32" s="201">
        <v>3</v>
      </c>
      <c r="AF32" s="201" t="s">
        <v>298</v>
      </c>
      <c r="AG32" s="201">
        <v>36</v>
      </c>
      <c r="AH32" s="201">
        <v>143</v>
      </c>
      <c r="AI32" s="201">
        <v>91</v>
      </c>
      <c r="AJ32" s="201">
        <v>50</v>
      </c>
      <c r="AK32" s="204">
        <v>141</v>
      </c>
      <c r="AL32" s="212">
        <v>320</v>
      </c>
      <c r="AM32" s="206">
        <v>75</v>
      </c>
      <c r="AN32" s="206">
        <v>9</v>
      </c>
      <c r="AO32" s="206">
        <v>40</v>
      </c>
      <c r="AP32" s="213">
        <v>124</v>
      </c>
      <c r="AQ32" s="207">
        <v>50</v>
      </c>
      <c r="AR32" s="207">
        <v>5</v>
      </c>
      <c r="AS32" s="207">
        <v>33</v>
      </c>
      <c r="AT32" s="207">
        <v>88</v>
      </c>
      <c r="AU32" s="208">
        <v>87</v>
      </c>
      <c r="AV32" s="208">
        <v>14</v>
      </c>
      <c r="AW32" s="208">
        <v>40</v>
      </c>
      <c r="AX32" s="208">
        <v>141</v>
      </c>
      <c r="AY32" s="206">
        <v>38</v>
      </c>
      <c r="AZ32" s="209">
        <v>0</v>
      </c>
      <c r="BA32" s="210">
        <v>33</v>
      </c>
      <c r="BB32" s="214">
        <v>71</v>
      </c>
    </row>
    <row r="33" spans="1:54" ht="15.75" x14ac:dyDescent="0.25">
      <c r="A33" s="200">
        <v>44958</v>
      </c>
      <c r="B33" s="201" t="s">
        <v>318</v>
      </c>
      <c r="C33" s="201">
        <v>1</v>
      </c>
      <c r="D33" s="201" t="s">
        <v>291</v>
      </c>
      <c r="E33" s="201">
        <v>84</v>
      </c>
      <c r="F33" s="201">
        <v>92</v>
      </c>
      <c r="G33" s="201">
        <v>63</v>
      </c>
      <c r="H33" s="202">
        <v>155</v>
      </c>
      <c r="I33" s="201">
        <v>100</v>
      </c>
      <c r="J33" s="203">
        <v>44</v>
      </c>
      <c r="K33" s="204">
        <v>144</v>
      </c>
      <c r="L33" s="205">
        <v>383</v>
      </c>
      <c r="M33" s="206">
        <v>85</v>
      </c>
      <c r="N33" s="206">
        <v>17</v>
      </c>
      <c r="O33" s="206">
        <v>49</v>
      </c>
      <c r="P33" s="206">
        <v>151</v>
      </c>
      <c r="Q33" s="207">
        <v>86</v>
      </c>
      <c r="R33" s="207">
        <v>19</v>
      </c>
      <c r="S33" s="207">
        <v>41</v>
      </c>
      <c r="T33" s="207">
        <v>146</v>
      </c>
      <c r="U33" s="208">
        <v>74</v>
      </c>
      <c r="V33" s="208">
        <v>10</v>
      </c>
      <c r="W33" s="208">
        <v>60</v>
      </c>
      <c r="X33" s="208">
        <v>144</v>
      </c>
      <c r="Y33" s="206">
        <v>97</v>
      </c>
      <c r="Z33" s="209">
        <v>26</v>
      </c>
      <c r="AA33" s="210">
        <v>30</v>
      </c>
      <c r="AB33" s="210">
        <v>153</v>
      </c>
      <c r="AC33" s="211">
        <v>44958</v>
      </c>
      <c r="AD33" s="201" t="s">
        <v>318</v>
      </c>
      <c r="AE33" s="201">
        <v>2</v>
      </c>
      <c r="AF33" s="201" t="s">
        <v>298</v>
      </c>
      <c r="AG33" s="201">
        <v>34</v>
      </c>
      <c r="AH33" s="201">
        <v>231</v>
      </c>
      <c r="AI33" s="201">
        <v>78</v>
      </c>
      <c r="AJ33" s="201">
        <v>39</v>
      </c>
      <c r="AK33" s="204">
        <v>117</v>
      </c>
      <c r="AL33" s="212">
        <v>382</v>
      </c>
      <c r="AM33" s="206">
        <v>68</v>
      </c>
      <c r="AN33" s="206">
        <v>2</v>
      </c>
      <c r="AO33" s="206">
        <v>34</v>
      </c>
      <c r="AP33" s="213">
        <v>104</v>
      </c>
      <c r="AQ33" s="207">
        <v>68</v>
      </c>
      <c r="AR33" s="207">
        <v>8</v>
      </c>
      <c r="AS33" s="207">
        <v>15</v>
      </c>
      <c r="AT33" s="207">
        <v>91</v>
      </c>
      <c r="AU33" s="208">
        <v>72</v>
      </c>
      <c r="AV33" s="208">
        <v>3</v>
      </c>
      <c r="AW33" s="208">
        <v>42</v>
      </c>
      <c r="AX33" s="208">
        <v>117</v>
      </c>
      <c r="AY33" s="206">
        <v>64</v>
      </c>
      <c r="AZ33" s="209">
        <v>7</v>
      </c>
      <c r="BA33" s="210">
        <v>7</v>
      </c>
      <c r="BB33" s="214">
        <v>78</v>
      </c>
    </row>
    <row r="34" spans="1:54" ht="15.75" x14ac:dyDescent="0.25">
      <c r="A34" s="200">
        <v>44959</v>
      </c>
      <c r="B34" s="201" t="s">
        <v>319</v>
      </c>
      <c r="C34" s="201">
        <v>1</v>
      </c>
      <c r="D34" s="201" t="s">
        <v>291</v>
      </c>
      <c r="E34" s="201">
        <v>110</v>
      </c>
      <c r="F34" s="201">
        <v>73</v>
      </c>
      <c r="G34" s="201">
        <v>69</v>
      </c>
      <c r="H34" s="202">
        <v>142</v>
      </c>
      <c r="I34" s="201">
        <v>90</v>
      </c>
      <c r="J34" s="203">
        <v>45</v>
      </c>
      <c r="K34" s="204">
        <v>135</v>
      </c>
      <c r="L34" s="205">
        <v>387</v>
      </c>
      <c r="M34" s="206">
        <v>87</v>
      </c>
      <c r="N34" s="206">
        <v>7</v>
      </c>
      <c r="O34" s="206">
        <v>46</v>
      </c>
      <c r="P34" s="206">
        <v>140</v>
      </c>
      <c r="Q34" s="207">
        <v>96</v>
      </c>
      <c r="R34" s="207">
        <v>14</v>
      </c>
      <c r="S34" s="207">
        <v>44</v>
      </c>
      <c r="T34" s="207">
        <v>154</v>
      </c>
      <c r="U34" s="208">
        <v>77</v>
      </c>
      <c r="V34" s="208">
        <v>8</v>
      </c>
      <c r="W34" s="208">
        <v>50</v>
      </c>
      <c r="X34" s="208">
        <v>135</v>
      </c>
      <c r="Y34" s="206">
        <v>106</v>
      </c>
      <c r="Z34" s="209">
        <v>13</v>
      </c>
      <c r="AA34" s="210">
        <v>40</v>
      </c>
      <c r="AB34" s="210">
        <v>159</v>
      </c>
      <c r="AC34" s="211">
        <v>44959</v>
      </c>
      <c r="AD34" s="201" t="s">
        <v>319</v>
      </c>
      <c r="AE34" s="201">
        <v>2</v>
      </c>
      <c r="AF34" s="201" t="s">
        <v>298</v>
      </c>
      <c r="AG34" s="201">
        <v>38</v>
      </c>
      <c r="AH34" s="201">
        <v>233</v>
      </c>
      <c r="AI34" s="201">
        <v>119</v>
      </c>
      <c r="AJ34" s="201">
        <v>59</v>
      </c>
      <c r="AK34" s="204">
        <v>178</v>
      </c>
      <c r="AL34" s="212">
        <v>449</v>
      </c>
      <c r="AM34" s="206">
        <v>100</v>
      </c>
      <c r="AN34" s="206">
        <v>9</v>
      </c>
      <c r="AO34" s="206">
        <v>47</v>
      </c>
      <c r="AP34" s="213">
        <v>156</v>
      </c>
      <c r="AQ34" s="207">
        <v>80</v>
      </c>
      <c r="AR34" s="207">
        <v>2</v>
      </c>
      <c r="AS34" s="207">
        <v>38</v>
      </c>
      <c r="AT34" s="207">
        <v>120</v>
      </c>
      <c r="AU34" s="208">
        <v>116</v>
      </c>
      <c r="AV34" s="208">
        <v>11</v>
      </c>
      <c r="AW34" s="208">
        <v>51</v>
      </c>
      <c r="AX34" s="208">
        <v>178</v>
      </c>
      <c r="AY34" s="206">
        <v>64</v>
      </c>
      <c r="AZ34" s="209">
        <v>0</v>
      </c>
      <c r="BA34" s="210">
        <v>34</v>
      </c>
      <c r="BB34" s="214">
        <v>98</v>
      </c>
    </row>
    <row r="35" spans="1:54" ht="15.75" x14ac:dyDescent="0.25">
      <c r="A35" s="200">
        <v>44960</v>
      </c>
      <c r="B35" s="201" t="s">
        <v>285</v>
      </c>
      <c r="C35" s="201">
        <v>3</v>
      </c>
      <c r="D35" s="201" t="s">
        <v>291</v>
      </c>
      <c r="E35" s="201">
        <v>120</v>
      </c>
      <c r="F35" s="201">
        <v>65</v>
      </c>
      <c r="G35" s="201">
        <v>84</v>
      </c>
      <c r="H35" s="202">
        <v>149</v>
      </c>
      <c r="I35" s="201">
        <v>85</v>
      </c>
      <c r="J35" s="203">
        <v>48</v>
      </c>
      <c r="K35" s="204">
        <v>133</v>
      </c>
      <c r="L35" s="205">
        <v>402</v>
      </c>
      <c r="M35" s="206">
        <v>98</v>
      </c>
      <c r="N35" s="206">
        <v>12</v>
      </c>
      <c r="O35" s="206">
        <v>43</v>
      </c>
      <c r="P35" s="206">
        <v>153</v>
      </c>
      <c r="Q35" s="207">
        <v>99</v>
      </c>
      <c r="R35" s="207">
        <v>9</v>
      </c>
      <c r="S35" s="207">
        <v>50</v>
      </c>
      <c r="T35" s="207">
        <v>158</v>
      </c>
      <c r="U35" s="208">
        <v>87</v>
      </c>
      <c r="V35" s="208">
        <v>10</v>
      </c>
      <c r="W35" s="208">
        <v>36</v>
      </c>
      <c r="X35" s="208">
        <v>133</v>
      </c>
      <c r="Y35" s="206">
        <v>110</v>
      </c>
      <c r="Z35" s="209">
        <v>11</v>
      </c>
      <c r="AA35" s="210">
        <v>57</v>
      </c>
      <c r="AB35" s="210">
        <v>178</v>
      </c>
      <c r="AC35" s="211">
        <v>44960</v>
      </c>
      <c r="AD35" s="201" t="s">
        <v>285</v>
      </c>
      <c r="AE35" s="201">
        <v>4</v>
      </c>
      <c r="AF35" s="201" t="s">
        <v>298</v>
      </c>
      <c r="AG35" s="201">
        <v>32</v>
      </c>
      <c r="AH35" s="201">
        <v>253</v>
      </c>
      <c r="AI35" s="201">
        <v>103</v>
      </c>
      <c r="AJ35" s="201">
        <v>44</v>
      </c>
      <c r="AK35" s="204">
        <v>147</v>
      </c>
      <c r="AL35" s="212">
        <v>432</v>
      </c>
      <c r="AM35" s="206">
        <v>99</v>
      </c>
      <c r="AN35" s="206">
        <v>14</v>
      </c>
      <c r="AO35" s="206">
        <v>21</v>
      </c>
      <c r="AP35" s="213">
        <v>134</v>
      </c>
      <c r="AQ35" s="207">
        <v>57</v>
      </c>
      <c r="AR35" s="207">
        <v>8</v>
      </c>
      <c r="AS35" s="207">
        <v>19</v>
      </c>
      <c r="AT35" s="207">
        <v>84</v>
      </c>
      <c r="AU35" s="208">
        <v>113</v>
      </c>
      <c r="AV35" s="208">
        <v>8</v>
      </c>
      <c r="AW35" s="208">
        <v>26</v>
      </c>
      <c r="AX35" s="208">
        <v>147</v>
      </c>
      <c r="AY35" s="206">
        <v>43</v>
      </c>
      <c r="AZ35" s="209">
        <v>14</v>
      </c>
      <c r="BA35" s="210">
        <v>14</v>
      </c>
      <c r="BB35" s="214">
        <v>71</v>
      </c>
    </row>
    <row r="36" spans="1:54" ht="15.75" x14ac:dyDescent="0.25">
      <c r="A36" s="200">
        <v>44961</v>
      </c>
      <c r="B36" s="201" t="s">
        <v>320</v>
      </c>
      <c r="C36" s="201">
        <v>3</v>
      </c>
      <c r="D36" s="201" t="s">
        <v>291</v>
      </c>
      <c r="E36" s="201">
        <v>87</v>
      </c>
      <c r="F36" s="201">
        <v>77</v>
      </c>
      <c r="G36" s="201">
        <v>79</v>
      </c>
      <c r="H36" s="202">
        <v>156</v>
      </c>
      <c r="I36" s="201">
        <v>118</v>
      </c>
      <c r="J36" s="203">
        <v>57</v>
      </c>
      <c r="K36" s="204">
        <v>175</v>
      </c>
      <c r="L36" s="205">
        <v>418</v>
      </c>
      <c r="M36" s="206">
        <v>132</v>
      </c>
      <c r="N36" s="206">
        <v>25</v>
      </c>
      <c r="O36" s="206">
        <v>74</v>
      </c>
      <c r="P36" s="206">
        <v>231</v>
      </c>
      <c r="Q36" s="207">
        <v>96</v>
      </c>
      <c r="R36" s="207">
        <v>18</v>
      </c>
      <c r="S36" s="207">
        <v>87</v>
      </c>
      <c r="T36" s="207">
        <v>201</v>
      </c>
      <c r="U36" s="208">
        <v>87</v>
      </c>
      <c r="V36" s="208">
        <v>18</v>
      </c>
      <c r="W36" s="208">
        <v>70</v>
      </c>
      <c r="X36" s="208">
        <v>175</v>
      </c>
      <c r="Y36" s="206">
        <v>141</v>
      </c>
      <c r="Z36" s="209">
        <v>25</v>
      </c>
      <c r="AA36" s="210">
        <v>91</v>
      </c>
      <c r="AB36" s="210">
        <v>257</v>
      </c>
      <c r="AC36" s="211">
        <v>44961</v>
      </c>
      <c r="AD36" s="201" t="s">
        <v>320</v>
      </c>
      <c r="AE36" s="201">
        <v>4</v>
      </c>
      <c r="AF36" s="201" t="s">
        <v>298</v>
      </c>
      <c r="AG36" s="201">
        <v>59</v>
      </c>
      <c r="AH36" s="201">
        <v>277</v>
      </c>
      <c r="AI36" s="201">
        <v>118</v>
      </c>
      <c r="AJ36" s="201">
        <v>31</v>
      </c>
      <c r="AK36" s="204">
        <v>149</v>
      </c>
      <c r="AL36" s="212">
        <v>485</v>
      </c>
      <c r="AM36" s="206">
        <v>114</v>
      </c>
      <c r="AN36" s="206">
        <v>2</v>
      </c>
      <c r="AO36" s="206">
        <v>44</v>
      </c>
      <c r="AP36" s="213">
        <v>160</v>
      </c>
      <c r="AQ36" s="207">
        <v>66</v>
      </c>
      <c r="AR36" s="207">
        <v>9</v>
      </c>
      <c r="AS36" s="207">
        <v>22</v>
      </c>
      <c r="AT36" s="207">
        <v>97</v>
      </c>
      <c r="AU36" s="208">
        <v>103</v>
      </c>
      <c r="AV36" s="208">
        <v>3</v>
      </c>
      <c r="AW36" s="208">
        <v>43</v>
      </c>
      <c r="AX36" s="208">
        <v>149</v>
      </c>
      <c r="AY36" s="206">
        <v>77</v>
      </c>
      <c r="AZ36" s="209">
        <v>8</v>
      </c>
      <c r="BA36" s="210">
        <v>23</v>
      </c>
      <c r="BB36" s="214">
        <v>108</v>
      </c>
    </row>
    <row r="37" spans="1:54" ht="15.75" x14ac:dyDescent="0.25">
      <c r="A37" s="200">
        <v>44962</v>
      </c>
      <c r="B37" s="201" t="s">
        <v>293</v>
      </c>
      <c r="C37" s="201">
        <v>2</v>
      </c>
      <c r="D37" s="201" t="s">
        <v>291</v>
      </c>
      <c r="E37" s="201">
        <v>162</v>
      </c>
      <c r="F37" s="201">
        <v>88</v>
      </c>
      <c r="G37" s="201">
        <v>102</v>
      </c>
      <c r="H37" s="202">
        <v>190</v>
      </c>
      <c r="I37" s="201">
        <v>119</v>
      </c>
      <c r="J37" s="203">
        <v>68</v>
      </c>
      <c r="K37" s="204">
        <v>187</v>
      </c>
      <c r="L37" s="205">
        <v>539</v>
      </c>
      <c r="M37" s="206">
        <v>127</v>
      </c>
      <c r="N37" s="206">
        <v>17</v>
      </c>
      <c r="O37" s="206">
        <v>57</v>
      </c>
      <c r="P37" s="206">
        <v>201</v>
      </c>
      <c r="Q37" s="207">
        <v>89</v>
      </c>
      <c r="R37" s="207">
        <v>16</v>
      </c>
      <c r="S37" s="207">
        <v>44</v>
      </c>
      <c r="T37" s="207">
        <v>149</v>
      </c>
      <c r="U37" s="208">
        <v>110</v>
      </c>
      <c r="V37" s="208">
        <v>12</v>
      </c>
      <c r="W37" s="208">
        <v>65</v>
      </c>
      <c r="X37" s="208">
        <v>187</v>
      </c>
      <c r="Y37" s="206">
        <v>106</v>
      </c>
      <c r="Z37" s="209">
        <v>21</v>
      </c>
      <c r="AA37" s="210">
        <v>36</v>
      </c>
      <c r="AB37" s="210">
        <v>163</v>
      </c>
      <c r="AC37" s="211">
        <v>44962</v>
      </c>
      <c r="AD37" s="201" t="s">
        <v>293</v>
      </c>
      <c r="AE37" s="201">
        <v>1</v>
      </c>
      <c r="AF37" s="201" t="s">
        <v>298</v>
      </c>
      <c r="AG37" s="201">
        <v>28</v>
      </c>
      <c r="AH37" s="201">
        <v>186</v>
      </c>
      <c r="AI37" s="201">
        <v>106</v>
      </c>
      <c r="AJ37" s="201">
        <v>30</v>
      </c>
      <c r="AK37" s="204">
        <v>136</v>
      </c>
      <c r="AL37" s="212">
        <v>350</v>
      </c>
      <c r="AM37" s="206">
        <v>77</v>
      </c>
      <c r="AN37" s="206">
        <v>12</v>
      </c>
      <c r="AO37" s="206">
        <v>53</v>
      </c>
      <c r="AP37" s="213">
        <v>142</v>
      </c>
      <c r="AQ37" s="207">
        <v>63</v>
      </c>
      <c r="AR37" s="207">
        <v>8</v>
      </c>
      <c r="AS37" s="207">
        <v>30</v>
      </c>
      <c r="AT37" s="207">
        <v>101</v>
      </c>
      <c r="AU37" s="208">
        <v>83</v>
      </c>
      <c r="AV37" s="208">
        <v>11</v>
      </c>
      <c r="AW37" s="208">
        <v>42</v>
      </c>
      <c r="AX37" s="208">
        <v>136</v>
      </c>
      <c r="AY37" s="206">
        <v>57</v>
      </c>
      <c r="AZ37" s="209">
        <v>9</v>
      </c>
      <c r="BA37" s="210">
        <v>41</v>
      </c>
      <c r="BB37" s="214">
        <v>107</v>
      </c>
    </row>
    <row r="38" spans="1:54" ht="15.75" x14ac:dyDescent="0.25">
      <c r="A38" s="200">
        <v>44963</v>
      </c>
      <c r="B38" s="201" t="s">
        <v>316</v>
      </c>
      <c r="C38" s="201">
        <v>2</v>
      </c>
      <c r="D38" s="201" t="s">
        <v>291</v>
      </c>
      <c r="E38" s="201">
        <v>133</v>
      </c>
      <c r="F38" s="201">
        <v>81</v>
      </c>
      <c r="G38" s="201">
        <v>98</v>
      </c>
      <c r="H38" s="202">
        <v>179</v>
      </c>
      <c r="I38" s="201">
        <v>103</v>
      </c>
      <c r="J38" s="203">
        <v>72</v>
      </c>
      <c r="K38" s="204">
        <v>175</v>
      </c>
      <c r="L38" s="205">
        <v>487</v>
      </c>
      <c r="M38" s="206">
        <v>97</v>
      </c>
      <c r="N38" s="206">
        <v>9</v>
      </c>
      <c r="O38" s="206">
        <v>59</v>
      </c>
      <c r="P38" s="206">
        <v>165</v>
      </c>
      <c r="Q38" s="207">
        <v>91</v>
      </c>
      <c r="R38" s="207">
        <v>16</v>
      </c>
      <c r="S38" s="207">
        <v>54</v>
      </c>
      <c r="T38" s="207">
        <v>161</v>
      </c>
      <c r="U38" s="208">
        <v>110</v>
      </c>
      <c r="V38" s="208">
        <v>14</v>
      </c>
      <c r="W38" s="208">
        <v>51</v>
      </c>
      <c r="X38" s="208">
        <v>175</v>
      </c>
      <c r="Y38" s="206">
        <v>78</v>
      </c>
      <c r="Z38" s="209">
        <v>11</v>
      </c>
      <c r="AA38" s="210">
        <v>62</v>
      </c>
      <c r="AB38" s="210">
        <v>151</v>
      </c>
      <c r="AC38" s="211">
        <v>44963</v>
      </c>
      <c r="AD38" s="201" t="s">
        <v>316</v>
      </c>
      <c r="AE38" s="201">
        <v>1</v>
      </c>
      <c r="AF38" s="201" t="s">
        <v>298</v>
      </c>
      <c r="AG38" s="201">
        <v>19</v>
      </c>
      <c r="AH38" s="201">
        <v>195</v>
      </c>
      <c r="AI38" s="201">
        <v>80</v>
      </c>
      <c r="AJ38" s="201">
        <v>44</v>
      </c>
      <c r="AK38" s="204">
        <v>124</v>
      </c>
      <c r="AL38" s="212">
        <v>338</v>
      </c>
      <c r="AM38" s="206">
        <v>78</v>
      </c>
      <c r="AN38" s="206">
        <v>8</v>
      </c>
      <c r="AO38" s="206">
        <v>19</v>
      </c>
      <c r="AP38" s="213">
        <v>105</v>
      </c>
      <c r="AQ38" s="207">
        <v>67</v>
      </c>
      <c r="AR38" s="207">
        <v>7</v>
      </c>
      <c r="AS38" s="207">
        <v>14</v>
      </c>
      <c r="AT38" s="207">
        <v>88</v>
      </c>
      <c r="AU38" s="208">
        <v>86</v>
      </c>
      <c r="AV38" s="208">
        <v>9</v>
      </c>
      <c r="AW38" s="208">
        <v>29</v>
      </c>
      <c r="AX38" s="208">
        <v>124</v>
      </c>
      <c r="AY38" s="206">
        <v>59</v>
      </c>
      <c r="AZ38" s="209">
        <v>6</v>
      </c>
      <c r="BA38" s="210">
        <v>4</v>
      </c>
      <c r="BB38" s="214">
        <v>69</v>
      </c>
    </row>
    <row r="39" spans="1:54" ht="15.75" x14ac:dyDescent="0.25">
      <c r="A39" s="200">
        <v>44964</v>
      </c>
      <c r="B39" s="201" t="s">
        <v>317</v>
      </c>
      <c r="C39" s="201">
        <v>4</v>
      </c>
      <c r="D39" s="201" t="s">
        <v>291</v>
      </c>
      <c r="E39" s="201">
        <v>98</v>
      </c>
      <c r="F39" s="201">
        <v>102</v>
      </c>
      <c r="G39" s="201">
        <v>63</v>
      </c>
      <c r="H39" s="202">
        <v>165</v>
      </c>
      <c r="I39" s="201">
        <v>97</v>
      </c>
      <c r="J39" s="203">
        <v>74</v>
      </c>
      <c r="K39" s="204">
        <v>171</v>
      </c>
      <c r="L39" s="205">
        <v>434</v>
      </c>
      <c r="M39" s="206">
        <v>116</v>
      </c>
      <c r="N39" s="206">
        <v>10</v>
      </c>
      <c r="O39" s="206">
        <v>36</v>
      </c>
      <c r="P39" s="206">
        <v>162</v>
      </c>
      <c r="Q39" s="207">
        <v>86</v>
      </c>
      <c r="R39" s="207">
        <v>15</v>
      </c>
      <c r="S39" s="207">
        <v>60</v>
      </c>
      <c r="T39" s="207">
        <v>161</v>
      </c>
      <c r="U39" s="208">
        <v>86</v>
      </c>
      <c r="V39" s="208">
        <v>14</v>
      </c>
      <c r="W39" s="208">
        <v>71</v>
      </c>
      <c r="X39" s="208">
        <v>171</v>
      </c>
      <c r="Y39" s="206">
        <v>116</v>
      </c>
      <c r="Z39" s="209">
        <v>11</v>
      </c>
      <c r="AA39" s="210">
        <v>25</v>
      </c>
      <c r="AB39" s="210">
        <v>152</v>
      </c>
      <c r="AC39" s="211">
        <v>44964</v>
      </c>
      <c r="AD39" s="201" t="s">
        <v>317</v>
      </c>
      <c r="AE39" s="201">
        <v>3</v>
      </c>
      <c r="AF39" s="201" t="s">
        <v>298</v>
      </c>
      <c r="AG39" s="201">
        <v>39</v>
      </c>
      <c r="AH39" s="201">
        <v>236</v>
      </c>
      <c r="AI39" s="201">
        <v>105</v>
      </c>
      <c r="AJ39" s="201">
        <v>61</v>
      </c>
      <c r="AK39" s="204">
        <v>166</v>
      </c>
      <c r="AL39" s="212">
        <v>441</v>
      </c>
      <c r="AM39" s="206">
        <v>85</v>
      </c>
      <c r="AN39" s="206">
        <v>5</v>
      </c>
      <c r="AO39" s="206">
        <v>49</v>
      </c>
      <c r="AP39" s="213">
        <v>139</v>
      </c>
      <c r="AQ39" s="207">
        <v>66</v>
      </c>
      <c r="AR39" s="207">
        <v>7</v>
      </c>
      <c r="AS39" s="207">
        <v>31</v>
      </c>
      <c r="AT39" s="207">
        <v>104</v>
      </c>
      <c r="AU39" s="208">
        <v>102</v>
      </c>
      <c r="AV39" s="208">
        <v>11</v>
      </c>
      <c r="AW39" s="208">
        <v>53</v>
      </c>
      <c r="AX39" s="208">
        <v>166</v>
      </c>
      <c r="AY39" s="206">
        <v>49</v>
      </c>
      <c r="AZ39" s="209">
        <v>1</v>
      </c>
      <c r="BA39" s="210">
        <v>27</v>
      </c>
      <c r="BB39" s="214">
        <v>77</v>
      </c>
    </row>
    <row r="40" spans="1:54" ht="15.75" x14ac:dyDescent="0.25">
      <c r="A40" s="200">
        <v>44965</v>
      </c>
      <c r="B40" s="201" t="s">
        <v>318</v>
      </c>
      <c r="C40" s="201">
        <v>4</v>
      </c>
      <c r="D40" s="201" t="s">
        <v>291</v>
      </c>
      <c r="E40" s="201">
        <v>114</v>
      </c>
      <c r="F40" s="201">
        <v>99</v>
      </c>
      <c r="G40" s="201">
        <v>65</v>
      </c>
      <c r="H40" s="202">
        <v>164</v>
      </c>
      <c r="I40" s="201">
        <v>114</v>
      </c>
      <c r="J40" s="203">
        <v>27</v>
      </c>
      <c r="K40" s="204">
        <v>141</v>
      </c>
      <c r="L40" s="205">
        <v>419</v>
      </c>
      <c r="M40" s="206">
        <v>123</v>
      </c>
      <c r="N40" s="206">
        <v>10</v>
      </c>
      <c r="O40" s="206">
        <v>42</v>
      </c>
      <c r="P40" s="206">
        <v>175</v>
      </c>
      <c r="Q40" s="207">
        <v>90</v>
      </c>
      <c r="R40" s="207">
        <v>10</v>
      </c>
      <c r="S40" s="207">
        <v>43</v>
      </c>
      <c r="T40" s="207">
        <v>143</v>
      </c>
      <c r="U40" s="208">
        <v>85</v>
      </c>
      <c r="V40" s="208">
        <v>7</v>
      </c>
      <c r="W40" s="208">
        <v>49</v>
      </c>
      <c r="X40" s="208">
        <v>141</v>
      </c>
      <c r="Y40" s="206">
        <v>128</v>
      </c>
      <c r="Z40" s="209">
        <v>13</v>
      </c>
      <c r="AA40" s="210">
        <v>36</v>
      </c>
      <c r="AB40" s="210">
        <v>177</v>
      </c>
      <c r="AC40" s="211">
        <v>44965</v>
      </c>
      <c r="AD40" s="201" t="s">
        <v>318</v>
      </c>
      <c r="AE40" s="201">
        <v>3</v>
      </c>
      <c r="AF40" s="201" t="s">
        <v>298</v>
      </c>
      <c r="AG40" s="201">
        <v>43</v>
      </c>
      <c r="AH40" s="201">
        <v>230</v>
      </c>
      <c r="AI40" s="201">
        <v>102</v>
      </c>
      <c r="AJ40" s="201">
        <v>48</v>
      </c>
      <c r="AK40" s="204">
        <v>150</v>
      </c>
      <c r="AL40" s="212">
        <v>423</v>
      </c>
      <c r="AM40" s="206">
        <v>90</v>
      </c>
      <c r="AN40" s="206">
        <v>9</v>
      </c>
      <c r="AO40" s="206">
        <v>44</v>
      </c>
      <c r="AP40" s="213">
        <v>143</v>
      </c>
      <c r="AQ40" s="207">
        <v>70</v>
      </c>
      <c r="AR40" s="207">
        <v>6</v>
      </c>
      <c r="AS40" s="207">
        <v>24</v>
      </c>
      <c r="AT40" s="207">
        <v>100</v>
      </c>
      <c r="AU40" s="208">
        <v>102</v>
      </c>
      <c r="AV40" s="208">
        <v>9</v>
      </c>
      <c r="AW40" s="208">
        <v>39</v>
      </c>
      <c r="AX40" s="208">
        <v>150</v>
      </c>
      <c r="AY40" s="206">
        <v>58</v>
      </c>
      <c r="AZ40" s="209">
        <v>6</v>
      </c>
      <c r="BA40" s="210">
        <v>29</v>
      </c>
      <c r="BB40" s="214">
        <v>93</v>
      </c>
    </row>
    <row r="41" spans="1:54" ht="15.75" x14ac:dyDescent="0.25">
      <c r="A41" s="200">
        <v>44966</v>
      </c>
      <c r="B41" s="201" t="s">
        <v>319</v>
      </c>
      <c r="C41" s="201">
        <v>1</v>
      </c>
      <c r="D41" s="201" t="s">
        <v>291</v>
      </c>
      <c r="E41" s="201">
        <v>105</v>
      </c>
      <c r="F41" s="201">
        <v>85</v>
      </c>
      <c r="G41" s="201">
        <v>66</v>
      </c>
      <c r="H41" s="202">
        <v>151</v>
      </c>
      <c r="I41" s="201">
        <v>99</v>
      </c>
      <c r="J41" s="203">
        <v>36</v>
      </c>
      <c r="K41" s="204">
        <v>135</v>
      </c>
      <c r="L41" s="205">
        <v>391</v>
      </c>
      <c r="M41" s="206">
        <v>114</v>
      </c>
      <c r="N41" s="206">
        <v>14</v>
      </c>
      <c r="O41" s="206">
        <v>38</v>
      </c>
      <c r="P41" s="206">
        <v>166</v>
      </c>
      <c r="Q41" s="207">
        <v>84</v>
      </c>
      <c r="R41" s="207">
        <v>8</v>
      </c>
      <c r="S41" s="207">
        <v>55</v>
      </c>
      <c r="T41" s="207">
        <v>147</v>
      </c>
      <c r="U41" s="208">
        <v>78</v>
      </c>
      <c r="V41" s="208">
        <v>7</v>
      </c>
      <c r="W41" s="208">
        <v>50</v>
      </c>
      <c r="X41" s="208">
        <v>135</v>
      </c>
      <c r="Y41" s="206">
        <v>120</v>
      </c>
      <c r="Z41" s="209">
        <v>15</v>
      </c>
      <c r="AA41" s="210">
        <v>43</v>
      </c>
      <c r="AB41" s="210">
        <v>178</v>
      </c>
      <c r="AC41" s="211">
        <v>44966</v>
      </c>
      <c r="AD41" s="201" t="s">
        <v>319</v>
      </c>
      <c r="AE41" s="201">
        <v>2</v>
      </c>
      <c r="AF41" s="201" t="s">
        <v>298</v>
      </c>
      <c r="AG41" s="201">
        <v>41</v>
      </c>
      <c r="AH41" s="201">
        <v>243</v>
      </c>
      <c r="AI41" s="201">
        <v>109</v>
      </c>
      <c r="AJ41" s="201">
        <v>60</v>
      </c>
      <c r="AK41" s="204">
        <v>169</v>
      </c>
      <c r="AL41" s="212">
        <v>453</v>
      </c>
      <c r="AM41" s="206">
        <v>98</v>
      </c>
      <c r="AN41" s="206">
        <v>12</v>
      </c>
      <c r="AO41" s="206">
        <v>25</v>
      </c>
      <c r="AP41" s="213">
        <v>135</v>
      </c>
      <c r="AQ41" s="207">
        <v>83</v>
      </c>
      <c r="AR41" s="207">
        <v>8</v>
      </c>
      <c r="AS41" s="207">
        <v>32</v>
      </c>
      <c r="AT41" s="207">
        <v>123</v>
      </c>
      <c r="AU41" s="208">
        <v>115</v>
      </c>
      <c r="AV41" s="208">
        <v>18</v>
      </c>
      <c r="AW41" s="208">
        <v>36</v>
      </c>
      <c r="AX41" s="208">
        <v>169</v>
      </c>
      <c r="AY41" s="206">
        <v>66</v>
      </c>
      <c r="AZ41" s="209">
        <v>2</v>
      </c>
      <c r="BA41" s="210">
        <v>21</v>
      </c>
      <c r="BB41" s="214">
        <v>89</v>
      </c>
    </row>
    <row r="42" spans="1:54" ht="15.75" x14ac:dyDescent="0.25">
      <c r="A42" s="200">
        <v>44967</v>
      </c>
      <c r="B42" s="201" t="s">
        <v>285</v>
      </c>
      <c r="C42" s="201">
        <v>1</v>
      </c>
      <c r="D42" s="201" t="s">
        <v>291</v>
      </c>
      <c r="E42" s="201">
        <v>106</v>
      </c>
      <c r="F42" s="201">
        <v>75</v>
      </c>
      <c r="G42" s="201">
        <v>73</v>
      </c>
      <c r="H42" s="202">
        <v>148</v>
      </c>
      <c r="I42" s="201">
        <v>110</v>
      </c>
      <c r="J42" s="203">
        <v>42</v>
      </c>
      <c r="K42" s="204">
        <v>152</v>
      </c>
      <c r="L42" s="205">
        <v>406</v>
      </c>
      <c r="M42" s="206">
        <v>116</v>
      </c>
      <c r="N42" s="206">
        <v>13</v>
      </c>
      <c r="O42" s="206">
        <v>43</v>
      </c>
      <c r="P42" s="206">
        <v>172</v>
      </c>
      <c r="Q42" s="207">
        <v>108</v>
      </c>
      <c r="R42" s="207">
        <v>7</v>
      </c>
      <c r="S42" s="207">
        <v>50</v>
      </c>
      <c r="T42" s="207">
        <v>165</v>
      </c>
      <c r="U42" s="208">
        <v>90</v>
      </c>
      <c r="V42" s="208">
        <v>10</v>
      </c>
      <c r="W42" s="208">
        <v>52</v>
      </c>
      <c r="X42" s="208">
        <v>152</v>
      </c>
      <c r="Y42" s="206">
        <v>134</v>
      </c>
      <c r="Z42" s="209">
        <v>10</v>
      </c>
      <c r="AA42" s="210">
        <v>41</v>
      </c>
      <c r="AB42" s="210">
        <v>185</v>
      </c>
      <c r="AC42" s="211">
        <v>44967</v>
      </c>
      <c r="AD42" s="201" t="s">
        <v>285</v>
      </c>
      <c r="AE42" s="201">
        <v>2</v>
      </c>
      <c r="AF42" s="201" t="s">
        <v>298</v>
      </c>
      <c r="AG42" s="201">
        <v>34</v>
      </c>
      <c r="AH42" s="201">
        <v>273</v>
      </c>
      <c r="AI42" s="201">
        <v>133</v>
      </c>
      <c r="AJ42" s="201">
        <v>55</v>
      </c>
      <c r="AK42" s="204">
        <v>188</v>
      </c>
      <c r="AL42" s="212">
        <v>495</v>
      </c>
      <c r="AM42" s="206">
        <v>104</v>
      </c>
      <c r="AN42" s="206">
        <v>13</v>
      </c>
      <c r="AO42" s="206">
        <v>38</v>
      </c>
      <c r="AP42" s="213">
        <v>155</v>
      </c>
      <c r="AQ42" s="207">
        <v>73</v>
      </c>
      <c r="AR42" s="207">
        <v>7</v>
      </c>
      <c r="AS42" s="207">
        <v>47</v>
      </c>
      <c r="AT42" s="207">
        <v>127</v>
      </c>
      <c r="AU42" s="208">
        <v>127</v>
      </c>
      <c r="AV42" s="208">
        <v>18</v>
      </c>
      <c r="AW42" s="208">
        <v>43</v>
      </c>
      <c r="AX42" s="208">
        <v>188</v>
      </c>
      <c r="AY42" s="206">
        <v>50</v>
      </c>
      <c r="AZ42" s="209">
        <v>2</v>
      </c>
      <c r="BA42" s="210">
        <v>42</v>
      </c>
      <c r="BB42" s="214">
        <v>94</v>
      </c>
    </row>
    <row r="43" spans="1:54" ht="15.75" x14ac:dyDescent="0.25">
      <c r="A43" s="200">
        <v>44968</v>
      </c>
      <c r="B43" s="201" t="s">
        <v>320</v>
      </c>
      <c r="C43" s="201">
        <v>3</v>
      </c>
      <c r="D43" s="201" t="s">
        <v>291</v>
      </c>
      <c r="E43" s="201">
        <v>127</v>
      </c>
      <c r="F43" s="201">
        <v>81</v>
      </c>
      <c r="G43" s="201">
        <v>67</v>
      </c>
      <c r="H43" s="202">
        <v>148</v>
      </c>
      <c r="I43" s="201">
        <v>92</v>
      </c>
      <c r="J43" s="203">
        <v>77</v>
      </c>
      <c r="K43" s="204">
        <v>169</v>
      </c>
      <c r="L43" s="205">
        <v>444</v>
      </c>
      <c r="M43" s="206">
        <v>130</v>
      </c>
      <c r="N43" s="206">
        <v>17</v>
      </c>
      <c r="O43" s="206">
        <v>60</v>
      </c>
      <c r="P43" s="206">
        <v>207</v>
      </c>
      <c r="Q43" s="207">
        <v>124</v>
      </c>
      <c r="R43" s="207">
        <v>17</v>
      </c>
      <c r="S43" s="207">
        <v>61</v>
      </c>
      <c r="T43" s="207">
        <v>202</v>
      </c>
      <c r="U43" s="208">
        <v>97</v>
      </c>
      <c r="V43" s="208">
        <v>15</v>
      </c>
      <c r="W43" s="208">
        <v>57</v>
      </c>
      <c r="X43" s="208">
        <v>169</v>
      </c>
      <c r="Y43" s="206">
        <v>157</v>
      </c>
      <c r="Z43" s="209">
        <v>19</v>
      </c>
      <c r="AA43" s="210">
        <v>64</v>
      </c>
      <c r="AB43" s="210">
        <v>240</v>
      </c>
      <c r="AC43" s="211">
        <v>44968</v>
      </c>
      <c r="AD43" s="201" t="s">
        <v>320</v>
      </c>
      <c r="AE43" s="201">
        <v>4</v>
      </c>
      <c r="AF43" s="201" t="s">
        <v>298</v>
      </c>
      <c r="AG43" s="201">
        <v>48</v>
      </c>
      <c r="AH43" s="201">
        <v>310</v>
      </c>
      <c r="AI43" s="201">
        <v>101</v>
      </c>
      <c r="AJ43" s="201">
        <v>28</v>
      </c>
      <c r="AK43" s="204">
        <v>129</v>
      </c>
      <c r="AL43" s="212">
        <v>487</v>
      </c>
      <c r="AM43" s="206">
        <v>83</v>
      </c>
      <c r="AN43" s="206">
        <v>9</v>
      </c>
      <c r="AO43" s="206">
        <v>37</v>
      </c>
      <c r="AP43" s="213">
        <v>129</v>
      </c>
      <c r="AQ43" s="207">
        <v>50</v>
      </c>
      <c r="AR43" s="207">
        <v>10</v>
      </c>
      <c r="AS43" s="207">
        <v>40</v>
      </c>
      <c r="AT43" s="207">
        <v>100</v>
      </c>
      <c r="AU43" s="208">
        <v>81</v>
      </c>
      <c r="AV43" s="208">
        <v>7</v>
      </c>
      <c r="AW43" s="208">
        <v>41</v>
      </c>
      <c r="AX43" s="208">
        <v>129</v>
      </c>
      <c r="AY43" s="206">
        <v>52</v>
      </c>
      <c r="AZ43" s="209">
        <v>12</v>
      </c>
      <c r="BA43" s="210">
        <v>36</v>
      </c>
      <c r="BB43" s="214">
        <v>100</v>
      </c>
    </row>
    <row r="44" spans="1:54" ht="15.75" x14ac:dyDescent="0.25">
      <c r="A44" s="200">
        <v>44969</v>
      </c>
      <c r="B44" s="201" t="s">
        <v>293</v>
      </c>
      <c r="C44" s="201">
        <v>3</v>
      </c>
      <c r="D44" s="201" t="s">
        <v>291</v>
      </c>
      <c r="E44" s="201">
        <v>136</v>
      </c>
      <c r="F44" s="201">
        <v>80</v>
      </c>
      <c r="G44" s="201">
        <v>72</v>
      </c>
      <c r="H44" s="202">
        <v>152</v>
      </c>
      <c r="I44" s="201">
        <v>93</v>
      </c>
      <c r="J44" s="203">
        <v>57</v>
      </c>
      <c r="K44" s="204">
        <v>150</v>
      </c>
      <c r="L44" s="205">
        <v>438</v>
      </c>
      <c r="M44" s="206">
        <v>95</v>
      </c>
      <c r="N44" s="206">
        <v>13</v>
      </c>
      <c r="O44" s="206">
        <v>46</v>
      </c>
      <c r="P44" s="206">
        <v>154</v>
      </c>
      <c r="Q44" s="207">
        <v>113</v>
      </c>
      <c r="R44" s="207">
        <v>16</v>
      </c>
      <c r="S44" s="207">
        <v>43</v>
      </c>
      <c r="T44" s="207">
        <v>172</v>
      </c>
      <c r="U44" s="208">
        <v>85</v>
      </c>
      <c r="V44" s="208">
        <v>13</v>
      </c>
      <c r="W44" s="208">
        <v>52</v>
      </c>
      <c r="X44" s="208">
        <v>150</v>
      </c>
      <c r="Y44" s="206">
        <v>123</v>
      </c>
      <c r="Z44" s="209">
        <v>16</v>
      </c>
      <c r="AA44" s="210">
        <v>37</v>
      </c>
      <c r="AB44" s="210">
        <v>176</v>
      </c>
      <c r="AC44" s="211">
        <v>44969</v>
      </c>
      <c r="AD44" s="201" t="s">
        <v>293</v>
      </c>
      <c r="AE44" s="201">
        <v>4</v>
      </c>
      <c r="AF44" s="201" t="s">
        <v>298</v>
      </c>
      <c r="AG44" s="201">
        <v>33</v>
      </c>
      <c r="AH44" s="201">
        <v>211</v>
      </c>
      <c r="AI44" s="201">
        <v>119</v>
      </c>
      <c r="AJ44" s="201">
        <v>74</v>
      </c>
      <c r="AK44" s="204">
        <v>193</v>
      </c>
      <c r="AL44" s="212">
        <v>437</v>
      </c>
      <c r="AM44" s="206">
        <v>85</v>
      </c>
      <c r="AN44" s="206">
        <v>8</v>
      </c>
      <c r="AO44" s="206">
        <v>61</v>
      </c>
      <c r="AP44" s="213">
        <v>154</v>
      </c>
      <c r="AQ44" s="207">
        <v>71</v>
      </c>
      <c r="AR44" s="207">
        <v>2</v>
      </c>
      <c r="AS44" s="207">
        <v>37</v>
      </c>
      <c r="AT44" s="207">
        <v>110</v>
      </c>
      <c r="AU44" s="208">
        <v>101</v>
      </c>
      <c r="AV44" s="208">
        <v>10</v>
      </c>
      <c r="AW44" s="208">
        <v>82</v>
      </c>
      <c r="AX44" s="208">
        <v>193</v>
      </c>
      <c r="AY44" s="206">
        <v>55</v>
      </c>
      <c r="AZ44" s="209">
        <v>0</v>
      </c>
      <c r="BA44" s="210">
        <v>16</v>
      </c>
      <c r="BB44" s="214">
        <v>71</v>
      </c>
    </row>
    <row r="45" spans="1:54" ht="15.75" x14ac:dyDescent="0.25">
      <c r="A45" s="200">
        <v>44970</v>
      </c>
      <c r="B45" s="201" t="s">
        <v>316</v>
      </c>
      <c r="C45" s="201">
        <v>2</v>
      </c>
      <c r="D45" s="201" t="s">
        <v>291</v>
      </c>
      <c r="E45" s="201">
        <v>130</v>
      </c>
      <c r="F45" s="201">
        <v>63</v>
      </c>
      <c r="G45" s="201">
        <v>75</v>
      </c>
      <c r="H45" s="202">
        <v>138</v>
      </c>
      <c r="I45" s="201">
        <v>97</v>
      </c>
      <c r="J45" s="203">
        <v>72</v>
      </c>
      <c r="K45" s="204">
        <v>169</v>
      </c>
      <c r="L45" s="205">
        <v>437</v>
      </c>
      <c r="M45" s="206">
        <v>104</v>
      </c>
      <c r="N45" s="206">
        <v>19</v>
      </c>
      <c r="O45" s="206">
        <v>61</v>
      </c>
      <c r="P45" s="206">
        <v>184</v>
      </c>
      <c r="Q45" s="207">
        <v>105</v>
      </c>
      <c r="R45" s="207">
        <v>7</v>
      </c>
      <c r="S45" s="207">
        <v>60</v>
      </c>
      <c r="T45" s="207">
        <v>172</v>
      </c>
      <c r="U45" s="208">
        <v>91</v>
      </c>
      <c r="V45" s="208">
        <v>17</v>
      </c>
      <c r="W45" s="208">
        <v>61</v>
      </c>
      <c r="X45" s="208">
        <v>169</v>
      </c>
      <c r="Y45" s="206">
        <v>118</v>
      </c>
      <c r="Z45" s="209">
        <v>9</v>
      </c>
      <c r="AA45" s="210">
        <v>60</v>
      </c>
      <c r="AB45" s="210">
        <v>187</v>
      </c>
      <c r="AC45" s="211">
        <v>44970</v>
      </c>
      <c r="AD45" s="201" t="s">
        <v>316</v>
      </c>
      <c r="AE45" s="201">
        <v>1</v>
      </c>
      <c r="AF45" s="201" t="s">
        <v>298</v>
      </c>
      <c r="AG45" s="201">
        <v>27</v>
      </c>
      <c r="AH45" s="201">
        <v>183</v>
      </c>
      <c r="AI45" s="201">
        <v>115</v>
      </c>
      <c r="AJ45" s="201">
        <v>54</v>
      </c>
      <c r="AK45" s="204">
        <v>169</v>
      </c>
      <c r="AL45" s="212">
        <v>379</v>
      </c>
      <c r="AM45" s="206">
        <v>99</v>
      </c>
      <c r="AN45" s="206">
        <v>15</v>
      </c>
      <c r="AO45" s="206">
        <v>42</v>
      </c>
      <c r="AP45" s="213">
        <v>156</v>
      </c>
      <c r="AQ45" s="207">
        <v>89</v>
      </c>
      <c r="AR45" s="207">
        <v>5</v>
      </c>
      <c r="AS45" s="207">
        <v>21</v>
      </c>
      <c r="AT45" s="207">
        <v>115</v>
      </c>
      <c r="AU45" s="208">
        <v>118</v>
      </c>
      <c r="AV45" s="208">
        <v>11</v>
      </c>
      <c r="AW45" s="208">
        <v>40</v>
      </c>
      <c r="AX45" s="208">
        <v>169</v>
      </c>
      <c r="AY45" s="206">
        <v>70</v>
      </c>
      <c r="AZ45" s="209">
        <v>9</v>
      </c>
      <c r="BA45" s="210">
        <v>23</v>
      </c>
      <c r="BB45" s="214">
        <v>102</v>
      </c>
    </row>
    <row r="46" spans="1:54" ht="15.75" x14ac:dyDescent="0.25">
      <c r="A46" s="200">
        <v>44971</v>
      </c>
      <c r="B46" s="201" t="s">
        <v>317</v>
      </c>
      <c r="C46" s="201">
        <v>2</v>
      </c>
      <c r="D46" s="201" t="s">
        <v>291</v>
      </c>
      <c r="E46" s="201">
        <v>125</v>
      </c>
      <c r="F46" s="201">
        <v>66</v>
      </c>
      <c r="G46" s="201">
        <v>89</v>
      </c>
      <c r="H46" s="202">
        <v>155</v>
      </c>
      <c r="I46" s="201">
        <v>116</v>
      </c>
      <c r="J46" s="203">
        <v>57</v>
      </c>
      <c r="K46" s="204">
        <v>173</v>
      </c>
      <c r="L46" s="205">
        <v>453</v>
      </c>
      <c r="M46" s="206">
        <v>134</v>
      </c>
      <c r="N46" s="206">
        <v>13</v>
      </c>
      <c r="O46" s="206">
        <v>59</v>
      </c>
      <c r="P46" s="206">
        <v>206</v>
      </c>
      <c r="Q46" s="207">
        <v>92</v>
      </c>
      <c r="R46" s="207">
        <v>11</v>
      </c>
      <c r="S46" s="207">
        <v>53</v>
      </c>
      <c r="T46" s="207">
        <v>156</v>
      </c>
      <c r="U46" s="208">
        <v>111</v>
      </c>
      <c r="V46" s="208">
        <v>17</v>
      </c>
      <c r="W46" s="208">
        <v>45</v>
      </c>
      <c r="X46" s="208">
        <v>173</v>
      </c>
      <c r="Y46" s="206">
        <v>115</v>
      </c>
      <c r="Z46" s="209">
        <v>7</v>
      </c>
      <c r="AA46" s="210">
        <v>67</v>
      </c>
      <c r="AB46" s="210">
        <v>189</v>
      </c>
      <c r="AC46" s="211">
        <v>44971</v>
      </c>
      <c r="AD46" s="201" t="s">
        <v>317</v>
      </c>
      <c r="AE46" s="201">
        <v>1</v>
      </c>
      <c r="AF46" s="201" t="s">
        <v>298</v>
      </c>
      <c r="AG46" s="201">
        <v>23</v>
      </c>
      <c r="AH46" s="201">
        <v>218</v>
      </c>
      <c r="AI46" s="201">
        <v>95</v>
      </c>
      <c r="AJ46" s="201">
        <v>49</v>
      </c>
      <c r="AK46" s="204">
        <v>144</v>
      </c>
      <c r="AL46" s="212">
        <v>385</v>
      </c>
      <c r="AM46" s="206">
        <v>108</v>
      </c>
      <c r="AN46" s="206">
        <v>7</v>
      </c>
      <c r="AO46" s="206">
        <v>24</v>
      </c>
      <c r="AP46" s="213">
        <v>139</v>
      </c>
      <c r="AQ46" s="207">
        <v>67</v>
      </c>
      <c r="AR46" s="207">
        <v>4</v>
      </c>
      <c r="AS46" s="207">
        <v>38</v>
      </c>
      <c r="AT46" s="207">
        <v>109</v>
      </c>
      <c r="AU46" s="208">
        <v>99</v>
      </c>
      <c r="AV46" s="208">
        <v>9</v>
      </c>
      <c r="AW46" s="208">
        <v>36</v>
      </c>
      <c r="AX46" s="208">
        <v>144</v>
      </c>
      <c r="AY46" s="206">
        <v>76</v>
      </c>
      <c r="AZ46" s="209">
        <v>2</v>
      </c>
      <c r="BA46" s="210">
        <v>26</v>
      </c>
      <c r="BB46" s="214">
        <v>104</v>
      </c>
    </row>
    <row r="47" spans="1:54" ht="15.75" x14ac:dyDescent="0.25">
      <c r="A47" s="200">
        <v>44972</v>
      </c>
      <c r="B47" s="201" t="s">
        <v>318</v>
      </c>
      <c r="C47" s="201">
        <v>4</v>
      </c>
      <c r="D47" s="201" t="s">
        <v>291</v>
      </c>
      <c r="E47" s="201">
        <v>150</v>
      </c>
      <c r="F47" s="201">
        <v>91</v>
      </c>
      <c r="G47" s="201">
        <v>51</v>
      </c>
      <c r="H47" s="202">
        <v>142</v>
      </c>
      <c r="I47" s="201">
        <v>65</v>
      </c>
      <c r="J47" s="203">
        <v>54</v>
      </c>
      <c r="K47" s="204">
        <v>119</v>
      </c>
      <c r="L47" s="205">
        <v>411</v>
      </c>
      <c r="M47" s="206">
        <v>90</v>
      </c>
      <c r="N47" s="206">
        <v>17</v>
      </c>
      <c r="O47" s="206">
        <v>44</v>
      </c>
      <c r="P47" s="206">
        <v>151</v>
      </c>
      <c r="Q47" s="207">
        <v>99</v>
      </c>
      <c r="R47" s="207">
        <v>8</v>
      </c>
      <c r="S47" s="207">
        <v>44</v>
      </c>
      <c r="T47" s="207">
        <v>151</v>
      </c>
      <c r="U47" s="208">
        <v>61</v>
      </c>
      <c r="V47" s="208">
        <v>10</v>
      </c>
      <c r="W47" s="208">
        <v>48</v>
      </c>
      <c r="X47" s="208">
        <v>119</v>
      </c>
      <c r="Y47" s="206">
        <v>128</v>
      </c>
      <c r="Z47" s="209">
        <v>15</v>
      </c>
      <c r="AA47" s="210">
        <v>40</v>
      </c>
      <c r="AB47" s="210">
        <v>183</v>
      </c>
      <c r="AC47" s="211">
        <v>44972</v>
      </c>
      <c r="AD47" s="201" t="s">
        <v>318</v>
      </c>
      <c r="AE47" s="201">
        <v>3</v>
      </c>
      <c r="AF47" s="201" t="s">
        <v>298</v>
      </c>
      <c r="AG47" s="201">
        <v>50</v>
      </c>
      <c r="AH47" s="201">
        <v>235</v>
      </c>
      <c r="AI47" s="201">
        <v>93</v>
      </c>
      <c r="AJ47" s="201">
        <v>37</v>
      </c>
      <c r="AK47" s="204">
        <v>130</v>
      </c>
      <c r="AL47" s="212">
        <v>415</v>
      </c>
      <c r="AM47" s="206">
        <v>97</v>
      </c>
      <c r="AN47" s="206">
        <v>7</v>
      </c>
      <c r="AO47" s="206">
        <v>40</v>
      </c>
      <c r="AP47" s="213">
        <v>144</v>
      </c>
      <c r="AQ47" s="207">
        <v>65</v>
      </c>
      <c r="AR47" s="207">
        <v>3</v>
      </c>
      <c r="AS47" s="207">
        <v>34</v>
      </c>
      <c r="AT47" s="207">
        <v>102</v>
      </c>
      <c r="AU47" s="208">
        <v>94</v>
      </c>
      <c r="AV47" s="208">
        <v>6</v>
      </c>
      <c r="AW47" s="208">
        <v>30</v>
      </c>
      <c r="AX47" s="208">
        <v>130</v>
      </c>
      <c r="AY47" s="206">
        <v>68</v>
      </c>
      <c r="AZ47" s="209">
        <v>4</v>
      </c>
      <c r="BA47" s="210">
        <v>44</v>
      </c>
      <c r="BB47" s="214">
        <v>116</v>
      </c>
    </row>
    <row r="48" spans="1:54" ht="15.75" x14ac:dyDescent="0.25">
      <c r="A48" s="200">
        <v>44973</v>
      </c>
      <c r="B48" s="201" t="s">
        <v>319</v>
      </c>
      <c r="C48" s="201">
        <v>4</v>
      </c>
      <c r="D48" s="201" t="s">
        <v>291</v>
      </c>
      <c r="E48" s="201">
        <v>148</v>
      </c>
      <c r="F48" s="201">
        <v>100</v>
      </c>
      <c r="G48" s="201">
        <v>61</v>
      </c>
      <c r="H48" s="202">
        <v>161</v>
      </c>
      <c r="I48" s="201">
        <v>117</v>
      </c>
      <c r="J48" s="203">
        <v>44</v>
      </c>
      <c r="K48" s="204">
        <v>161</v>
      </c>
      <c r="L48" s="205">
        <v>470</v>
      </c>
      <c r="M48" s="206">
        <v>96</v>
      </c>
      <c r="N48" s="206">
        <v>13</v>
      </c>
      <c r="O48" s="206">
        <v>33</v>
      </c>
      <c r="P48" s="206">
        <v>142</v>
      </c>
      <c r="Q48" s="207">
        <v>116</v>
      </c>
      <c r="R48" s="207">
        <v>14</v>
      </c>
      <c r="S48" s="207">
        <v>47</v>
      </c>
      <c r="T48" s="207">
        <v>177</v>
      </c>
      <c r="U48" s="208">
        <v>115</v>
      </c>
      <c r="V48" s="208">
        <v>6</v>
      </c>
      <c r="W48" s="208">
        <v>40</v>
      </c>
      <c r="X48" s="208">
        <v>161</v>
      </c>
      <c r="Y48" s="206">
        <v>97</v>
      </c>
      <c r="Z48" s="209">
        <v>21</v>
      </c>
      <c r="AA48" s="210">
        <v>40</v>
      </c>
      <c r="AB48" s="210">
        <v>158</v>
      </c>
      <c r="AC48" s="211">
        <v>44973</v>
      </c>
      <c r="AD48" s="201" t="s">
        <v>319</v>
      </c>
      <c r="AE48" s="201">
        <v>3</v>
      </c>
      <c r="AF48" s="201" t="s">
        <v>298</v>
      </c>
      <c r="AG48" s="201">
        <v>65</v>
      </c>
      <c r="AH48" s="201">
        <v>237</v>
      </c>
      <c r="AI48" s="201">
        <v>103</v>
      </c>
      <c r="AJ48" s="201">
        <v>30</v>
      </c>
      <c r="AK48" s="204">
        <v>133</v>
      </c>
      <c r="AL48" s="212">
        <v>435</v>
      </c>
      <c r="AM48" s="206">
        <v>80</v>
      </c>
      <c r="AN48" s="206">
        <v>10</v>
      </c>
      <c r="AO48" s="206">
        <v>60</v>
      </c>
      <c r="AP48" s="213">
        <v>150</v>
      </c>
      <c r="AQ48" s="207">
        <v>72</v>
      </c>
      <c r="AR48" s="207">
        <v>2</v>
      </c>
      <c r="AS48" s="207">
        <v>22</v>
      </c>
      <c r="AT48" s="207">
        <v>96</v>
      </c>
      <c r="AU48" s="208">
        <v>75</v>
      </c>
      <c r="AV48" s="208">
        <v>9</v>
      </c>
      <c r="AW48" s="208">
        <v>49</v>
      </c>
      <c r="AX48" s="208">
        <v>133</v>
      </c>
      <c r="AY48" s="206">
        <v>77</v>
      </c>
      <c r="AZ48" s="209">
        <v>3</v>
      </c>
      <c r="BA48" s="210">
        <v>33</v>
      </c>
      <c r="BB48" s="214">
        <v>113</v>
      </c>
    </row>
    <row r="49" spans="1:54" ht="15.75" x14ac:dyDescent="0.25">
      <c r="A49" s="200">
        <v>44974</v>
      </c>
      <c r="B49" s="201" t="s">
        <v>285</v>
      </c>
      <c r="C49" s="201">
        <v>1</v>
      </c>
      <c r="D49" s="201" t="s">
        <v>291</v>
      </c>
      <c r="E49" s="201">
        <v>129</v>
      </c>
      <c r="F49" s="201">
        <v>87</v>
      </c>
      <c r="G49" s="201">
        <v>89</v>
      </c>
      <c r="H49" s="202">
        <v>176</v>
      </c>
      <c r="I49" s="201">
        <v>91</v>
      </c>
      <c r="J49" s="203">
        <v>44</v>
      </c>
      <c r="K49" s="204">
        <v>135</v>
      </c>
      <c r="L49" s="205">
        <v>440</v>
      </c>
      <c r="M49" s="206">
        <v>119</v>
      </c>
      <c r="N49" s="206">
        <v>25</v>
      </c>
      <c r="O49" s="206">
        <v>42</v>
      </c>
      <c r="P49" s="206">
        <v>186</v>
      </c>
      <c r="Q49" s="207">
        <v>117</v>
      </c>
      <c r="R49" s="207">
        <v>10</v>
      </c>
      <c r="S49" s="207">
        <v>47</v>
      </c>
      <c r="T49" s="207">
        <v>174</v>
      </c>
      <c r="U49" s="208">
        <v>74</v>
      </c>
      <c r="V49" s="208">
        <v>11</v>
      </c>
      <c r="W49" s="208">
        <v>50</v>
      </c>
      <c r="X49" s="208">
        <v>135</v>
      </c>
      <c r="Y49" s="206">
        <v>162</v>
      </c>
      <c r="Z49" s="209">
        <v>24</v>
      </c>
      <c r="AA49" s="210">
        <v>39</v>
      </c>
      <c r="AB49" s="210">
        <v>225</v>
      </c>
      <c r="AC49" s="211">
        <v>44974</v>
      </c>
      <c r="AD49" s="201" t="s">
        <v>285</v>
      </c>
      <c r="AE49" s="201">
        <v>2</v>
      </c>
      <c r="AF49" s="201" t="s">
        <v>298</v>
      </c>
      <c r="AG49" s="201">
        <v>48</v>
      </c>
      <c r="AH49" s="201">
        <v>299</v>
      </c>
      <c r="AI49" s="201">
        <v>103</v>
      </c>
      <c r="AJ49" s="201">
        <v>52</v>
      </c>
      <c r="AK49" s="204">
        <v>155</v>
      </c>
      <c r="AL49" s="212">
        <v>502</v>
      </c>
      <c r="AM49" s="206">
        <v>105</v>
      </c>
      <c r="AN49" s="206">
        <v>5</v>
      </c>
      <c r="AO49" s="206">
        <v>49</v>
      </c>
      <c r="AP49" s="213">
        <v>159</v>
      </c>
      <c r="AQ49" s="207">
        <v>65</v>
      </c>
      <c r="AR49" s="207">
        <v>5</v>
      </c>
      <c r="AS49" s="207">
        <v>39</v>
      </c>
      <c r="AT49" s="207">
        <v>109</v>
      </c>
      <c r="AU49" s="208">
        <v>108</v>
      </c>
      <c r="AV49" s="208">
        <v>7</v>
      </c>
      <c r="AW49" s="208">
        <v>40</v>
      </c>
      <c r="AX49" s="208">
        <v>155</v>
      </c>
      <c r="AY49" s="206">
        <v>62</v>
      </c>
      <c r="AZ49" s="209">
        <v>3</v>
      </c>
      <c r="BA49" s="210">
        <v>48</v>
      </c>
      <c r="BB49" s="214">
        <v>113</v>
      </c>
    </row>
    <row r="50" spans="1:54" ht="15.75" x14ac:dyDescent="0.25">
      <c r="A50" s="200">
        <v>44975</v>
      </c>
      <c r="B50" s="201" t="s">
        <v>320</v>
      </c>
      <c r="C50" s="201">
        <v>1</v>
      </c>
      <c r="D50" s="201" t="s">
        <v>291</v>
      </c>
      <c r="E50" s="201">
        <v>169</v>
      </c>
      <c r="F50" s="201">
        <v>84</v>
      </c>
      <c r="G50" s="201">
        <v>88</v>
      </c>
      <c r="H50" s="202">
        <v>172</v>
      </c>
      <c r="I50" s="201">
        <v>102</v>
      </c>
      <c r="J50" s="203">
        <v>41</v>
      </c>
      <c r="K50" s="204">
        <v>143</v>
      </c>
      <c r="L50" s="205">
        <v>484</v>
      </c>
      <c r="M50" s="206">
        <v>132</v>
      </c>
      <c r="N50" s="206">
        <v>21</v>
      </c>
      <c r="O50" s="206">
        <v>52</v>
      </c>
      <c r="P50" s="206">
        <v>205</v>
      </c>
      <c r="Q50" s="207">
        <v>121</v>
      </c>
      <c r="R50" s="207">
        <v>14</v>
      </c>
      <c r="S50" s="207">
        <v>52</v>
      </c>
      <c r="T50" s="207">
        <v>187</v>
      </c>
      <c r="U50" s="208">
        <v>86</v>
      </c>
      <c r="V50" s="208">
        <v>17</v>
      </c>
      <c r="W50" s="208">
        <v>40</v>
      </c>
      <c r="X50" s="208">
        <v>143</v>
      </c>
      <c r="Y50" s="206">
        <v>167</v>
      </c>
      <c r="Z50" s="209">
        <v>18</v>
      </c>
      <c r="AA50" s="210">
        <v>64</v>
      </c>
      <c r="AB50" s="210">
        <v>249</v>
      </c>
      <c r="AC50" s="211">
        <v>44975</v>
      </c>
      <c r="AD50" s="201" t="s">
        <v>320</v>
      </c>
      <c r="AE50" s="201">
        <v>2</v>
      </c>
      <c r="AF50" s="201" t="s">
        <v>298</v>
      </c>
      <c r="AG50" s="201">
        <v>71</v>
      </c>
      <c r="AH50" s="201">
        <v>325</v>
      </c>
      <c r="AI50" s="201">
        <v>103</v>
      </c>
      <c r="AJ50" s="201">
        <v>36</v>
      </c>
      <c r="AK50" s="204">
        <v>139</v>
      </c>
      <c r="AL50" s="212">
        <v>535</v>
      </c>
      <c r="AM50" s="206">
        <v>92</v>
      </c>
      <c r="AN50" s="206">
        <v>10</v>
      </c>
      <c r="AO50" s="206">
        <v>54</v>
      </c>
      <c r="AP50" s="213">
        <v>156</v>
      </c>
      <c r="AQ50" s="207">
        <v>63</v>
      </c>
      <c r="AR50" s="207">
        <v>4</v>
      </c>
      <c r="AS50" s="207">
        <v>36</v>
      </c>
      <c r="AT50" s="207">
        <v>103</v>
      </c>
      <c r="AU50" s="208">
        <v>77</v>
      </c>
      <c r="AV50" s="208">
        <v>11</v>
      </c>
      <c r="AW50" s="208">
        <v>51</v>
      </c>
      <c r="AX50" s="208">
        <v>139</v>
      </c>
      <c r="AY50" s="206">
        <v>78</v>
      </c>
      <c r="AZ50" s="209">
        <v>3</v>
      </c>
      <c r="BA50" s="210">
        <v>39</v>
      </c>
      <c r="BB50" s="214">
        <v>120</v>
      </c>
    </row>
    <row r="51" spans="1:54" ht="15.75" x14ac:dyDescent="0.25">
      <c r="A51" s="200">
        <v>44976</v>
      </c>
      <c r="B51" s="201" t="s">
        <v>293</v>
      </c>
      <c r="C51" s="201">
        <v>3</v>
      </c>
      <c r="D51" s="201" t="s">
        <v>291</v>
      </c>
      <c r="E51" s="201">
        <v>146</v>
      </c>
      <c r="F51" s="201">
        <v>76</v>
      </c>
      <c r="G51" s="201">
        <v>86</v>
      </c>
      <c r="H51" s="202">
        <v>162</v>
      </c>
      <c r="I51" s="201">
        <v>96</v>
      </c>
      <c r="J51" s="203">
        <v>50</v>
      </c>
      <c r="K51" s="204">
        <v>146</v>
      </c>
      <c r="L51" s="205">
        <v>454</v>
      </c>
      <c r="M51" s="206">
        <v>130</v>
      </c>
      <c r="N51" s="206">
        <v>19</v>
      </c>
      <c r="O51" s="206">
        <v>57</v>
      </c>
      <c r="P51" s="206">
        <v>206</v>
      </c>
      <c r="Q51" s="207">
        <v>124</v>
      </c>
      <c r="R51" s="207">
        <v>23</v>
      </c>
      <c r="S51" s="207">
        <v>55</v>
      </c>
      <c r="T51" s="207">
        <v>202</v>
      </c>
      <c r="U51" s="208">
        <v>88</v>
      </c>
      <c r="V51" s="208">
        <v>17</v>
      </c>
      <c r="W51" s="208">
        <v>41</v>
      </c>
      <c r="X51" s="208">
        <v>146</v>
      </c>
      <c r="Y51" s="206">
        <v>166</v>
      </c>
      <c r="Z51" s="209">
        <v>25</v>
      </c>
      <c r="AA51" s="210">
        <v>71</v>
      </c>
      <c r="AB51" s="210">
        <v>262</v>
      </c>
      <c r="AC51" s="211">
        <v>44976</v>
      </c>
      <c r="AD51" s="201" t="s">
        <v>293</v>
      </c>
      <c r="AE51" s="201">
        <v>4</v>
      </c>
      <c r="AF51" s="201" t="s">
        <v>298</v>
      </c>
      <c r="AG51" s="201">
        <v>55</v>
      </c>
      <c r="AH51" s="201">
        <v>320</v>
      </c>
      <c r="AI51" s="201">
        <v>115</v>
      </c>
      <c r="AJ51" s="201">
        <v>43</v>
      </c>
      <c r="AK51" s="204">
        <v>158</v>
      </c>
      <c r="AL51" s="212">
        <v>533</v>
      </c>
      <c r="AM51" s="206">
        <v>110</v>
      </c>
      <c r="AN51" s="206">
        <v>17</v>
      </c>
      <c r="AO51" s="206">
        <v>30</v>
      </c>
      <c r="AP51" s="213">
        <v>157</v>
      </c>
      <c r="AQ51" s="207">
        <v>75</v>
      </c>
      <c r="AR51" s="207">
        <v>15</v>
      </c>
      <c r="AS51" s="207">
        <v>32</v>
      </c>
      <c r="AT51" s="207">
        <v>122</v>
      </c>
      <c r="AU51" s="208">
        <v>100</v>
      </c>
      <c r="AV51" s="208">
        <v>18</v>
      </c>
      <c r="AW51" s="208">
        <v>40</v>
      </c>
      <c r="AX51" s="208">
        <v>158</v>
      </c>
      <c r="AY51" s="206">
        <v>85</v>
      </c>
      <c r="AZ51" s="209">
        <v>14</v>
      </c>
      <c r="BA51" s="210">
        <v>22</v>
      </c>
      <c r="BB51" s="214">
        <v>121</v>
      </c>
    </row>
    <row r="52" spans="1:54" ht="15.75" x14ac:dyDescent="0.25">
      <c r="A52" s="200">
        <v>44977</v>
      </c>
      <c r="B52" s="201" t="s">
        <v>316</v>
      </c>
      <c r="C52" s="201">
        <v>3</v>
      </c>
      <c r="D52" s="201" t="s">
        <v>291</v>
      </c>
      <c r="E52" s="201">
        <v>149</v>
      </c>
      <c r="F52" s="201">
        <v>73</v>
      </c>
      <c r="G52" s="201">
        <v>73</v>
      </c>
      <c r="H52" s="202">
        <v>146</v>
      </c>
      <c r="I52" s="201">
        <v>55</v>
      </c>
      <c r="J52" s="203">
        <v>90</v>
      </c>
      <c r="K52" s="204">
        <v>145</v>
      </c>
      <c r="L52" s="205">
        <v>440</v>
      </c>
      <c r="M52" s="206">
        <v>112</v>
      </c>
      <c r="N52" s="206">
        <v>12</v>
      </c>
      <c r="O52" s="206">
        <v>65</v>
      </c>
      <c r="P52" s="206">
        <v>189</v>
      </c>
      <c r="Q52" s="207">
        <v>99</v>
      </c>
      <c r="R52" s="207">
        <v>25</v>
      </c>
      <c r="S52" s="207">
        <v>57</v>
      </c>
      <c r="T52" s="207">
        <v>181</v>
      </c>
      <c r="U52" s="208">
        <v>64</v>
      </c>
      <c r="V52" s="208">
        <v>21</v>
      </c>
      <c r="W52" s="208">
        <v>60</v>
      </c>
      <c r="X52" s="208">
        <v>145</v>
      </c>
      <c r="Y52" s="206">
        <v>147</v>
      </c>
      <c r="Z52" s="209">
        <v>16</v>
      </c>
      <c r="AA52" s="210">
        <v>62</v>
      </c>
      <c r="AB52" s="210">
        <v>225</v>
      </c>
      <c r="AC52" s="211">
        <v>44977</v>
      </c>
      <c r="AD52" s="201" t="s">
        <v>316</v>
      </c>
      <c r="AE52" s="201">
        <v>4</v>
      </c>
      <c r="AF52" s="201" t="s">
        <v>298</v>
      </c>
      <c r="AG52" s="201">
        <v>44</v>
      </c>
      <c r="AH52" s="201">
        <v>254</v>
      </c>
      <c r="AI52" s="201">
        <v>134</v>
      </c>
      <c r="AJ52" s="201">
        <v>52</v>
      </c>
      <c r="AK52" s="204">
        <v>186</v>
      </c>
      <c r="AL52" s="212">
        <v>484</v>
      </c>
      <c r="AM52" s="206">
        <v>110</v>
      </c>
      <c r="AN52" s="206">
        <v>17</v>
      </c>
      <c r="AO52" s="206">
        <v>30</v>
      </c>
      <c r="AP52" s="213">
        <v>157</v>
      </c>
      <c r="AQ52" s="207">
        <v>75</v>
      </c>
      <c r="AR52" s="207">
        <v>15</v>
      </c>
      <c r="AS52" s="207">
        <v>32</v>
      </c>
      <c r="AT52" s="207">
        <v>122</v>
      </c>
      <c r="AU52" s="208">
        <v>113</v>
      </c>
      <c r="AV52" s="208">
        <v>10</v>
      </c>
      <c r="AW52" s="208">
        <v>63</v>
      </c>
      <c r="AX52" s="208">
        <v>186</v>
      </c>
      <c r="AY52" s="206">
        <v>72</v>
      </c>
      <c r="AZ52" s="209">
        <v>22</v>
      </c>
      <c r="BA52" s="210">
        <v>-1</v>
      </c>
      <c r="BB52" s="214">
        <v>93</v>
      </c>
    </row>
    <row r="53" spans="1:54" ht="15.75" x14ac:dyDescent="0.25">
      <c r="A53" s="200">
        <v>44978</v>
      </c>
      <c r="B53" s="201" t="s">
        <v>317</v>
      </c>
      <c r="C53" s="201">
        <v>2</v>
      </c>
      <c r="D53" s="201" t="s">
        <v>291</v>
      </c>
      <c r="E53" s="201">
        <v>161</v>
      </c>
      <c r="F53" s="201">
        <v>89</v>
      </c>
      <c r="G53" s="201">
        <v>87</v>
      </c>
      <c r="H53" s="202">
        <v>176</v>
      </c>
      <c r="I53" s="201">
        <v>108</v>
      </c>
      <c r="J53" s="203">
        <v>69</v>
      </c>
      <c r="K53" s="204">
        <v>177</v>
      </c>
      <c r="L53" s="205">
        <v>514</v>
      </c>
      <c r="M53" s="206">
        <v>107</v>
      </c>
      <c r="N53" s="206">
        <v>6</v>
      </c>
      <c r="O53" s="206">
        <v>63</v>
      </c>
      <c r="P53" s="206">
        <v>176</v>
      </c>
      <c r="Q53" s="207">
        <v>89</v>
      </c>
      <c r="R53" s="207">
        <v>15</v>
      </c>
      <c r="S53" s="207">
        <v>81</v>
      </c>
      <c r="T53" s="207">
        <v>185</v>
      </c>
      <c r="U53" s="208">
        <v>96</v>
      </c>
      <c r="V53" s="208">
        <v>9</v>
      </c>
      <c r="W53" s="208">
        <v>72</v>
      </c>
      <c r="X53" s="208">
        <v>177</v>
      </c>
      <c r="Y53" s="206">
        <v>100</v>
      </c>
      <c r="Z53" s="209">
        <v>12</v>
      </c>
      <c r="AA53" s="210">
        <v>72</v>
      </c>
      <c r="AB53" s="210">
        <v>184</v>
      </c>
      <c r="AC53" s="211">
        <v>44978</v>
      </c>
      <c r="AD53" s="201" t="s">
        <v>317</v>
      </c>
      <c r="AE53" s="201">
        <v>1</v>
      </c>
      <c r="AF53" s="201" t="s">
        <v>298</v>
      </c>
      <c r="AG53" s="201">
        <v>30</v>
      </c>
      <c r="AH53" s="201">
        <v>200</v>
      </c>
      <c r="AI53" s="201">
        <v>128</v>
      </c>
      <c r="AJ53" s="201">
        <v>53</v>
      </c>
      <c r="AK53" s="204">
        <v>181</v>
      </c>
      <c r="AL53" s="212">
        <v>411</v>
      </c>
      <c r="AM53" s="206">
        <v>104</v>
      </c>
      <c r="AN53" s="206">
        <v>8</v>
      </c>
      <c r="AO53" s="206">
        <v>54</v>
      </c>
      <c r="AP53" s="213">
        <v>166</v>
      </c>
      <c r="AQ53" s="207">
        <v>70</v>
      </c>
      <c r="AR53" s="207">
        <v>3</v>
      </c>
      <c r="AS53" s="207">
        <v>50</v>
      </c>
      <c r="AT53" s="207">
        <v>123</v>
      </c>
      <c r="AU53" s="208">
        <v>93</v>
      </c>
      <c r="AV53" s="208">
        <v>9</v>
      </c>
      <c r="AW53" s="208">
        <v>79</v>
      </c>
      <c r="AX53" s="208">
        <v>181</v>
      </c>
      <c r="AY53" s="206">
        <v>81</v>
      </c>
      <c r="AZ53" s="209">
        <v>2</v>
      </c>
      <c r="BA53" s="210">
        <v>25</v>
      </c>
      <c r="BB53" s="214">
        <v>108</v>
      </c>
    </row>
    <row r="54" spans="1:54" ht="15.75" x14ac:dyDescent="0.25">
      <c r="A54" s="200">
        <v>44979</v>
      </c>
      <c r="B54" s="201" t="s">
        <v>318</v>
      </c>
      <c r="C54" s="201">
        <v>2</v>
      </c>
      <c r="D54" s="201" t="s">
        <v>291</v>
      </c>
      <c r="E54" s="201">
        <v>164</v>
      </c>
      <c r="F54" s="201">
        <v>68</v>
      </c>
      <c r="G54" s="201">
        <v>91</v>
      </c>
      <c r="H54" s="202">
        <v>159</v>
      </c>
      <c r="I54" s="201">
        <v>109</v>
      </c>
      <c r="J54" s="203">
        <v>77</v>
      </c>
      <c r="K54" s="204">
        <v>186</v>
      </c>
      <c r="L54" s="205">
        <v>509</v>
      </c>
      <c r="M54" s="206">
        <v>109</v>
      </c>
      <c r="N54" s="206">
        <v>20</v>
      </c>
      <c r="O54" s="206">
        <v>72</v>
      </c>
      <c r="P54" s="206">
        <v>201</v>
      </c>
      <c r="Q54" s="207">
        <v>122</v>
      </c>
      <c r="R54" s="207">
        <v>15</v>
      </c>
      <c r="S54" s="207">
        <v>83</v>
      </c>
      <c r="T54" s="207">
        <v>220</v>
      </c>
      <c r="U54" s="208">
        <v>93</v>
      </c>
      <c r="V54" s="208">
        <v>22</v>
      </c>
      <c r="W54" s="208">
        <v>71</v>
      </c>
      <c r="X54" s="208">
        <v>186</v>
      </c>
      <c r="Y54" s="206">
        <v>138</v>
      </c>
      <c r="Z54" s="209">
        <v>13</v>
      </c>
      <c r="AA54" s="210">
        <v>84</v>
      </c>
      <c r="AB54" s="210">
        <v>235</v>
      </c>
      <c r="AC54" s="211">
        <v>44979</v>
      </c>
      <c r="AD54" s="201" t="s">
        <v>318</v>
      </c>
      <c r="AE54" s="201">
        <v>1</v>
      </c>
      <c r="AF54" s="201" t="s">
        <v>298</v>
      </c>
      <c r="AG54" s="201">
        <v>55</v>
      </c>
      <c r="AH54" s="201">
        <v>257</v>
      </c>
      <c r="AI54" s="201">
        <v>146</v>
      </c>
      <c r="AJ54" s="201">
        <v>28</v>
      </c>
      <c r="AK54" s="204">
        <v>174</v>
      </c>
      <c r="AL54" s="212">
        <v>486</v>
      </c>
      <c r="AM54" s="206">
        <v>102</v>
      </c>
      <c r="AN54" s="206">
        <v>7</v>
      </c>
      <c r="AO54" s="206">
        <v>68</v>
      </c>
      <c r="AP54" s="213">
        <v>177</v>
      </c>
      <c r="AQ54" s="207">
        <v>67</v>
      </c>
      <c r="AR54" s="207">
        <v>1</v>
      </c>
      <c r="AS54" s="207">
        <v>31</v>
      </c>
      <c r="AT54" s="207">
        <v>99</v>
      </c>
      <c r="AU54" s="208">
        <v>101</v>
      </c>
      <c r="AV54" s="208">
        <v>4</v>
      </c>
      <c r="AW54" s="208">
        <v>69</v>
      </c>
      <c r="AX54" s="208">
        <v>174</v>
      </c>
      <c r="AY54" s="206">
        <v>68</v>
      </c>
      <c r="AZ54" s="209">
        <v>4</v>
      </c>
      <c r="BA54" s="210">
        <v>30</v>
      </c>
      <c r="BB54" s="214">
        <v>102</v>
      </c>
    </row>
    <row r="55" spans="1:54" ht="15.75" x14ac:dyDescent="0.25">
      <c r="A55" s="200">
        <v>44980</v>
      </c>
      <c r="B55" s="201" t="s">
        <v>319</v>
      </c>
      <c r="C55" s="201">
        <v>4</v>
      </c>
      <c r="D55" s="201" t="s">
        <v>291</v>
      </c>
      <c r="E55" s="201">
        <v>162</v>
      </c>
      <c r="F55" s="201">
        <v>76</v>
      </c>
      <c r="G55" s="201">
        <v>81</v>
      </c>
      <c r="H55" s="202">
        <v>157</v>
      </c>
      <c r="I55" s="201">
        <v>95</v>
      </c>
      <c r="J55" s="203">
        <v>63</v>
      </c>
      <c r="K55" s="204">
        <v>158</v>
      </c>
      <c r="L55" s="205">
        <v>477</v>
      </c>
      <c r="M55" s="206">
        <v>99</v>
      </c>
      <c r="N55" s="206">
        <v>7</v>
      </c>
      <c r="O55" s="206">
        <v>53</v>
      </c>
      <c r="P55" s="206">
        <v>159</v>
      </c>
      <c r="Q55" s="207">
        <v>119</v>
      </c>
      <c r="R55" s="207">
        <v>11</v>
      </c>
      <c r="S55" s="207">
        <v>57</v>
      </c>
      <c r="T55" s="207">
        <v>187</v>
      </c>
      <c r="U55" s="208">
        <v>99</v>
      </c>
      <c r="V55" s="208">
        <v>15</v>
      </c>
      <c r="W55" s="208">
        <v>44</v>
      </c>
      <c r="X55" s="208">
        <v>158</v>
      </c>
      <c r="Y55" s="206">
        <v>119</v>
      </c>
      <c r="Z55" s="209">
        <v>3</v>
      </c>
      <c r="AA55" s="210">
        <v>66</v>
      </c>
      <c r="AB55" s="210">
        <v>188</v>
      </c>
      <c r="AC55" s="211">
        <v>44980</v>
      </c>
      <c r="AD55" s="201" t="s">
        <v>319</v>
      </c>
      <c r="AE55" s="201">
        <v>3</v>
      </c>
      <c r="AF55" s="201" t="s">
        <v>298</v>
      </c>
      <c r="AG55" s="201">
        <v>67</v>
      </c>
      <c r="AH55" s="201">
        <v>257</v>
      </c>
      <c r="AI55" s="201">
        <v>118</v>
      </c>
      <c r="AJ55" s="201">
        <v>74</v>
      </c>
      <c r="AK55" s="204">
        <v>192</v>
      </c>
      <c r="AL55" s="212">
        <v>516</v>
      </c>
      <c r="AM55" s="206">
        <v>95</v>
      </c>
      <c r="AN55" s="206">
        <v>10</v>
      </c>
      <c r="AO55" s="206">
        <v>77</v>
      </c>
      <c r="AP55" s="213">
        <v>182</v>
      </c>
      <c r="AQ55" s="207">
        <v>95</v>
      </c>
      <c r="AR55" s="207">
        <v>10</v>
      </c>
      <c r="AS55" s="207">
        <v>77</v>
      </c>
      <c r="AT55" s="207">
        <v>182</v>
      </c>
      <c r="AU55" s="208">
        <v>127</v>
      </c>
      <c r="AV55" s="208">
        <v>13</v>
      </c>
      <c r="AW55" s="208">
        <v>95</v>
      </c>
      <c r="AX55" s="208">
        <v>235</v>
      </c>
      <c r="AY55" s="206">
        <v>63</v>
      </c>
      <c r="AZ55" s="209">
        <v>7</v>
      </c>
      <c r="BA55" s="210">
        <v>59</v>
      </c>
      <c r="BB55" s="214">
        <v>129</v>
      </c>
    </row>
    <row r="56" spans="1:54" ht="15.75" x14ac:dyDescent="0.25">
      <c r="A56" s="200">
        <v>44981</v>
      </c>
      <c r="B56" s="201" t="s">
        <v>285</v>
      </c>
      <c r="C56" s="201">
        <v>4</v>
      </c>
      <c r="D56" s="201" t="s">
        <v>291</v>
      </c>
      <c r="E56" s="201">
        <v>185</v>
      </c>
      <c r="F56" s="201">
        <v>87</v>
      </c>
      <c r="G56" s="201">
        <v>100</v>
      </c>
      <c r="H56" s="202">
        <v>187</v>
      </c>
      <c r="I56" s="201">
        <v>100</v>
      </c>
      <c r="J56" s="203">
        <v>57</v>
      </c>
      <c r="K56" s="204">
        <v>157</v>
      </c>
      <c r="L56" s="205">
        <v>529</v>
      </c>
      <c r="M56" s="206">
        <v>128</v>
      </c>
      <c r="N56" s="206">
        <v>9</v>
      </c>
      <c r="O56" s="206">
        <v>44</v>
      </c>
      <c r="P56" s="206">
        <v>181</v>
      </c>
      <c r="Q56" s="207">
        <v>94</v>
      </c>
      <c r="R56" s="207">
        <v>6</v>
      </c>
      <c r="S56" s="207">
        <v>51</v>
      </c>
      <c r="T56" s="207">
        <v>151</v>
      </c>
      <c r="U56" s="208">
        <v>91</v>
      </c>
      <c r="V56" s="208">
        <v>11</v>
      </c>
      <c r="W56" s="208">
        <v>55</v>
      </c>
      <c r="X56" s="208">
        <v>157</v>
      </c>
      <c r="Y56" s="206">
        <v>131</v>
      </c>
      <c r="Z56" s="209">
        <v>4</v>
      </c>
      <c r="AA56" s="210">
        <v>40</v>
      </c>
      <c r="AB56" s="210">
        <v>175</v>
      </c>
      <c r="AC56" s="211">
        <v>44981</v>
      </c>
      <c r="AD56" s="201" t="s">
        <v>285</v>
      </c>
      <c r="AE56" s="201">
        <v>3</v>
      </c>
      <c r="AF56" s="201" t="s">
        <v>298</v>
      </c>
      <c r="AG56" s="201">
        <v>50</v>
      </c>
      <c r="AH56" s="201">
        <v>278</v>
      </c>
      <c r="AI56" s="201">
        <v>108</v>
      </c>
      <c r="AJ56" s="201">
        <v>59</v>
      </c>
      <c r="AK56" s="204">
        <v>167</v>
      </c>
      <c r="AL56" s="212">
        <v>495</v>
      </c>
      <c r="AM56" s="206">
        <v>98</v>
      </c>
      <c r="AN56" s="206">
        <v>8</v>
      </c>
      <c r="AO56" s="206">
        <v>58</v>
      </c>
      <c r="AP56" s="213">
        <v>164</v>
      </c>
      <c r="AQ56" s="207">
        <v>59</v>
      </c>
      <c r="AR56" s="207">
        <v>7</v>
      </c>
      <c r="AS56" s="207">
        <v>44</v>
      </c>
      <c r="AT56" s="207">
        <v>110</v>
      </c>
      <c r="AU56" s="208">
        <v>102</v>
      </c>
      <c r="AV56" s="208">
        <v>11</v>
      </c>
      <c r="AW56" s="208">
        <v>54</v>
      </c>
      <c r="AX56" s="208">
        <v>167</v>
      </c>
      <c r="AY56" s="206">
        <v>55</v>
      </c>
      <c r="AZ56" s="209">
        <v>4</v>
      </c>
      <c r="BA56" s="210">
        <v>48</v>
      </c>
      <c r="BB56" s="214">
        <v>107</v>
      </c>
    </row>
    <row r="57" spans="1:54" ht="15.75" x14ac:dyDescent="0.25">
      <c r="A57" s="200">
        <v>44982</v>
      </c>
      <c r="B57" s="201" t="s">
        <v>320</v>
      </c>
      <c r="C57" s="201">
        <v>1</v>
      </c>
      <c r="D57" s="201" t="s">
        <v>291</v>
      </c>
      <c r="E57" s="201">
        <v>116</v>
      </c>
      <c r="F57" s="201">
        <v>84</v>
      </c>
      <c r="G57" s="201">
        <v>96</v>
      </c>
      <c r="H57" s="202">
        <v>180</v>
      </c>
      <c r="I57" s="201">
        <v>121</v>
      </c>
      <c r="J57" s="203">
        <v>54</v>
      </c>
      <c r="K57" s="204">
        <v>175</v>
      </c>
      <c r="L57" s="205">
        <v>471</v>
      </c>
      <c r="M57" s="206">
        <v>126</v>
      </c>
      <c r="N57" s="206">
        <v>15</v>
      </c>
      <c r="O57" s="206">
        <v>47</v>
      </c>
      <c r="P57" s="206">
        <v>188</v>
      </c>
      <c r="Q57" s="207">
        <v>120</v>
      </c>
      <c r="R57" s="207">
        <v>12</v>
      </c>
      <c r="S57" s="207">
        <v>63</v>
      </c>
      <c r="T57" s="207">
        <v>195</v>
      </c>
      <c r="U57" s="208">
        <v>111</v>
      </c>
      <c r="V57" s="208">
        <v>11</v>
      </c>
      <c r="W57" s="208">
        <v>53</v>
      </c>
      <c r="X57" s="208">
        <v>175</v>
      </c>
      <c r="Y57" s="206">
        <v>135</v>
      </c>
      <c r="Z57" s="209">
        <v>16</v>
      </c>
      <c r="AA57" s="210">
        <v>57</v>
      </c>
      <c r="AB57" s="210">
        <v>208</v>
      </c>
      <c r="AC57" s="211">
        <v>44982</v>
      </c>
      <c r="AD57" s="201" t="s">
        <v>320</v>
      </c>
      <c r="AE57" s="201">
        <v>2</v>
      </c>
      <c r="AF57" s="201" t="s">
        <v>298</v>
      </c>
      <c r="AG57" s="201">
        <v>51</v>
      </c>
      <c r="AH57" s="201">
        <v>271</v>
      </c>
      <c r="AI57" s="201">
        <v>141</v>
      </c>
      <c r="AJ57" s="201">
        <v>33</v>
      </c>
      <c r="AK57" s="204">
        <v>174</v>
      </c>
      <c r="AL57" s="212">
        <v>496</v>
      </c>
      <c r="AM57" s="206">
        <v>109</v>
      </c>
      <c r="AN57" s="206">
        <v>9</v>
      </c>
      <c r="AO57" s="206">
        <v>59</v>
      </c>
      <c r="AP57" s="213">
        <v>177</v>
      </c>
      <c r="AQ57" s="207">
        <v>47</v>
      </c>
      <c r="AR57" s="207">
        <v>5</v>
      </c>
      <c r="AS57" s="207">
        <v>24</v>
      </c>
      <c r="AT57" s="207">
        <v>76</v>
      </c>
      <c r="AU57" s="208">
        <v>111</v>
      </c>
      <c r="AV57" s="208">
        <v>10</v>
      </c>
      <c r="AW57" s="208">
        <v>53</v>
      </c>
      <c r="AX57" s="208">
        <v>174</v>
      </c>
      <c r="AY57" s="206">
        <v>45</v>
      </c>
      <c r="AZ57" s="209">
        <v>4</v>
      </c>
      <c r="BA57" s="210">
        <v>30</v>
      </c>
      <c r="BB57" s="214">
        <v>79</v>
      </c>
    </row>
    <row r="58" spans="1:54" ht="15.75" x14ac:dyDescent="0.25">
      <c r="A58" s="200">
        <v>44983</v>
      </c>
      <c r="B58" s="201" t="s">
        <v>293</v>
      </c>
      <c r="C58" s="201">
        <v>1</v>
      </c>
      <c r="D58" s="201" t="s">
        <v>291</v>
      </c>
      <c r="E58" s="201">
        <v>122</v>
      </c>
      <c r="F58" s="201">
        <v>75</v>
      </c>
      <c r="G58" s="201">
        <v>110</v>
      </c>
      <c r="H58" s="202">
        <v>185</v>
      </c>
      <c r="I58" s="201">
        <v>117</v>
      </c>
      <c r="J58" s="203">
        <v>52</v>
      </c>
      <c r="K58" s="204">
        <v>169</v>
      </c>
      <c r="L58" s="205">
        <v>476</v>
      </c>
      <c r="M58" s="206">
        <v>123</v>
      </c>
      <c r="N58" s="206">
        <v>16</v>
      </c>
      <c r="O58" s="206">
        <v>44</v>
      </c>
      <c r="P58" s="206">
        <v>183</v>
      </c>
      <c r="Q58" s="207">
        <v>113</v>
      </c>
      <c r="R58" s="207">
        <v>14</v>
      </c>
      <c r="S58" s="207">
        <v>66</v>
      </c>
      <c r="T58" s="207">
        <v>193</v>
      </c>
      <c r="U58" s="208">
        <v>107</v>
      </c>
      <c r="V58" s="208">
        <v>9</v>
      </c>
      <c r="W58" s="208">
        <v>53</v>
      </c>
      <c r="X58" s="208">
        <v>169</v>
      </c>
      <c r="Y58" s="206">
        <v>129</v>
      </c>
      <c r="Z58" s="209">
        <v>21</v>
      </c>
      <c r="AA58" s="210">
        <v>57</v>
      </c>
      <c r="AB58" s="210">
        <v>207</v>
      </c>
      <c r="AC58" s="211">
        <v>44983</v>
      </c>
      <c r="AD58" s="201" t="s">
        <v>293</v>
      </c>
      <c r="AE58" s="201">
        <v>2</v>
      </c>
      <c r="AF58" s="201" t="s">
        <v>298</v>
      </c>
      <c r="AG58" s="201">
        <v>28</v>
      </c>
      <c r="AH58" s="201">
        <v>289</v>
      </c>
      <c r="AI58" s="201">
        <v>121</v>
      </c>
      <c r="AJ58" s="201">
        <v>76</v>
      </c>
      <c r="AK58" s="204">
        <v>197</v>
      </c>
      <c r="AL58" s="212">
        <v>514</v>
      </c>
      <c r="AM58" s="206">
        <v>94</v>
      </c>
      <c r="AN58" s="206">
        <v>12</v>
      </c>
      <c r="AO58" s="206">
        <v>46</v>
      </c>
      <c r="AP58" s="213">
        <v>152</v>
      </c>
      <c r="AQ58" s="207">
        <v>74</v>
      </c>
      <c r="AR58" s="207">
        <v>11</v>
      </c>
      <c r="AS58" s="207">
        <v>32</v>
      </c>
      <c r="AT58" s="207">
        <v>117</v>
      </c>
      <c r="AU58" s="208">
        <v>115</v>
      </c>
      <c r="AV58" s="208">
        <v>19</v>
      </c>
      <c r="AW58" s="208">
        <v>63</v>
      </c>
      <c r="AX58" s="208">
        <v>197</v>
      </c>
      <c r="AY58" s="206">
        <v>53</v>
      </c>
      <c r="AZ58" s="209">
        <v>4</v>
      </c>
      <c r="BA58" s="210">
        <v>15</v>
      </c>
      <c r="BB58" s="214">
        <v>72</v>
      </c>
    </row>
    <row r="59" spans="1:54" ht="15.75" x14ac:dyDescent="0.25">
      <c r="A59" s="200">
        <v>44984</v>
      </c>
      <c r="B59" s="201" t="s">
        <v>316</v>
      </c>
      <c r="C59" s="201">
        <v>3</v>
      </c>
      <c r="D59" s="201" t="s">
        <v>291</v>
      </c>
      <c r="E59" s="201">
        <v>107</v>
      </c>
      <c r="F59" s="201">
        <v>72</v>
      </c>
      <c r="G59" s="201">
        <v>92</v>
      </c>
      <c r="H59" s="202">
        <v>164</v>
      </c>
      <c r="I59" s="201">
        <v>67</v>
      </c>
      <c r="J59" s="203">
        <v>84</v>
      </c>
      <c r="K59" s="204">
        <v>151</v>
      </c>
      <c r="L59" s="205">
        <v>422</v>
      </c>
      <c r="M59" s="206">
        <v>105</v>
      </c>
      <c r="N59" s="206">
        <v>17</v>
      </c>
      <c r="O59" s="206">
        <v>51</v>
      </c>
      <c r="P59" s="206">
        <v>173</v>
      </c>
      <c r="Q59" s="207">
        <v>85</v>
      </c>
      <c r="R59" s="207">
        <v>17</v>
      </c>
      <c r="S59" s="207">
        <v>67</v>
      </c>
      <c r="T59" s="207">
        <v>169</v>
      </c>
      <c r="U59" s="208">
        <v>98</v>
      </c>
      <c r="V59" s="208">
        <v>10</v>
      </c>
      <c r="W59" s="208">
        <v>43</v>
      </c>
      <c r="X59" s="208">
        <v>151</v>
      </c>
      <c r="Y59" s="206">
        <v>92</v>
      </c>
      <c r="Z59" s="209">
        <v>24</v>
      </c>
      <c r="AA59" s="210">
        <v>75</v>
      </c>
      <c r="AB59" s="210">
        <v>191</v>
      </c>
      <c r="AC59" s="211">
        <v>44984</v>
      </c>
      <c r="AD59" s="201" t="s">
        <v>316</v>
      </c>
      <c r="AE59" s="201">
        <v>4</v>
      </c>
      <c r="AF59" s="201" t="s">
        <v>298</v>
      </c>
      <c r="AG59" s="201">
        <v>57</v>
      </c>
      <c r="AH59" s="201">
        <v>239</v>
      </c>
      <c r="AI59" s="201">
        <v>121</v>
      </c>
      <c r="AJ59" s="201">
        <v>45</v>
      </c>
      <c r="AK59" s="204">
        <v>166</v>
      </c>
      <c r="AL59" s="212">
        <v>462</v>
      </c>
      <c r="AM59" s="206">
        <v>95</v>
      </c>
      <c r="AN59" s="206">
        <v>12</v>
      </c>
      <c r="AO59" s="206">
        <v>47</v>
      </c>
      <c r="AP59" s="213">
        <v>154</v>
      </c>
      <c r="AQ59" s="207">
        <v>54</v>
      </c>
      <c r="AR59" s="207">
        <v>13</v>
      </c>
      <c r="AS59" s="207">
        <v>14</v>
      </c>
      <c r="AT59" s="207">
        <v>81</v>
      </c>
      <c r="AU59" s="208">
        <v>111</v>
      </c>
      <c r="AV59" s="208">
        <v>13</v>
      </c>
      <c r="AW59" s="208">
        <v>42</v>
      </c>
      <c r="AX59" s="208">
        <v>166</v>
      </c>
      <c r="AY59" s="206">
        <v>38</v>
      </c>
      <c r="AZ59" s="209">
        <v>12</v>
      </c>
      <c r="BA59" s="210">
        <v>19</v>
      </c>
      <c r="BB59" s="214">
        <v>69</v>
      </c>
    </row>
    <row r="60" spans="1:54" ht="15.75" x14ac:dyDescent="0.25">
      <c r="A60" s="200">
        <v>44985</v>
      </c>
      <c r="B60" s="201" t="s">
        <v>317</v>
      </c>
      <c r="C60" s="201">
        <v>3</v>
      </c>
      <c r="D60" s="201" t="s">
        <v>291</v>
      </c>
      <c r="E60" s="201">
        <v>110</v>
      </c>
      <c r="F60" s="201">
        <v>81</v>
      </c>
      <c r="G60" s="201">
        <v>63</v>
      </c>
      <c r="H60" s="202">
        <v>144</v>
      </c>
      <c r="I60" s="201">
        <v>112</v>
      </c>
      <c r="J60" s="203">
        <v>46</v>
      </c>
      <c r="K60" s="204">
        <v>158</v>
      </c>
      <c r="L60" s="205">
        <v>412</v>
      </c>
      <c r="M60" s="206">
        <v>134</v>
      </c>
      <c r="N60" s="206">
        <v>18</v>
      </c>
      <c r="O60" s="206">
        <v>71</v>
      </c>
      <c r="P60" s="206">
        <v>223</v>
      </c>
      <c r="Q60" s="207">
        <v>93</v>
      </c>
      <c r="R60" s="207">
        <v>15</v>
      </c>
      <c r="S60" s="207">
        <v>63</v>
      </c>
      <c r="T60" s="207">
        <v>171</v>
      </c>
      <c r="U60" s="208">
        <v>85</v>
      </c>
      <c r="V60" s="208">
        <v>16</v>
      </c>
      <c r="W60" s="208">
        <v>57</v>
      </c>
      <c r="X60" s="208">
        <v>158</v>
      </c>
      <c r="Y60" s="206">
        <v>142</v>
      </c>
      <c r="Z60" s="209">
        <v>17</v>
      </c>
      <c r="AA60" s="210">
        <v>77</v>
      </c>
      <c r="AB60" s="210">
        <v>236</v>
      </c>
      <c r="AC60" s="211">
        <v>44985</v>
      </c>
      <c r="AD60" s="201" t="s">
        <v>317</v>
      </c>
      <c r="AE60" s="201">
        <v>4</v>
      </c>
      <c r="AF60" s="201" t="s">
        <v>298</v>
      </c>
      <c r="AG60" s="201">
        <v>49</v>
      </c>
      <c r="AH60" s="201">
        <v>283</v>
      </c>
      <c r="AI60" s="201">
        <v>135</v>
      </c>
      <c r="AJ60" s="201">
        <v>27</v>
      </c>
      <c r="AK60" s="204">
        <v>162</v>
      </c>
      <c r="AL60" s="212">
        <v>494</v>
      </c>
      <c r="AM60" s="206">
        <v>105</v>
      </c>
      <c r="AN60" s="206">
        <v>10</v>
      </c>
      <c r="AO60" s="206">
        <v>53</v>
      </c>
      <c r="AP60" s="213">
        <v>168</v>
      </c>
      <c r="AQ60" s="207">
        <v>77</v>
      </c>
      <c r="AR60" s="207">
        <v>4</v>
      </c>
      <c r="AS60" s="207">
        <v>46</v>
      </c>
      <c r="AT60" s="207">
        <v>127</v>
      </c>
      <c r="AU60" s="208">
        <v>101</v>
      </c>
      <c r="AV60" s="208">
        <v>3</v>
      </c>
      <c r="AW60" s="208">
        <v>58</v>
      </c>
      <c r="AX60" s="208">
        <v>162</v>
      </c>
      <c r="AY60" s="206">
        <v>81</v>
      </c>
      <c r="AZ60" s="209">
        <v>11</v>
      </c>
      <c r="BA60" s="210">
        <v>41</v>
      </c>
      <c r="BB60" s="214">
        <v>133</v>
      </c>
    </row>
    <row r="61" spans="1:54" ht="15.75" x14ac:dyDescent="0.25">
      <c r="A61" s="200">
        <v>44986</v>
      </c>
      <c r="B61" s="201" t="s">
        <v>318</v>
      </c>
      <c r="C61" s="201">
        <v>2</v>
      </c>
      <c r="D61" s="201" t="s">
        <v>291</v>
      </c>
      <c r="E61" s="201">
        <v>180</v>
      </c>
      <c r="F61" s="201">
        <v>73</v>
      </c>
      <c r="G61" s="201">
        <v>74</v>
      </c>
      <c r="H61" s="202">
        <v>147</v>
      </c>
      <c r="I61" s="201">
        <v>144</v>
      </c>
      <c r="J61" s="203">
        <v>69</v>
      </c>
      <c r="K61" s="204">
        <v>213</v>
      </c>
      <c r="L61" s="205">
        <v>540</v>
      </c>
      <c r="M61" s="206">
        <v>152</v>
      </c>
      <c r="N61" s="206">
        <v>16</v>
      </c>
      <c r="O61" s="206">
        <v>52</v>
      </c>
      <c r="P61" s="206">
        <v>220</v>
      </c>
      <c r="Q61" s="207">
        <v>123</v>
      </c>
      <c r="R61" s="207">
        <v>15</v>
      </c>
      <c r="S61" s="207">
        <v>91</v>
      </c>
      <c r="T61" s="207">
        <v>229</v>
      </c>
      <c r="U61" s="208">
        <v>125</v>
      </c>
      <c r="V61" s="208">
        <v>20</v>
      </c>
      <c r="W61" s="208">
        <v>68</v>
      </c>
      <c r="X61" s="208">
        <v>213</v>
      </c>
      <c r="Y61" s="206">
        <v>150</v>
      </c>
      <c r="Z61" s="209">
        <v>11</v>
      </c>
      <c r="AA61" s="210">
        <v>75</v>
      </c>
      <c r="AB61" s="210">
        <v>236</v>
      </c>
      <c r="AC61" s="211">
        <v>44986</v>
      </c>
      <c r="AD61" s="201" t="s">
        <v>318</v>
      </c>
      <c r="AE61" s="201">
        <v>1</v>
      </c>
      <c r="AF61" s="201" t="s">
        <v>298</v>
      </c>
      <c r="AG61" s="201">
        <v>37</v>
      </c>
      <c r="AH61" s="201">
        <v>242</v>
      </c>
      <c r="AI61" s="201">
        <v>137</v>
      </c>
      <c r="AJ61" s="201">
        <v>39</v>
      </c>
      <c r="AK61" s="204">
        <v>176</v>
      </c>
      <c r="AL61" s="212">
        <v>455</v>
      </c>
      <c r="AM61" s="206">
        <v>134</v>
      </c>
      <c r="AN61" s="206">
        <v>12</v>
      </c>
      <c r="AO61" s="206">
        <v>43</v>
      </c>
      <c r="AP61" s="213">
        <v>189</v>
      </c>
      <c r="AQ61" s="207">
        <v>78</v>
      </c>
      <c r="AR61" s="207">
        <v>6</v>
      </c>
      <c r="AS61" s="207">
        <v>39</v>
      </c>
      <c r="AT61" s="207">
        <v>123</v>
      </c>
      <c r="AU61" s="208">
        <v>122</v>
      </c>
      <c r="AV61" s="208">
        <v>3</v>
      </c>
      <c r="AW61" s="208">
        <v>51</v>
      </c>
      <c r="AX61" s="208">
        <v>176</v>
      </c>
      <c r="AY61" s="206">
        <v>90</v>
      </c>
      <c r="AZ61" s="209">
        <v>15</v>
      </c>
      <c r="BA61" s="210">
        <v>31</v>
      </c>
      <c r="BB61" s="214">
        <v>136</v>
      </c>
    </row>
    <row r="62" spans="1:54" ht="15.75" x14ac:dyDescent="0.25">
      <c r="A62" s="200">
        <v>44987</v>
      </c>
      <c r="B62" s="201" t="s">
        <v>319</v>
      </c>
      <c r="C62" s="201">
        <v>2</v>
      </c>
      <c r="D62" s="201" t="s">
        <v>291</v>
      </c>
      <c r="E62" s="201">
        <v>186</v>
      </c>
      <c r="F62" s="201">
        <v>103</v>
      </c>
      <c r="G62" s="201">
        <v>96</v>
      </c>
      <c r="H62" s="202">
        <v>199</v>
      </c>
      <c r="I62" s="201">
        <v>160</v>
      </c>
      <c r="J62" s="203">
        <v>82</v>
      </c>
      <c r="K62" s="204">
        <v>242</v>
      </c>
      <c r="L62" s="205">
        <v>627</v>
      </c>
      <c r="M62" s="206">
        <v>157</v>
      </c>
      <c r="N62" s="206">
        <v>19</v>
      </c>
      <c r="O62" s="206">
        <v>75</v>
      </c>
      <c r="P62" s="206">
        <v>251</v>
      </c>
      <c r="Q62" s="207">
        <v>130</v>
      </c>
      <c r="R62" s="207">
        <v>14</v>
      </c>
      <c r="S62" s="207">
        <v>109</v>
      </c>
      <c r="T62" s="207">
        <v>253</v>
      </c>
      <c r="U62" s="208">
        <v>128</v>
      </c>
      <c r="V62" s="208">
        <v>29</v>
      </c>
      <c r="W62" s="208">
        <v>85</v>
      </c>
      <c r="X62" s="208">
        <v>242</v>
      </c>
      <c r="Y62" s="206">
        <v>159</v>
      </c>
      <c r="Z62" s="209">
        <v>4</v>
      </c>
      <c r="AA62" s="210">
        <v>99</v>
      </c>
      <c r="AB62" s="210">
        <v>262</v>
      </c>
      <c r="AC62" s="211">
        <v>44987</v>
      </c>
      <c r="AD62" s="201" t="s">
        <v>319</v>
      </c>
      <c r="AE62" s="201">
        <v>1</v>
      </c>
      <c r="AF62" s="201" t="s">
        <v>298</v>
      </c>
      <c r="AG62" s="201">
        <v>47</v>
      </c>
      <c r="AH62" s="201">
        <v>296</v>
      </c>
      <c r="AI62" s="201">
        <v>147</v>
      </c>
      <c r="AJ62" s="201">
        <v>29</v>
      </c>
      <c r="AK62" s="204">
        <v>176</v>
      </c>
      <c r="AL62" s="212">
        <v>519</v>
      </c>
      <c r="AM62" s="206">
        <v>147</v>
      </c>
      <c r="AN62" s="206">
        <v>8</v>
      </c>
      <c r="AO62" s="206">
        <v>66</v>
      </c>
      <c r="AP62" s="213">
        <v>221</v>
      </c>
      <c r="AQ62" s="207">
        <v>94</v>
      </c>
      <c r="AR62" s="207">
        <v>5</v>
      </c>
      <c r="AS62" s="207">
        <v>25</v>
      </c>
      <c r="AT62" s="207">
        <v>124</v>
      </c>
      <c r="AU62" s="208">
        <v>115</v>
      </c>
      <c r="AV62" s="208">
        <v>8</v>
      </c>
      <c r="AW62" s="208">
        <v>53</v>
      </c>
      <c r="AX62" s="208">
        <v>176</v>
      </c>
      <c r="AY62" s="206">
        <v>126</v>
      </c>
      <c r="AZ62" s="209">
        <v>5</v>
      </c>
      <c r="BA62" s="210">
        <v>38</v>
      </c>
      <c r="BB62" s="214">
        <v>169</v>
      </c>
    </row>
    <row r="63" spans="1:54" ht="15.75" x14ac:dyDescent="0.25">
      <c r="A63" s="200">
        <v>44988</v>
      </c>
      <c r="B63" s="201" t="s">
        <v>285</v>
      </c>
      <c r="C63" s="201">
        <v>4</v>
      </c>
      <c r="D63" s="201" t="s">
        <v>291</v>
      </c>
      <c r="E63" s="201">
        <v>225</v>
      </c>
      <c r="F63" s="201">
        <v>91</v>
      </c>
      <c r="G63" s="201">
        <v>103</v>
      </c>
      <c r="H63" s="202">
        <v>194</v>
      </c>
      <c r="I63" s="201">
        <v>93</v>
      </c>
      <c r="J63" s="203">
        <v>47</v>
      </c>
      <c r="K63" s="204">
        <v>140</v>
      </c>
      <c r="L63" s="205">
        <v>559</v>
      </c>
      <c r="M63" s="206">
        <v>129</v>
      </c>
      <c r="N63" s="206">
        <v>16</v>
      </c>
      <c r="O63" s="206">
        <v>45</v>
      </c>
      <c r="P63" s="206">
        <v>190</v>
      </c>
      <c r="Q63" s="207">
        <v>121</v>
      </c>
      <c r="R63" s="207">
        <v>24</v>
      </c>
      <c r="S63" s="207">
        <v>33</v>
      </c>
      <c r="T63" s="207">
        <v>178</v>
      </c>
      <c r="U63" s="208">
        <v>84</v>
      </c>
      <c r="V63" s="208">
        <v>14</v>
      </c>
      <c r="W63" s="208">
        <v>42</v>
      </c>
      <c r="X63" s="208">
        <v>140</v>
      </c>
      <c r="Y63" s="206">
        <v>166</v>
      </c>
      <c r="Z63" s="209">
        <v>26</v>
      </c>
      <c r="AA63" s="210">
        <v>36</v>
      </c>
      <c r="AB63" s="210">
        <v>228</v>
      </c>
      <c r="AC63" s="211">
        <v>44988</v>
      </c>
      <c r="AD63" s="201" t="s">
        <v>285</v>
      </c>
      <c r="AE63" s="201">
        <v>3</v>
      </c>
      <c r="AF63" s="201" t="s">
        <v>298</v>
      </c>
      <c r="AG63" s="201">
        <v>52</v>
      </c>
      <c r="AH63" s="201">
        <v>283</v>
      </c>
      <c r="AI63" s="201">
        <v>138</v>
      </c>
      <c r="AJ63" s="201">
        <v>29</v>
      </c>
      <c r="AK63" s="204">
        <v>167</v>
      </c>
      <c r="AL63" s="212">
        <v>502</v>
      </c>
      <c r="AM63" s="206">
        <v>107</v>
      </c>
      <c r="AN63" s="206">
        <v>8</v>
      </c>
      <c r="AO63" s="206">
        <v>45</v>
      </c>
      <c r="AP63" s="213">
        <v>160</v>
      </c>
      <c r="AQ63" s="207">
        <v>59</v>
      </c>
      <c r="AR63" s="207">
        <v>3</v>
      </c>
      <c r="AS63" s="207">
        <v>31</v>
      </c>
      <c r="AT63" s="207">
        <v>93</v>
      </c>
      <c r="AU63" s="208">
        <v>101</v>
      </c>
      <c r="AV63" s="208">
        <v>9</v>
      </c>
      <c r="AW63" s="208">
        <v>57</v>
      </c>
      <c r="AX63" s="208">
        <v>167</v>
      </c>
      <c r="AY63" s="206">
        <v>65</v>
      </c>
      <c r="AZ63" s="209">
        <v>2</v>
      </c>
      <c r="BA63" s="210">
        <v>19</v>
      </c>
      <c r="BB63" s="214">
        <v>86</v>
      </c>
    </row>
    <row r="64" spans="1:54" ht="15.75" x14ac:dyDescent="0.25">
      <c r="A64" s="200">
        <v>44989</v>
      </c>
      <c r="B64" s="201" t="s">
        <v>320</v>
      </c>
      <c r="C64" s="201">
        <v>4</v>
      </c>
      <c r="D64" s="201" t="s">
        <v>291</v>
      </c>
      <c r="E64" s="201">
        <v>170</v>
      </c>
      <c r="F64" s="201">
        <v>123</v>
      </c>
      <c r="G64" s="201">
        <v>99</v>
      </c>
      <c r="H64" s="202">
        <v>222</v>
      </c>
      <c r="I64" s="201">
        <v>129</v>
      </c>
      <c r="J64" s="203">
        <v>75</v>
      </c>
      <c r="K64" s="204">
        <v>204</v>
      </c>
      <c r="L64" s="205">
        <v>596</v>
      </c>
      <c r="M64" s="206">
        <v>118</v>
      </c>
      <c r="N64" s="206">
        <v>24</v>
      </c>
      <c r="O64" s="206">
        <v>39</v>
      </c>
      <c r="P64" s="206">
        <v>181</v>
      </c>
      <c r="Q64" s="207">
        <v>125</v>
      </c>
      <c r="R64" s="207">
        <v>27</v>
      </c>
      <c r="S64" s="207">
        <v>73</v>
      </c>
      <c r="T64" s="207">
        <v>225</v>
      </c>
      <c r="U64" s="208">
        <v>106</v>
      </c>
      <c r="V64" s="208">
        <v>19</v>
      </c>
      <c r="W64" s="208">
        <v>79</v>
      </c>
      <c r="X64" s="208">
        <v>204</v>
      </c>
      <c r="Y64" s="206">
        <v>137</v>
      </c>
      <c r="Z64" s="209">
        <v>32</v>
      </c>
      <c r="AA64" s="210">
        <v>33</v>
      </c>
      <c r="AB64" s="210">
        <v>202</v>
      </c>
      <c r="AC64" s="211">
        <v>44989</v>
      </c>
      <c r="AD64" s="201" t="s">
        <v>320</v>
      </c>
      <c r="AE64" s="201">
        <v>3</v>
      </c>
      <c r="AF64" s="201" t="s">
        <v>298</v>
      </c>
      <c r="AG64" s="201">
        <v>46</v>
      </c>
      <c r="AH64" s="201">
        <v>288</v>
      </c>
      <c r="AI64" s="201">
        <v>114</v>
      </c>
      <c r="AJ64" s="201">
        <v>33</v>
      </c>
      <c r="AK64" s="204">
        <v>147</v>
      </c>
      <c r="AL64" s="212">
        <v>481</v>
      </c>
      <c r="AM64" s="206">
        <v>107</v>
      </c>
      <c r="AN64" s="206">
        <v>11</v>
      </c>
      <c r="AO64" s="206">
        <v>47</v>
      </c>
      <c r="AP64" s="213">
        <v>165</v>
      </c>
      <c r="AQ64" s="207">
        <v>66</v>
      </c>
      <c r="AR64" s="207">
        <v>3</v>
      </c>
      <c r="AS64" s="207">
        <v>34</v>
      </c>
      <c r="AT64" s="207">
        <v>103</v>
      </c>
      <c r="AU64" s="208">
        <v>95</v>
      </c>
      <c r="AV64" s="208">
        <v>12</v>
      </c>
      <c r="AW64" s="208">
        <v>40</v>
      </c>
      <c r="AX64" s="208">
        <v>147</v>
      </c>
      <c r="AY64" s="206">
        <v>78</v>
      </c>
      <c r="AZ64" s="209">
        <v>2</v>
      </c>
      <c r="BA64" s="210">
        <v>41</v>
      </c>
      <c r="BB64" s="214">
        <v>121</v>
      </c>
    </row>
    <row r="65" spans="1:54" ht="15.75" x14ac:dyDescent="0.25">
      <c r="A65" s="200">
        <v>44990</v>
      </c>
      <c r="B65" s="201" t="s">
        <v>293</v>
      </c>
      <c r="C65" s="201">
        <v>1</v>
      </c>
      <c r="D65" s="201" t="s">
        <v>291</v>
      </c>
      <c r="E65" s="201">
        <v>130</v>
      </c>
      <c r="F65" s="201">
        <v>88</v>
      </c>
      <c r="G65" s="201">
        <v>78</v>
      </c>
      <c r="H65" s="202">
        <v>166</v>
      </c>
      <c r="I65" s="201">
        <v>150</v>
      </c>
      <c r="J65" s="203">
        <v>71</v>
      </c>
      <c r="K65" s="204">
        <v>221</v>
      </c>
      <c r="L65" s="205">
        <v>517</v>
      </c>
      <c r="M65" s="206">
        <v>134</v>
      </c>
      <c r="N65" s="206">
        <v>18</v>
      </c>
      <c r="O65" s="206">
        <v>56</v>
      </c>
      <c r="P65" s="206">
        <v>208</v>
      </c>
      <c r="Q65" s="207">
        <v>119</v>
      </c>
      <c r="R65" s="207">
        <v>24</v>
      </c>
      <c r="S65" s="207">
        <v>69</v>
      </c>
      <c r="T65" s="207">
        <v>212</v>
      </c>
      <c r="U65" s="208">
        <v>128</v>
      </c>
      <c r="V65" s="208">
        <v>23</v>
      </c>
      <c r="W65" s="208">
        <v>70</v>
      </c>
      <c r="X65" s="208">
        <v>221</v>
      </c>
      <c r="Y65" s="206">
        <v>125</v>
      </c>
      <c r="Z65" s="209">
        <v>19</v>
      </c>
      <c r="AA65" s="210">
        <v>55</v>
      </c>
      <c r="AB65" s="210">
        <v>199</v>
      </c>
      <c r="AC65" s="211">
        <v>44990</v>
      </c>
      <c r="AD65" s="201" t="s">
        <v>293</v>
      </c>
      <c r="AE65" s="201">
        <v>2</v>
      </c>
      <c r="AF65" s="201" t="s">
        <v>298</v>
      </c>
      <c r="AG65" s="201">
        <v>43</v>
      </c>
      <c r="AH65" s="201">
        <v>277</v>
      </c>
      <c r="AI65" s="201">
        <v>138</v>
      </c>
      <c r="AJ65" s="201">
        <v>70</v>
      </c>
      <c r="AK65" s="204">
        <v>208</v>
      </c>
      <c r="AL65" s="212">
        <v>528</v>
      </c>
      <c r="AM65" s="206">
        <v>99</v>
      </c>
      <c r="AN65" s="206">
        <v>10</v>
      </c>
      <c r="AO65" s="206">
        <v>58</v>
      </c>
      <c r="AP65" s="213">
        <v>167</v>
      </c>
      <c r="AQ65" s="207">
        <v>63</v>
      </c>
      <c r="AR65" s="207">
        <v>6</v>
      </c>
      <c r="AS65" s="207">
        <v>52</v>
      </c>
      <c r="AT65" s="207">
        <v>121</v>
      </c>
      <c r="AU65" s="208">
        <v>124</v>
      </c>
      <c r="AV65" s="208">
        <v>12</v>
      </c>
      <c r="AW65" s="208">
        <v>72</v>
      </c>
      <c r="AX65" s="208">
        <v>208</v>
      </c>
      <c r="AY65" s="206">
        <v>38</v>
      </c>
      <c r="AZ65" s="209">
        <v>4</v>
      </c>
      <c r="BA65" s="210">
        <v>38</v>
      </c>
      <c r="BB65" s="214">
        <v>80</v>
      </c>
    </row>
    <row r="66" spans="1:54" ht="15.75" x14ac:dyDescent="0.25">
      <c r="A66" s="200">
        <v>44991</v>
      </c>
      <c r="B66" s="201" t="s">
        <v>316</v>
      </c>
      <c r="C66" s="201">
        <v>1</v>
      </c>
      <c r="D66" s="201" t="s">
        <v>291</v>
      </c>
      <c r="E66" s="201">
        <v>112</v>
      </c>
      <c r="F66" s="201">
        <v>83</v>
      </c>
      <c r="G66" s="201">
        <v>88</v>
      </c>
      <c r="H66" s="202">
        <v>171</v>
      </c>
      <c r="I66" s="201">
        <v>110</v>
      </c>
      <c r="J66" s="203">
        <v>65</v>
      </c>
      <c r="K66" s="204">
        <v>175</v>
      </c>
      <c r="L66" s="205">
        <v>458</v>
      </c>
      <c r="M66" s="206">
        <v>94</v>
      </c>
      <c r="N66" s="206">
        <v>16</v>
      </c>
      <c r="O66" s="206">
        <v>66</v>
      </c>
      <c r="P66" s="206">
        <v>176</v>
      </c>
      <c r="Q66" s="207">
        <v>97</v>
      </c>
      <c r="R66" s="207">
        <v>19</v>
      </c>
      <c r="S66" s="207">
        <v>59</v>
      </c>
      <c r="T66" s="207">
        <v>175</v>
      </c>
      <c r="U66" s="208">
        <v>76</v>
      </c>
      <c r="V66" s="208">
        <v>20</v>
      </c>
      <c r="W66" s="208">
        <v>79</v>
      </c>
      <c r="X66" s="208">
        <v>175</v>
      </c>
      <c r="Y66" s="206">
        <v>115</v>
      </c>
      <c r="Z66" s="209">
        <v>15</v>
      </c>
      <c r="AA66" s="210">
        <v>46</v>
      </c>
      <c r="AB66" s="210">
        <v>176</v>
      </c>
      <c r="AC66" s="211">
        <v>44991</v>
      </c>
      <c r="AD66" s="201" t="s">
        <v>316</v>
      </c>
      <c r="AE66" s="201">
        <v>2</v>
      </c>
      <c r="AF66" s="201" t="s">
        <v>298</v>
      </c>
      <c r="AG66" s="201">
        <v>41</v>
      </c>
      <c r="AH66" s="201">
        <v>238</v>
      </c>
      <c r="AI66" s="201">
        <v>120</v>
      </c>
      <c r="AJ66" s="201">
        <v>82</v>
      </c>
      <c r="AK66" s="204">
        <v>202</v>
      </c>
      <c r="AL66" s="212">
        <v>481</v>
      </c>
      <c r="AM66" s="206">
        <v>90</v>
      </c>
      <c r="AN66" s="206">
        <v>8</v>
      </c>
      <c r="AO66" s="206">
        <v>59</v>
      </c>
      <c r="AP66" s="213">
        <v>157</v>
      </c>
      <c r="AQ66" s="207">
        <v>71</v>
      </c>
      <c r="AR66" s="207">
        <v>2</v>
      </c>
      <c r="AS66" s="207">
        <v>45</v>
      </c>
      <c r="AT66" s="207">
        <v>118</v>
      </c>
      <c r="AU66" s="208">
        <v>111</v>
      </c>
      <c r="AV66" s="208">
        <v>10</v>
      </c>
      <c r="AW66" s="208">
        <v>81</v>
      </c>
      <c r="AX66" s="208">
        <v>202</v>
      </c>
      <c r="AY66" s="206">
        <v>50</v>
      </c>
      <c r="AZ66" s="209">
        <v>0</v>
      </c>
      <c r="BA66" s="210">
        <v>23</v>
      </c>
      <c r="BB66" s="214">
        <v>73</v>
      </c>
    </row>
    <row r="67" spans="1:54" ht="15.75" x14ac:dyDescent="0.25">
      <c r="A67" s="200">
        <v>44992</v>
      </c>
      <c r="B67" s="201" t="s">
        <v>317</v>
      </c>
      <c r="C67" s="201">
        <v>3</v>
      </c>
      <c r="D67" s="201" t="s">
        <v>291</v>
      </c>
      <c r="E67" s="201">
        <v>97</v>
      </c>
      <c r="F67" s="201">
        <v>71</v>
      </c>
      <c r="G67" s="201">
        <v>92</v>
      </c>
      <c r="H67" s="202">
        <v>163</v>
      </c>
      <c r="I67" s="201">
        <v>92</v>
      </c>
      <c r="J67" s="203">
        <v>67</v>
      </c>
      <c r="K67" s="204">
        <v>159</v>
      </c>
      <c r="L67" s="205">
        <v>419</v>
      </c>
      <c r="M67" s="206">
        <v>106</v>
      </c>
      <c r="N67" s="206">
        <v>17</v>
      </c>
      <c r="O67" s="206">
        <v>55</v>
      </c>
      <c r="P67" s="206">
        <v>178</v>
      </c>
      <c r="Q67" s="207">
        <v>121</v>
      </c>
      <c r="R67" s="207">
        <v>20</v>
      </c>
      <c r="S67" s="207">
        <v>61</v>
      </c>
      <c r="T67" s="207">
        <v>202</v>
      </c>
      <c r="U67" s="208">
        <v>97</v>
      </c>
      <c r="V67" s="208">
        <v>14</v>
      </c>
      <c r="W67" s="208">
        <v>48</v>
      </c>
      <c r="X67" s="208">
        <v>159</v>
      </c>
      <c r="Y67" s="206">
        <v>130</v>
      </c>
      <c r="Z67" s="209">
        <v>23</v>
      </c>
      <c r="AA67" s="210">
        <v>68</v>
      </c>
      <c r="AB67" s="210">
        <v>221</v>
      </c>
      <c r="AC67" s="211">
        <v>44992</v>
      </c>
      <c r="AD67" s="201" t="s">
        <v>317</v>
      </c>
      <c r="AE67" s="201">
        <v>4</v>
      </c>
      <c r="AF67" s="201" t="s">
        <v>298</v>
      </c>
      <c r="AG67" s="201">
        <v>30</v>
      </c>
      <c r="AH67" s="201">
        <v>285</v>
      </c>
      <c r="AI67" s="201">
        <v>117</v>
      </c>
      <c r="AJ67" s="201">
        <v>36</v>
      </c>
      <c r="AK67" s="204">
        <v>153</v>
      </c>
      <c r="AL67" s="212">
        <v>468</v>
      </c>
      <c r="AM67" s="206">
        <v>85</v>
      </c>
      <c r="AN67" s="206">
        <v>5</v>
      </c>
      <c r="AO67" s="206">
        <v>54</v>
      </c>
      <c r="AP67" s="213">
        <v>144</v>
      </c>
      <c r="AQ67" s="207">
        <v>72</v>
      </c>
      <c r="AR67" s="207">
        <v>8</v>
      </c>
      <c r="AS67" s="207">
        <v>31</v>
      </c>
      <c r="AT67" s="207">
        <v>111</v>
      </c>
      <c r="AU67" s="208">
        <v>87</v>
      </c>
      <c r="AV67" s="208">
        <v>6</v>
      </c>
      <c r="AW67" s="208">
        <v>60</v>
      </c>
      <c r="AX67" s="208">
        <v>153</v>
      </c>
      <c r="AY67" s="206">
        <v>70</v>
      </c>
      <c r="AZ67" s="209">
        <v>7</v>
      </c>
      <c r="BA67" s="210">
        <v>25</v>
      </c>
      <c r="BB67" s="214">
        <v>102</v>
      </c>
    </row>
    <row r="68" spans="1:54" ht="15.75" x14ac:dyDescent="0.25">
      <c r="A68" s="200">
        <v>44993</v>
      </c>
      <c r="B68" s="201" t="s">
        <v>318</v>
      </c>
      <c r="C68" s="201">
        <v>3</v>
      </c>
      <c r="D68" s="201" t="s">
        <v>291</v>
      </c>
      <c r="E68" s="201">
        <v>127</v>
      </c>
      <c r="F68" s="201">
        <v>81</v>
      </c>
      <c r="G68" s="201">
        <v>67</v>
      </c>
      <c r="H68" s="202">
        <v>148</v>
      </c>
      <c r="I68" s="201">
        <v>107</v>
      </c>
      <c r="J68" s="203">
        <v>45</v>
      </c>
      <c r="K68" s="204">
        <v>152</v>
      </c>
      <c r="L68" s="205">
        <v>427</v>
      </c>
      <c r="M68" s="206">
        <v>126</v>
      </c>
      <c r="N68" s="206">
        <v>21</v>
      </c>
      <c r="O68" s="206">
        <v>64</v>
      </c>
      <c r="P68" s="206">
        <v>211</v>
      </c>
      <c r="Q68" s="207">
        <v>105</v>
      </c>
      <c r="R68" s="207">
        <v>13</v>
      </c>
      <c r="S68" s="207">
        <v>70</v>
      </c>
      <c r="T68" s="207">
        <v>188</v>
      </c>
      <c r="U68" s="208">
        <v>91</v>
      </c>
      <c r="V68" s="208">
        <v>13</v>
      </c>
      <c r="W68" s="208">
        <v>48</v>
      </c>
      <c r="X68" s="208">
        <v>152</v>
      </c>
      <c r="Y68" s="206">
        <v>140</v>
      </c>
      <c r="Z68" s="209">
        <v>21</v>
      </c>
      <c r="AA68" s="210">
        <v>86</v>
      </c>
      <c r="AB68" s="210">
        <v>247</v>
      </c>
      <c r="AC68" s="211">
        <v>44993</v>
      </c>
      <c r="AD68" s="201" t="s">
        <v>318</v>
      </c>
      <c r="AE68" s="201">
        <v>4</v>
      </c>
      <c r="AF68" s="201" t="s">
        <v>298</v>
      </c>
      <c r="AG68" s="201">
        <v>51</v>
      </c>
      <c r="AH68" s="201">
        <v>320</v>
      </c>
      <c r="AI68" s="201">
        <v>131</v>
      </c>
      <c r="AJ68" s="201">
        <v>49</v>
      </c>
      <c r="AK68" s="204">
        <v>180</v>
      </c>
      <c r="AL68" s="212">
        <v>551</v>
      </c>
      <c r="AM68" s="206">
        <v>79</v>
      </c>
      <c r="AN68" s="206">
        <v>7</v>
      </c>
      <c r="AO68" s="206">
        <v>86</v>
      </c>
      <c r="AP68" s="213">
        <v>172</v>
      </c>
      <c r="AQ68" s="207">
        <v>49</v>
      </c>
      <c r="AR68" s="207">
        <v>2</v>
      </c>
      <c r="AS68" s="207">
        <v>37</v>
      </c>
      <c r="AT68" s="207">
        <v>88</v>
      </c>
      <c r="AU68" s="208">
        <v>89</v>
      </c>
      <c r="AV68" s="208">
        <v>6</v>
      </c>
      <c r="AW68" s="208">
        <v>85</v>
      </c>
      <c r="AX68" s="208">
        <v>180</v>
      </c>
      <c r="AY68" s="206">
        <v>39</v>
      </c>
      <c r="AZ68" s="209">
        <v>3</v>
      </c>
      <c r="BA68" s="210">
        <v>38</v>
      </c>
      <c r="BB68" s="214">
        <v>80</v>
      </c>
    </row>
    <row r="69" spans="1:54" ht="15.75" x14ac:dyDescent="0.25">
      <c r="A69" s="200">
        <v>44994</v>
      </c>
      <c r="B69" s="201" t="s">
        <v>319</v>
      </c>
      <c r="C69" s="201">
        <v>2</v>
      </c>
      <c r="D69" s="201" t="s">
        <v>291</v>
      </c>
      <c r="E69" s="201">
        <v>129</v>
      </c>
      <c r="F69" s="201">
        <v>92</v>
      </c>
      <c r="G69" s="201">
        <v>90</v>
      </c>
      <c r="H69" s="202">
        <v>182</v>
      </c>
      <c r="I69" s="201">
        <v>130</v>
      </c>
      <c r="J69" s="203">
        <v>64</v>
      </c>
      <c r="K69" s="204">
        <v>194</v>
      </c>
      <c r="L69" s="205">
        <v>505</v>
      </c>
      <c r="M69" s="206">
        <v>142</v>
      </c>
      <c r="N69" s="206">
        <v>16</v>
      </c>
      <c r="O69" s="206">
        <v>54</v>
      </c>
      <c r="P69" s="206">
        <v>212</v>
      </c>
      <c r="Q69" s="207">
        <v>114</v>
      </c>
      <c r="R69" s="207">
        <v>22</v>
      </c>
      <c r="S69" s="207">
        <v>54</v>
      </c>
      <c r="T69" s="207">
        <v>190</v>
      </c>
      <c r="U69" s="208">
        <v>110</v>
      </c>
      <c r="V69" s="208">
        <v>23</v>
      </c>
      <c r="W69" s="208">
        <v>61</v>
      </c>
      <c r="X69" s="208">
        <v>194</v>
      </c>
      <c r="Y69" s="206">
        <v>146</v>
      </c>
      <c r="Z69" s="209">
        <v>15</v>
      </c>
      <c r="AA69" s="210">
        <v>47</v>
      </c>
      <c r="AB69" s="210">
        <v>208</v>
      </c>
      <c r="AC69" s="211">
        <v>44994</v>
      </c>
      <c r="AD69" s="201" t="s">
        <v>319</v>
      </c>
      <c r="AE69" s="201">
        <v>1</v>
      </c>
      <c r="AF69" s="201" t="s">
        <v>298</v>
      </c>
      <c r="AG69" s="201">
        <v>36</v>
      </c>
      <c r="AH69" s="201">
        <v>220</v>
      </c>
      <c r="AI69" s="201">
        <v>138</v>
      </c>
      <c r="AJ69" s="201">
        <v>36</v>
      </c>
      <c r="AK69" s="204">
        <v>174</v>
      </c>
      <c r="AL69" s="212">
        <v>430</v>
      </c>
      <c r="AM69" s="206">
        <v>105</v>
      </c>
      <c r="AN69" s="206">
        <v>14</v>
      </c>
      <c r="AO69" s="206">
        <v>48</v>
      </c>
      <c r="AP69" s="213">
        <v>167</v>
      </c>
      <c r="AQ69" s="207">
        <v>63</v>
      </c>
      <c r="AR69" s="207">
        <v>6</v>
      </c>
      <c r="AS69" s="207">
        <v>47</v>
      </c>
      <c r="AT69" s="207">
        <v>116</v>
      </c>
      <c r="AU69" s="208">
        <v>107</v>
      </c>
      <c r="AV69" s="208">
        <v>16</v>
      </c>
      <c r="AW69" s="208">
        <v>51</v>
      </c>
      <c r="AX69" s="208">
        <v>174</v>
      </c>
      <c r="AY69" s="206">
        <v>61</v>
      </c>
      <c r="AZ69" s="209">
        <v>4</v>
      </c>
      <c r="BA69" s="210">
        <v>44</v>
      </c>
      <c r="BB69" s="214">
        <v>109</v>
      </c>
    </row>
    <row r="70" spans="1:54" ht="15.75" x14ac:dyDescent="0.25">
      <c r="A70" s="200">
        <v>44995</v>
      </c>
      <c r="B70" s="201" t="s">
        <v>285</v>
      </c>
      <c r="C70" s="201">
        <v>2</v>
      </c>
      <c r="D70" s="201" t="s">
        <v>291</v>
      </c>
      <c r="E70" s="201">
        <v>158</v>
      </c>
      <c r="F70" s="201">
        <v>87</v>
      </c>
      <c r="G70" s="201">
        <v>93</v>
      </c>
      <c r="H70" s="202">
        <v>180</v>
      </c>
      <c r="I70" s="201">
        <v>129</v>
      </c>
      <c r="J70" s="203">
        <v>83</v>
      </c>
      <c r="K70" s="204">
        <v>212</v>
      </c>
      <c r="L70" s="205">
        <v>550</v>
      </c>
      <c r="M70" s="206">
        <v>121</v>
      </c>
      <c r="N70" s="206">
        <v>23</v>
      </c>
      <c r="O70" s="206">
        <v>58</v>
      </c>
      <c r="P70" s="206">
        <v>202</v>
      </c>
      <c r="Q70" s="207">
        <v>118</v>
      </c>
      <c r="R70" s="207">
        <v>23</v>
      </c>
      <c r="S70" s="207">
        <v>64</v>
      </c>
      <c r="T70" s="207">
        <v>205</v>
      </c>
      <c r="U70" s="208">
        <v>122</v>
      </c>
      <c r="V70" s="208">
        <v>27</v>
      </c>
      <c r="W70" s="208">
        <v>63</v>
      </c>
      <c r="X70" s="208">
        <v>212</v>
      </c>
      <c r="Y70" s="206">
        <v>117</v>
      </c>
      <c r="Z70" s="209">
        <v>19</v>
      </c>
      <c r="AA70" s="210">
        <v>59</v>
      </c>
      <c r="AB70" s="210">
        <v>195</v>
      </c>
      <c r="AC70" s="211">
        <v>44995</v>
      </c>
      <c r="AD70" s="201" t="s">
        <v>285</v>
      </c>
      <c r="AE70" s="201">
        <v>1</v>
      </c>
      <c r="AF70" s="201" t="s">
        <v>298</v>
      </c>
      <c r="AG70" s="201">
        <v>30</v>
      </c>
      <c r="AH70" s="201">
        <v>238</v>
      </c>
      <c r="AI70" s="201">
        <v>133</v>
      </c>
      <c r="AJ70" s="201">
        <v>81</v>
      </c>
      <c r="AK70" s="204">
        <v>214</v>
      </c>
      <c r="AL70" s="212">
        <v>482</v>
      </c>
      <c r="AM70" s="206">
        <v>103</v>
      </c>
      <c r="AN70" s="206">
        <v>7</v>
      </c>
      <c r="AO70" s="206">
        <v>48</v>
      </c>
      <c r="AP70" s="213">
        <v>158</v>
      </c>
      <c r="AQ70" s="207">
        <v>72</v>
      </c>
      <c r="AR70" s="207">
        <v>10</v>
      </c>
      <c r="AS70" s="207">
        <v>46</v>
      </c>
      <c r="AT70" s="207">
        <v>128</v>
      </c>
      <c r="AU70" s="208">
        <v>116</v>
      </c>
      <c r="AV70" s="208">
        <v>15</v>
      </c>
      <c r="AW70" s="208">
        <v>83</v>
      </c>
      <c r="AX70" s="208">
        <v>214</v>
      </c>
      <c r="AY70" s="206">
        <v>59</v>
      </c>
      <c r="AZ70" s="209">
        <v>2</v>
      </c>
      <c r="BA70" s="210">
        <v>11</v>
      </c>
      <c r="BB70" s="214">
        <v>72</v>
      </c>
    </row>
    <row r="71" spans="1:54" ht="15.75" x14ac:dyDescent="0.25">
      <c r="A71" s="200">
        <v>44996</v>
      </c>
      <c r="B71" s="201" t="s">
        <v>320</v>
      </c>
      <c r="C71" s="201">
        <v>4</v>
      </c>
      <c r="D71" s="201" t="s">
        <v>291</v>
      </c>
      <c r="E71" s="201">
        <v>153</v>
      </c>
      <c r="F71" s="201">
        <v>96</v>
      </c>
      <c r="G71" s="201">
        <v>84</v>
      </c>
      <c r="H71" s="202">
        <v>180</v>
      </c>
      <c r="I71" s="201">
        <v>102</v>
      </c>
      <c r="J71" s="203">
        <v>43</v>
      </c>
      <c r="K71" s="204">
        <v>145</v>
      </c>
      <c r="L71" s="205">
        <v>478</v>
      </c>
      <c r="M71" s="206">
        <v>125</v>
      </c>
      <c r="N71" s="206">
        <v>16</v>
      </c>
      <c r="O71" s="206">
        <v>41</v>
      </c>
      <c r="P71" s="206">
        <v>182</v>
      </c>
      <c r="Q71" s="207">
        <v>119</v>
      </c>
      <c r="R71" s="207">
        <v>13</v>
      </c>
      <c r="S71" s="207">
        <v>53</v>
      </c>
      <c r="T71" s="207">
        <v>185</v>
      </c>
      <c r="U71" s="208">
        <v>97</v>
      </c>
      <c r="V71" s="208">
        <v>10</v>
      </c>
      <c r="W71" s="208">
        <v>38</v>
      </c>
      <c r="X71" s="208">
        <v>145</v>
      </c>
      <c r="Y71" s="206">
        <v>147</v>
      </c>
      <c r="Z71" s="209">
        <v>19</v>
      </c>
      <c r="AA71" s="210">
        <v>56</v>
      </c>
      <c r="AB71" s="210">
        <v>222</v>
      </c>
      <c r="AC71" s="211">
        <v>44996</v>
      </c>
      <c r="AD71" s="201" t="s">
        <v>320</v>
      </c>
      <c r="AE71" s="201">
        <v>3</v>
      </c>
      <c r="AF71" s="201" t="s">
        <v>298</v>
      </c>
      <c r="AG71" s="201">
        <v>64</v>
      </c>
      <c r="AH71" s="201">
        <v>295</v>
      </c>
      <c r="AI71" s="201">
        <v>111</v>
      </c>
      <c r="AJ71" s="201">
        <v>45</v>
      </c>
      <c r="AK71" s="204">
        <v>156</v>
      </c>
      <c r="AL71" s="212">
        <v>515</v>
      </c>
      <c r="AM71" s="206">
        <v>106</v>
      </c>
      <c r="AN71" s="206">
        <v>12</v>
      </c>
      <c r="AO71" s="206">
        <v>33</v>
      </c>
      <c r="AP71" s="213">
        <v>151</v>
      </c>
      <c r="AQ71" s="207">
        <v>68</v>
      </c>
      <c r="AR71" s="207">
        <v>9</v>
      </c>
      <c r="AS71" s="207">
        <v>45</v>
      </c>
      <c r="AT71" s="207">
        <v>122</v>
      </c>
      <c r="AU71" s="208">
        <v>104</v>
      </c>
      <c r="AV71" s="208">
        <v>10</v>
      </c>
      <c r="AW71" s="208">
        <v>42</v>
      </c>
      <c r="AX71" s="208">
        <v>156</v>
      </c>
      <c r="AY71" s="206">
        <v>70</v>
      </c>
      <c r="AZ71" s="209">
        <v>11</v>
      </c>
      <c r="BA71" s="210">
        <v>36</v>
      </c>
      <c r="BB71" s="214">
        <v>117</v>
      </c>
    </row>
    <row r="72" spans="1:54" ht="15.75" x14ac:dyDescent="0.25">
      <c r="A72" s="200">
        <v>44997</v>
      </c>
      <c r="B72" s="201" t="s">
        <v>293</v>
      </c>
      <c r="C72" s="201">
        <v>4</v>
      </c>
      <c r="D72" s="201" t="s">
        <v>291</v>
      </c>
      <c r="E72" s="201">
        <v>167</v>
      </c>
      <c r="F72" s="201">
        <v>95</v>
      </c>
      <c r="G72" s="201">
        <v>84</v>
      </c>
      <c r="H72" s="202">
        <v>179</v>
      </c>
      <c r="I72" s="201">
        <v>135</v>
      </c>
      <c r="J72" s="203">
        <v>89</v>
      </c>
      <c r="K72" s="204">
        <v>224</v>
      </c>
      <c r="L72" s="205">
        <v>570</v>
      </c>
      <c r="M72" s="206">
        <v>108</v>
      </c>
      <c r="N72" s="206">
        <v>24</v>
      </c>
      <c r="O72" s="206">
        <v>42</v>
      </c>
      <c r="P72" s="206">
        <v>174</v>
      </c>
      <c r="Q72" s="207">
        <v>109</v>
      </c>
      <c r="R72" s="207">
        <v>20</v>
      </c>
      <c r="S72" s="207">
        <v>68</v>
      </c>
      <c r="T72" s="207">
        <v>197</v>
      </c>
      <c r="U72" s="208">
        <v>125</v>
      </c>
      <c r="V72" s="208">
        <v>22</v>
      </c>
      <c r="W72" s="208">
        <v>77</v>
      </c>
      <c r="X72" s="208">
        <v>224</v>
      </c>
      <c r="Y72" s="206">
        <v>92</v>
      </c>
      <c r="Z72" s="209">
        <v>22</v>
      </c>
      <c r="AA72" s="210">
        <v>33</v>
      </c>
      <c r="AB72" s="210">
        <v>147</v>
      </c>
      <c r="AC72" s="211">
        <v>44997</v>
      </c>
      <c r="AD72" s="201" t="s">
        <v>293</v>
      </c>
      <c r="AE72" s="201">
        <v>3</v>
      </c>
      <c r="AF72" s="201" t="s">
        <v>298</v>
      </c>
      <c r="AG72" s="201">
        <v>19</v>
      </c>
      <c r="AH72" s="201">
        <v>207</v>
      </c>
      <c r="AI72" s="201">
        <v>125</v>
      </c>
      <c r="AJ72" s="201">
        <v>59</v>
      </c>
      <c r="AK72" s="204">
        <v>184</v>
      </c>
      <c r="AL72" s="212">
        <v>410</v>
      </c>
      <c r="AM72" s="206">
        <v>98</v>
      </c>
      <c r="AN72" s="206">
        <v>13</v>
      </c>
      <c r="AO72" s="206">
        <v>39</v>
      </c>
      <c r="AP72" s="213">
        <v>150</v>
      </c>
      <c r="AQ72" s="207">
        <v>88</v>
      </c>
      <c r="AR72" s="207">
        <v>8</v>
      </c>
      <c r="AS72" s="207">
        <v>39</v>
      </c>
      <c r="AT72" s="207">
        <v>135</v>
      </c>
      <c r="AU72" s="208">
        <v>117</v>
      </c>
      <c r="AV72" s="208">
        <v>15</v>
      </c>
      <c r="AW72" s="208">
        <v>52</v>
      </c>
      <c r="AX72" s="208">
        <v>184</v>
      </c>
      <c r="AY72" s="206">
        <v>69</v>
      </c>
      <c r="AZ72" s="209">
        <v>6</v>
      </c>
      <c r="BA72" s="210">
        <v>26</v>
      </c>
      <c r="BB72" s="214">
        <v>101</v>
      </c>
    </row>
    <row r="73" spans="1:54" ht="15.75" x14ac:dyDescent="0.25">
      <c r="A73" s="200">
        <v>44998</v>
      </c>
      <c r="B73" s="201" t="s">
        <v>316</v>
      </c>
      <c r="C73" s="201">
        <v>1</v>
      </c>
      <c r="D73" s="201" t="s">
        <v>291</v>
      </c>
      <c r="E73" s="201">
        <v>133</v>
      </c>
      <c r="F73" s="201">
        <v>83</v>
      </c>
      <c r="G73" s="201">
        <v>78</v>
      </c>
      <c r="H73" s="202">
        <v>161</v>
      </c>
      <c r="I73" s="201">
        <v>115</v>
      </c>
      <c r="J73" s="203">
        <v>51</v>
      </c>
      <c r="K73" s="204">
        <v>166</v>
      </c>
      <c r="L73" s="205">
        <v>460</v>
      </c>
      <c r="M73" s="206">
        <v>125</v>
      </c>
      <c r="N73" s="206">
        <v>21</v>
      </c>
      <c r="O73" s="206">
        <v>36</v>
      </c>
      <c r="P73" s="206">
        <v>182</v>
      </c>
      <c r="Q73" s="207">
        <v>119</v>
      </c>
      <c r="R73" s="207">
        <v>20</v>
      </c>
      <c r="S73" s="207">
        <v>45</v>
      </c>
      <c r="T73" s="207">
        <v>184</v>
      </c>
      <c r="U73" s="208">
        <v>102</v>
      </c>
      <c r="V73" s="208">
        <v>22</v>
      </c>
      <c r="W73" s="208">
        <v>42</v>
      </c>
      <c r="X73" s="208">
        <v>166</v>
      </c>
      <c r="Y73" s="206">
        <v>142</v>
      </c>
      <c r="Z73" s="209">
        <v>19</v>
      </c>
      <c r="AA73" s="210">
        <v>39</v>
      </c>
      <c r="AB73" s="210">
        <v>200</v>
      </c>
      <c r="AC73" s="211">
        <v>44998</v>
      </c>
      <c r="AD73" s="201" t="s">
        <v>316</v>
      </c>
      <c r="AE73" s="201">
        <v>2</v>
      </c>
      <c r="AF73" s="201" t="s">
        <v>298</v>
      </c>
      <c r="AG73" s="201">
        <v>20</v>
      </c>
      <c r="AH73" s="201">
        <v>256</v>
      </c>
      <c r="AI73" s="201">
        <v>129</v>
      </c>
      <c r="AJ73" s="201">
        <v>62</v>
      </c>
      <c r="AK73" s="204">
        <v>191</v>
      </c>
      <c r="AL73" s="212">
        <v>467</v>
      </c>
      <c r="AM73" s="206">
        <v>122</v>
      </c>
      <c r="AN73" s="206">
        <v>15</v>
      </c>
      <c r="AO73" s="206">
        <v>31</v>
      </c>
      <c r="AP73" s="213">
        <v>168</v>
      </c>
      <c r="AQ73" s="207">
        <v>68</v>
      </c>
      <c r="AR73" s="207">
        <v>3</v>
      </c>
      <c r="AS73" s="207">
        <v>23</v>
      </c>
      <c r="AT73" s="207">
        <v>94</v>
      </c>
      <c r="AU73" s="208">
        <v>137</v>
      </c>
      <c r="AV73" s="208">
        <v>10</v>
      </c>
      <c r="AW73" s="208">
        <v>44</v>
      </c>
      <c r="AX73" s="208">
        <v>191</v>
      </c>
      <c r="AY73" s="206">
        <v>53</v>
      </c>
      <c r="AZ73" s="209">
        <v>8</v>
      </c>
      <c r="BA73" s="210">
        <v>10</v>
      </c>
      <c r="BB73" s="214">
        <v>71</v>
      </c>
    </row>
    <row r="74" spans="1:54" ht="15.75" x14ac:dyDescent="0.25">
      <c r="A74" s="200">
        <v>44999</v>
      </c>
      <c r="B74" s="201" t="s">
        <v>317</v>
      </c>
      <c r="C74" s="201">
        <v>1</v>
      </c>
      <c r="D74" s="201" t="s">
        <v>291</v>
      </c>
      <c r="E74" s="201">
        <v>106</v>
      </c>
      <c r="F74" s="201">
        <v>78</v>
      </c>
      <c r="G74" s="201">
        <v>90</v>
      </c>
      <c r="H74" s="202">
        <v>168</v>
      </c>
      <c r="I74" s="201">
        <v>104</v>
      </c>
      <c r="J74" s="203">
        <v>48</v>
      </c>
      <c r="K74" s="204">
        <v>152</v>
      </c>
      <c r="L74" s="205">
        <v>426</v>
      </c>
      <c r="M74" s="206">
        <v>131</v>
      </c>
      <c r="N74" s="206">
        <v>20</v>
      </c>
      <c r="O74" s="206">
        <v>45</v>
      </c>
      <c r="P74" s="206">
        <v>196</v>
      </c>
      <c r="Q74" s="207">
        <v>121</v>
      </c>
      <c r="R74" s="207">
        <v>22</v>
      </c>
      <c r="S74" s="207">
        <v>72</v>
      </c>
      <c r="T74" s="207">
        <v>215</v>
      </c>
      <c r="U74" s="208">
        <v>84</v>
      </c>
      <c r="V74" s="208">
        <v>22</v>
      </c>
      <c r="W74" s="208">
        <v>46</v>
      </c>
      <c r="X74" s="208">
        <v>152</v>
      </c>
      <c r="Y74" s="206">
        <v>168</v>
      </c>
      <c r="Z74" s="209">
        <v>20</v>
      </c>
      <c r="AA74" s="210">
        <v>71</v>
      </c>
      <c r="AB74" s="210">
        <v>259</v>
      </c>
      <c r="AC74" s="211">
        <v>44999</v>
      </c>
      <c r="AD74" s="201" t="s">
        <v>317</v>
      </c>
      <c r="AE74" s="201">
        <v>2</v>
      </c>
      <c r="AF74" s="201" t="s">
        <v>298</v>
      </c>
      <c r="AG74" s="201">
        <v>20</v>
      </c>
      <c r="AH74" s="201">
        <v>256</v>
      </c>
      <c r="AI74" s="201">
        <v>129</v>
      </c>
      <c r="AJ74" s="201">
        <v>62</v>
      </c>
      <c r="AK74" s="204">
        <v>191</v>
      </c>
      <c r="AL74" s="212">
        <v>467</v>
      </c>
      <c r="AM74" s="206">
        <v>122</v>
      </c>
      <c r="AN74" s="206">
        <v>15</v>
      </c>
      <c r="AO74" s="206">
        <v>31</v>
      </c>
      <c r="AP74" s="213">
        <v>168</v>
      </c>
      <c r="AQ74" s="207">
        <v>68</v>
      </c>
      <c r="AR74" s="207">
        <v>3</v>
      </c>
      <c r="AS74" s="207">
        <v>23</v>
      </c>
      <c r="AT74" s="207">
        <v>94</v>
      </c>
      <c r="AU74" s="208">
        <v>137</v>
      </c>
      <c r="AV74" s="208">
        <v>10</v>
      </c>
      <c r="AW74" s="208">
        <v>44</v>
      </c>
      <c r="AX74" s="208">
        <v>191</v>
      </c>
      <c r="AY74" s="206">
        <v>53</v>
      </c>
      <c r="AZ74" s="209">
        <v>8</v>
      </c>
      <c r="BA74" s="210">
        <v>10</v>
      </c>
      <c r="BB74" s="214">
        <v>71</v>
      </c>
    </row>
    <row r="75" spans="1:54" ht="15.75" x14ac:dyDescent="0.25">
      <c r="A75" s="200">
        <v>45000</v>
      </c>
      <c r="B75" s="201" t="s">
        <v>318</v>
      </c>
      <c r="C75" s="201">
        <v>3</v>
      </c>
      <c r="D75" s="201" t="s">
        <v>291</v>
      </c>
      <c r="E75" s="201">
        <v>172</v>
      </c>
      <c r="F75" s="201">
        <v>86</v>
      </c>
      <c r="G75" s="201">
        <v>70</v>
      </c>
      <c r="H75" s="202">
        <v>156</v>
      </c>
      <c r="I75" s="201">
        <v>126</v>
      </c>
      <c r="J75" s="203">
        <v>76</v>
      </c>
      <c r="K75" s="204">
        <v>202</v>
      </c>
      <c r="L75" s="205">
        <v>530</v>
      </c>
      <c r="M75" s="206">
        <v>138</v>
      </c>
      <c r="N75" s="206">
        <v>19</v>
      </c>
      <c r="O75" s="206">
        <v>58</v>
      </c>
      <c r="P75" s="206">
        <v>215</v>
      </c>
      <c r="Q75" s="207">
        <v>150</v>
      </c>
      <c r="R75" s="207">
        <v>19</v>
      </c>
      <c r="S75" s="207">
        <v>70</v>
      </c>
      <c r="T75" s="207">
        <v>239</v>
      </c>
      <c r="U75" s="208">
        <v>123</v>
      </c>
      <c r="V75" s="208">
        <v>22</v>
      </c>
      <c r="W75" s="208">
        <v>57</v>
      </c>
      <c r="X75" s="208">
        <v>202</v>
      </c>
      <c r="Y75" s="206">
        <v>165</v>
      </c>
      <c r="Z75" s="209">
        <v>16</v>
      </c>
      <c r="AA75" s="210">
        <v>71</v>
      </c>
      <c r="AB75" s="210">
        <v>252</v>
      </c>
      <c r="AC75" s="211">
        <v>45000</v>
      </c>
      <c r="AD75" s="201" t="s">
        <v>318</v>
      </c>
      <c r="AE75" s="201">
        <v>4</v>
      </c>
      <c r="AF75" s="201" t="s">
        <v>298</v>
      </c>
      <c r="AG75" s="201">
        <v>41</v>
      </c>
      <c r="AH75" s="201">
        <v>316</v>
      </c>
      <c r="AI75" s="201">
        <v>131</v>
      </c>
      <c r="AJ75" s="201">
        <v>36</v>
      </c>
      <c r="AK75" s="204">
        <v>167</v>
      </c>
      <c r="AL75" s="212">
        <v>524</v>
      </c>
      <c r="AM75" s="206">
        <v>123</v>
      </c>
      <c r="AN75" s="206">
        <v>8</v>
      </c>
      <c r="AO75" s="206">
        <v>54</v>
      </c>
      <c r="AP75" s="213">
        <v>185</v>
      </c>
      <c r="AQ75" s="207">
        <v>81</v>
      </c>
      <c r="AR75" s="207">
        <v>9</v>
      </c>
      <c r="AS75" s="207">
        <v>20</v>
      </c>
      <c r="AT75" s="207">
        <v>110</v>
      </c>
      <c r="AU75" s="208">
        <v>119</v>
      </c>
      <c r="AV75" s="208">
        <v>9</v>
      </c>
      <c r="AW75" s="208">
        <v>39</v>
      </c>
      <c r="AX75" s="208">
        <v>167</v>
      </c>
      <c r="AY75" s="206">
        <v>85</v>
      </c>
      <c r="AZ75" s="209">
        <v>8</v>
      </c>
      <c r="BA75" s="210">
        <v>35</v>
      </c>
      <c r="BB75" s="214">
        <v>128</v>
      </c>
    </row>
    <row r="76" spans="1:54" ht="15.75" x14ac:dyDescent="0.25">
      <c r="A76" s="200">
        <v>45001</v>
      </c>
      <c r="B76" s="201" t="s">
        <v>319</v>
      </c>
      <c r="C76" s="201">
        <v>3</v>
      </c>
      <c r="D76" s="201" t="s">
        <v>291</v>
      </c>
      <c r="E76" s="201">
        <v>155</v>
      </c>
      <c r="F76" s="201">
        <v>98</v>
      </c>
      <c r="G76" s="201">
        <v>77</v>
      </c>
      <c r="H76" s="202">
        <v>175</v>
      </c>
      <c r="I76" s="201">
        <v>122</v>
      </c>
      <c r="J76" s="203">
        <v>69</v>
      </c>
      <c r="K76" s="204">
        <v>191</v>
      </c>
      <c r="L76" s="205">
        <v>521</v>
      </c>
      <c r="M76" s="206">
        <v>140</v>
      </c>
      <c r="N76" s="206">
        <v>21</v>
      </c>
      <c r="O76" s="206">
        <v>60</v>
      </c>
      <c r="P76" s="206">
        <v>221</v>
      </c>
      <c r="Q76" s="207">
        <v>141</v>
      </c>
      <c r="R76" s="207">
        <v>23</v>
      </c>
      <c r="S76" s="207">
        <v>73</v>
      </c>
      <c r="T76" s="207">
        <v>237</v>
      </c>
      <c r="U76" s="208">
        <v>133</v>
      </c>
      <c r="V76" s="208">
        <v>18</v>
      </c>
      <c r="W76" s="208">
        <v>40</v>
      </c>
      <c r="X76" s="208">
        <v>191</v>
      </c>
      <c r="Y76" s="206">
        <v>148</v>
      </c>
      <c r="Z76" s="209">
        <v>26</v>
      </c>
      <c r="AA76" s="210">
        <v>93</v>
      </c>
      <c r="AB76" s="210">
        <v>267</v>
      </c>
      <c r="AC76" s="211">
        <v>45001</v>
      </c>
      <c r="AD76" s="201" t="s">
        <v>319</v>
      </c>
      <c r="AE76" s="201">
        <v>4</v>
      </c>
      <c r="AF76" s="201" t="s">
        <v>298</v>
      </c>
      <c r="AG76" s="201">
        <v>64</v>
      </c>
      <c r="AH76" s="201">
        <v>335</v>
      </c>
      <c r="AI76" s="201">
        <v>132</v>
      </c>
      <c r="AJ76" s="201">
        <v>45</v>
      </c>
      <c r="AK76" s="204">
        <v>177</v>
      </c>
      <c r="AL76" s="212">
        <v>576</v>
      </c>
      <c r="AM76" s="206">
        <v>115</v>
      </c>
      <c r="AN76" s="206">
        <v>10</v>
      </c>
      <c r="AO76" s="206">
        <v>57</v>
      </c>
      <c r="AP76" s="213">
        <v>182</v>
      </c>
      <c r="AQ76" s="207">
        <v>70</v>
      </c>
      <c r="AR76" s="207">
        <v>6</v>
      </c>
      <c r="AS76" s="207">
        <v>34</v>
      </c>
      <c r="AT76" s="207">
        <v>110</v>
      </c>
      <c r="AU76" s="208">
        <v>119</v>
      </c>
      <c r="AV76" s="208">
        <v>12</v>
      </c>
      <c r="AW76" s="208">
        <v>46</v>
      </c>
      <c r="AX76" s="208">
        <v>177</v>
      </c>
      <c r="AY76" s="206">
        <v>66</v>
      </c>
      <c r="AZ76" s="209">
        <v>4</v>
      </c>
      <c r="BA76" s="210">
        <v>45</v>
      </c>
      <c r="BB76" s="214">
        <v>115</v>
      </c>
    </row>
    <row r="77" spans="1:54" ht="15.75" x14ac:dyDescent="0.25">
      <c r="A77" s="200">
        <v>45002</v>
      </c>
      <c r="B77" s="201" t="s">
        <v>285</v>
      </c>
      <c r="C77" s="201">
        <v>2</v>
      </c>
      <c r="D77" s="201" t="s">
        <v>291</v>
      </c>
      <c r="E77" s="201">
        <v>155</v>
      </c>
      <c r="F77" s="201">
        <v>78</v>
      </c>
      <c r="G77" s="201">
        <v>92</v>
      </c>
      <c r="H77" s="202">
        <v>170</v>
      </c>
      <c r="I77" s="201">
        <v>127</v>
      </c>
      <c r="J77" s="203">
        <v>89</v>
      </c>
      <c r="K77" s="204">
        <v>216</v>
      </c>
      <c r="L77" s="205">
        <v>541</v>
      </c>
      <c r="M77" s="206">
        <v>135</v>
      </c>
      <c r="N77" s="206">
        <v>26</v>
      </c>
      <c r="O77" s="206">
        <v>42</v>
      </c>
      <c r="P77" s="206">
        <v>203</v>
      </c>
      <c r="Q77" s="207">
        <v>139</v>
      </c>
      <c r="R77" s="207">
        <v>19</v>
      </c>
      <c r="S77" s="207">
        <v>49</v>
      </c>
      <c r="T77" s="207">
        <v>207</v>
      </c>
      <c r="U77" s="208">
        <v>148</v>
      </c>
      <c r="V77" s="208">
        <v>30</v>
      </c>
      <c r="W77" s="208">
        <v>38</v>
      </c>
      <c r="X77" s="208">
        <v>216</v>
      </c>
      <c r="Y77" s="206">
        <v>126</v>
      </c>
      <c r="Z77" s="209">
        <v>15</v>
      </c>
      <c r="AA77" s="210">
        <v>53</v>
      </c>
      <c r="AB77" s="210">
        <v>194</v>
      </c>
      <c r="AC77" s="211">
        <v>45002</v>
      </c>
      <c r="AD77" s="201" t="s">
        <v>285</v>
      </c>
      <c r="AE77" s="201">
        <v>1</v>
      </c>
      <c r="AF77" s="201" t="s">
        <v>298</v>
      </c>
      <c r="AG77" s="201">
        <v>41</v>
      </c>
      <c r="AH77" s="201">
        <v>234</v>
      </c>
      <c r="AI77" s="201">
        <v>120</v>
      </c>
      <c r="AJ77" s="201">
        <v>56</v>
      </c>
      <c r="AK77" s="204">
        <v>176</v>
      </c>
      <c r="AL77" s="212">
        <v>451</v>
      </c>
      <c r="AM77" s="206">
        <v>107</v>
      </c>
      <c r="AN77" s="206">
        <v>9</v>
      </c>
      <c r="AO77" s="206">
        <v>52</v>
      </c>
      <c r="AP77" s="213">
        <v>168</v>
      </c>
      <c r="AQ77" s="207">
        <v>79</v>
      </c>
      <c r="AR77" s="207">
        <v>6</v>
      </c>
      <c r="AS77" s="207">
        <v>48</v>
      </c>
      <c r="AT77" s="207">
        <v>133</v>
      </c>
      <c r="AU77" s="208">
        <v>115</v>
      </c>
      <c r="AV77" s="208">
        <v>9</v>
      </c>
      <c r="AW77" s="208">
        <v>52</v>
      </c>
      <c r="AX77" s="208">
        <v>176</v>
      </c>
      <c r="AY77" s="206">
        <v>71</v>
      </c>
      <c r="AZ77" s="209">
        <v>6</v>
      </c>
      <c r="BA77" s="210">
        <v>48</v>
      </c>
      <c r="BB77" s="214">
        <v>125</v>
      </c>
    </row>
    <row r="78" spans="1:54" ht="15.75" x14ac:dyDescent="0.25">
      <c r="A78" s="200">
        <v>45003</v>
      </c>
      <c r="B78" s="201" t="s">
        <v>320</v>
      </c>
      <c r="C78" s="201">
        <v>2</v>
      </c>
      <c r="D78" s="201" t="s">
        <v>291</v>
      </c>
      <c r="E78" s="201">
        <v>148</v>
      </c>
      <c r="F78" s="201">
        <v>101</v>
      </c>
      <c r="G78" s="201">
        <v>95</v>
      </c>
      <c r="H78" s="202">
        <v>196</v>
      </c>
      <c r="I78" s="201">
        <v>149</v>
      </c>
      <c r="J78" s="203">
        <v>80</v>
      </c>
      <c r="K78" s="204">
        <v>229</v>
      </c>
      <c r="L78" s="205">
        <v>573</v>
      </c>
      <c r="M78" s="206">
        <v>139</v>
      </c>
      <c r="N78" s="206">
        <v>13</v>
      </c>
      <c r="O78" s="206">
        <v>66</v>
      </c>
      <c r="P78" s="206">
        <v>218</v>
      </c>
      <c r="Q78" s="207">
        <v>139</v>
      </c>
      <c r="R78" s="207">
        <v>13</v>
      </c>
      <c r="S78" s="207">
        <v>66</v>
      </c>
      <c r="T78" s="207">
        <v>218</v>
      </c>
      <c r="U78" s="208">
        <v>278</v>
      </c>
      <c r="V78" s="208">
        <v>9</v>
      </c>
      <c r="W78" s="208">
        <v>46</v>
      </c>
      <c r="X78" s="208">
        <v>333</v>
      </c>
      <c r="Y78" s="206">
        <v>0</v>
      </c>
      <c r="Z78" s="209">
        <v>17</v>
      </c>
      <c r="AA78" s="210">
        <v>86</v>
      </c>
      <c r="AB78" s="210">
        <v>103</v>
      </c>
      <c r="AC78" s="211">
        <v>45003</v>
      </c>
      <c r="AD78" s="201" t="s">
        <v>320</v>
      </c>
      <c r="AE78" s="201">
        <v>1</v>
      </c>
      <c r="AF78" s="201" t="s">
        <v>298</v>
      </c>
      <c r="AG78" s="201">
        <v>36</v>
      </c>
      <c r="AH78" s="201">
        <v>264</v>
      </c>
      <c r="AI78" s="201">
        <v>121</v>
      </c>
      <c r="AJ78" s="201">
        <v>41</v>
      </c>
      <c r="AK78" s="204">
        <v>162</v>
      </c>
      <c r="AL78" s="212">
        <v>462</v>
      </c>
      <c r="AM78" s="206">
        <v>112</v>
      </c>
      <c r="AN78" s="206">
        <v>18</v>
      </c>
      <c r="AO78" s="206">
        <v>48</v>
      </c>
      <c r="AP78" s="213">
        <v>178</v>
      </c>
      <c r="AQ78" s="207">
        <v>57</v>
      </c>
      <c r="AR78" s="207">
        <v>6</v>
      </c>
      <c r="AS78" s="207">
        <v>37</v>
      </c>
      <c r="AT78" s="207">
        <v>100</v>
      </c>
      <c r="AU78" s="208">
        <v>92</v>
      </c>
      <c r="AV78" s="208">
        <v>16</v>
      </c>
      <c r="AW78" s="208">
        <v>54</v>
      </c>
      <c r="AX78" s="208">
        <v>162</v>
      </c>
      <c r="AY78" s="206">
        <v>77</v>
      </c>
      <c r="AZ78" s="209">
        <v>8</v>
      </c>
      <c r="BA78" s="210">
        <v>31</v>
      </c>
      <c r="BB78" s="214">
        <v>116</v>
      </c>
    </row>
    <row r="79" spans="1:54" ht="15.75" x14ac:dyDescent="0.25">
      <c r="A79" s="200">
        <v>45004</v>
      </c>
      <c r="B79" s="201" t="s">
        <v>293</v>
      </c>
      <c r="C79" s="201">
        <v>4</v>
      </c>
      <c r="D79" s="201" t="s">
        <v>291</v>
      </c>
      <c r="E79" s="201">
        <v>168</v>
      </c>
      <c r="F79" s="201">
        <v>85</v>
      </c>
      <c r="G79" s="201">
        <v>96</v>
      </c>
      <c r="H79" s="202">
        <v>181</v>
      </c>
      <c r="I79" s="201">
        <v>129</v>
      </c>
      <c r="J79" s="203">
        <v>79</v>
      </c>
      <c r="K79" s="204">
        <v>208</v>
      </c>
      <c r="L79" s="205">
        <v>557</v>
      </c>
      <c r="M79" s="206">
        <v>126</v>
      </c>
      <c r="N79" s="206">
        <v>11</v>
      </c>
      <c r="O79" s="206">
        <v>67</v>
      </c>
      <c r="P79" s="206">
        <v>204</v>
      </c>
      <c r="Q79" s="207">
        <v>123</v>
      </c>
      <c r="R79" s="207">
        <v>13</v>
      </c>
      <c r="S79" s="207">
        <v>63</v>
      </c>
      <c r="T79" s="207">
        <v>199</v>
      </c>
      <c r="U79" s="208">
        <v>120</v>
      </c>
      <c r="V79" s="208">
        <v>17</v>
      </c>
      <c r="W79" s="208">
        <v>71</v>
      </c>
      <c r="X79" s="208">
        <v>208</v>
      </c>
      <c r="Y79" s="206">
        <v>129</v>
      </c>
      <c r="Z79" s="209">
        <v>7</v>
      </c>
      <c r="AA79" s="210">
        <v>59</v>
      </c>
      <c r="AB79" s="210">
        <v>195</v>
      </c>
      <c r="AC79" s="211">
        <v>45004</v>
      </c>
      <c r="AD79" s="201" t="s">
        <v>293</v>
      </c>
      <c r="AE79" s="201">
        <v>3</v>
      </c>
      <c r="AF79" s="201" t="s">
        <v>298</v>
      </c>
      <c r="AG79" s="201">
        <v>35</v>
      </c>
      <c r="AH79" s="201">
        <v>279</v>
      </c>
      <c r="AI79" s="201">
        <v>123</v>
      </c>
      <c r="AJ79" s="201">
        <v>59</v>
      </c>
      <c r="AK79" s="204">
        <v>182</v>
      </c>
      <c r="AL79" s="212">
        <v>496</v>
      </c>
      <c r="AM79" s="206">
        <v>108</v>
      </c>
      <c r="AN79" s="206">
        <v>16</v>
      </c>
      <c r="AO79" s="206">
        <v>35</v>
      </c>
      <c r="AP79" s="213">
        <v>159</v>
      </c>
      <c r="AQ79" s="207">
        <v>76</v>
      </c>
      <c r="AR79" s="207">
        <v>4</v>
      </c>
      <c r="AS79" s="207">
        <v>44</v>
      </c>
      <c r="AT79" s="207">
        <v>124</v>
      </c>
      <c r="AU79" s="208">
        <v>119</v>
      </c>
      <c r="AV79" s="208">
        <v>13</v>
      </c>
      <c r="AW79" s="208">
        <v>50</v>
      </c>
      <c r="AX79" s="208">
        <v>182</v>
      </c>
      <c r="AY79" s="206">
        <v>65</v>
      </c>
      <c r="AZ79" s="209">
        <v>7</v>
      </c>
      <c r="BA79" s="210">
        <v>29</v>
      </c>
      <c r="BB79" s="214">
        <v>101</v>
      </c>
    </row>
    <row r="80" spans="1:54" ht="15.75" x14ac:dyDescent="0.25">
      <c r="A80" s="200">
        <v>45005</v>
      </c>
      <c r="B80" s="201" t="s">
        <v>316</v>
      </c>
      <c r="C80" s="201">
        <v>4</v>
      </c>
      <c r="D80" s="201" t="s">
        <v>291</v>
      </c>
      <c r="E80" s="201">
        <v>137</v>
      </c>
      <c r="F80" s="201">
        <v>91</v>
      </c>
      <c r="G80" s="201">
        <v>70</v>
      </c>
      <c r="H80" s="202">
        <v>161</v>
      </c>
      <c r="I80" s="201">
        <v>162</v>
      </c>
      <c r="J80" s="203">
        <v>74</v>
      </c>
      <c r="K80" s="204">
        <v>236</v>
      </c>
      <c r="L80" s="205">
        <v>534</v>
      </c>
      <c r="M80" s="206">
        <v>151</v>
      </c>
      <c r="N80" s="206">
        <v>24</v>
      </c>
      <c r="O80" s="206">
        <v>54</v>
      </c>
      <c r="P80" s="206">
        <v>229</v>
      </c>
      <c r="Q80" s="207">
        <v>96</v>
      </c>
      <c r="R80" s="207">
        <v>16</v>
      </c>
      <c r="S80" s="207">
        <v>65</v>
      </c>
      <c r="T80" s="207">
        <v>177</v>
      </c>
      <c r="U80" s="208">
        <v>152</v>
      </c>
      <c r="V80" s="208">
        <v>26</v>
      </c>
      <c r="W80" s="208">
        <v>58</v>
      </c>
      <c r="X80" s="208">
        <v>236</v>
      </c>
      <c r="Y80" s="206">
        <v>95</v>
      </c>
      <c r="Z80" s="209">
        <v>14</v>
      </c>
      <c r="AA80" s="210">
        <v>61</v>
      </c>
      <c r="AB80" s="210">
        <v>170</v>
      </c>
      <c r="AC80" s="211">
        <v>45005</v>
      </c>
      <c r="AD80" s="201" t="s">
        <v>316</v>
      </c>
      <c r="AE80" s="201">
        <v>3</v>
      </c>
      <c r="AF80" s="201" t="s">
        <v>298</v>
      </c>
      <c r="AG80" s="201">
        <v>46</v>
      </c>
      <c r="AH80" s="201">
        <v>225</v>
      </c>
      <c r="AI80" s="201">
        <v>128</v>
      </c>
      <c r="AJ80" s="201">
        <v>67</v>
      </c>
      <c r="AK80" s="204">
        <v>195</v>
      </c>
      <c r="AL80" s="212">
        <v>466</v>
      </c>
      <c r="AM80" s="206">
        <v>99</v>
      </c>
      <c r="AN80" s="206">
        <v>16</v>
      </c>
      <c r="AO80" s="206">
        <v>61</v>
      </c>
      <c r="AP80" s="213">
        <v>176</v>
      </c>
      <c r="AQ80" s="207">
        <v>58</v>
      </c>
      <c r="AR80" s="207">
        <v>12</v>
      </c>
      <c r="AS80" s="207">
        <v>51</v>
      </c>
      <c r="AT80" s="207">
        <v>121</v>
      </c>
      <c r="AU80" s="208">
        <v>106</v>
      </c>
      <c r="AV80" s="208">
        <v>21</v>
      </c>
      <c r="AW80" s="208">
        <v>68</v>
      </c>
      <c r="AX80" s="208">
        <v>195</v>
      </c>
      <c r="AY80" s="206">
        <v>51</v>
      </c>
      <c r="AZ80" s="209">
        <v>7</v>
      </c>
      <c r="BA80" s="210">
        <v>44</v>
      </c>
      <c r="BB80" s="214">
        <v>102</v>
      </c>
    </row>
    <row r="81" spans="1:54" ht="15.75" x14ac:dyDescent="0.25">
      <c r="A81" s="200">
        <v>45006</v>
      </c>
      <c r="B81" s="201" t="s">
        <v>317</v>
      </c>
      <c r="C81" s="201">
        <v>1</v>
      </c>
      <c r="D81" s="201" t="s">
        <v>291</v>
      </c>
      <c r="E81" s="201">
        <v>103</v>
      </c>
      <c r="F81" s="201">
        <v>75</v>
      </c>
      <c r="G81" s="201">
        <v>84</v>
      </c>
      <c r="H81" s="202">
        <v>159</v>
      </c>
      <c r="I81" s="201">
        <v>120</v>
      </c>
      <c r="J81" s="203">
        <v>66</v>
      </c>
      <c r="K81" s="204">
        <v>186</v>
      </c>
      <c r="L81" s="205">
        <v>448</v>
      </c>
      <c r="M81" s="206">
        <v>133</v>
      </c>
      <c r="N81" s="206">
        <v>22</v>
      </c>
      <c r="O81" s="206">
        <v>47</v>
      </c>
      <c r="P81" s="206">
        <v>202</v>
      </c>
      <c r="Q81" s="207">
        <v>128</v>
      </c>
      <c r="R81" s="207">
        <v>16</v>
      </c>
      <c r="S81" s="207">
        <v>49</v>
      </c>
      <c r="T81" s="207">
        <v>193</v>
      </c>
      <c r="U81" s="208">
        <v>118</v>
      </c>
      <c r="V81" s="208">
        <v>16</v>
      </c>
      <c r="W81" s="208">
        <v>52</v>
      </c>
      <c r="X81" s="208">
        <v>186</v>
      </c>
      <c r="Y81" s="206">
        <v>143</v>
      </c>
      <c r="Z81" s="209">
        <v>22</v>
      </c>
      <c r="AA81" s="210">
        <v>44</v>
      </c>
      <c r="AB81" s="210">
        <v>209</v>
      </c>
      <c r="AC81" s="211">
        <v>45006</v>
      </c>
      <c r="AD81" s="201" t="s">
        <v>317</v>
      </c>
      <c r="AE81" s="201">
        <v>2</v>
      </c>
      <c r="AF81" s="201" t="s">
        <v>298</v>
      </c>
      <c r="AG81" s="201">
        <v>38</v>
      </c>
      <c r="AH81" s="201">
        <v>265</v>
      </c>
      <c r="AI81" s="201">
        <v>132</v>
      </c>
      <c r="AJ81" s="201">
        <v>58</v>
      </c>
      <c r="AK81" s="204">
        <v>190</v>
      </c>
      <c r="AL81" s="212">
        <v>493</v>
      </c>
      <c r="AM81" s="206">
        <v>88</v>
      </c>
      <c r="AN81" s="206">
        <v>4</v>
      </c>
      <c r="AO81" s="206">
        <v>59</v>
      </c>
      <c r="AP81" s="213">
        <v>151</v>
      </c>
      <c r="AQ81" s="207">
        <v>68</v>
      </c>
      <c r="AR81" s="207">
        <v>7</v>
      </c>
      <c r="AS81" s="207">
        <v>44</v>
      </c>
      <c r="AT81" s="207">
        <v>119</v>
      </c>
      <c r="AU81" s="208">
        <v>109</v>
      </c>
      <c r="AV81" s="208">
        <v>11</v>
      </c>
      <c r="AW81" s="208">
        <v>70</v>
      </c>
      <c r="AX81" s="208">
        <v>190</v>
      </c>
      <c r="AY81" s="206">
        <v>47</v>
      </c>
      <c r="AZ81" s="209">
        <v>0</v>
      </c>
      <c r="BA81" s="210">
        <v>33</v>
      </c>
      <c r="BB81" s="214">
        <v>80</v>
      </c>
    </row>
    <row r="82" spans="1:54" ht="15.75" x14ac:dyDescent="0.25">
      <c r="A82" s="200">
        <v>45007</v>
      </c>
      <c r="B82" s="201" t="s">
        <v>318</v>
      </c>
      <c r="C82" s="201">
        <v>1</v>
      </c>
      <c r="D82" s="201" t="s">
        <v>291</v>
      </c>
      <c r="E82" s="201">
        <v>121</v>
      </c>
      <c r="F82" s="201">
        <v>84</v>
      </c>
      <c r="G82" s="201">
        <v>90</v>
      </c>
      <c r="H82" s="202">
        <v>174</v>
      </c>
      <c r="I82" s="201">
        <v>154</v>
      </c>
      <c r="J82" s="203">
        <v>58</v>
      </c>
      <c r="K82" s="204">
        <v>212</v>
      </c>
      <c r="L82" s="205">
        <v>507</v>
      </c>
      <c r="M82" s="206">
        <v>161</v>
      </c>
      <c r="N82" s="206">
        <v>20</v>
      </c>
      <c r="O82" s="206">
        <v>50</v>
      </c>
      <c r="P82" s="206">
        <v>231</v>
      </c>
      <c r="Q82" s="207">
        <v>126</v>
      </c>
      <c r="R82" s="207">
        <v>21</v>
      </c>
      <c r="S82" s="207">
        <v>59</v>
      </c>
      <c r="T82" s="207">
        <v>206</v>
      </c>
      <c r="U82" s="208">
        <v>124</v>
      </c>
      <c r="V82" s="208">
        <v>21</v>
      </c>
      <c r="W82" s="208">
        <v>67</v>
      </c>
      <c r="X82" s="208">
        <v>212</v>
      </c>
      <c r="Y82" s="206">
        <v>163</v>
      </c>
      <c r="Z82" s="209">
        <v>20</v>
      </c>
      <c r="AA82" s="210">
        <v>42</v>
      </c>
      <c r="AB82" s="210">
        <v>225</v>
      </c>
      <c r="AC82" s="211">
        <v>45007</v>
      </c>
      <c r="AD82" s="201" t="s">
        <v>318</v>
      </c>
      <c r="AE82" s="201">
        <v>2</v>
      </c>
      <c r="AF82" s="201" t="s">
        <v>298</v>
      </c>
      <c r="AG82" s="201">
        <v>52</v>
      </c>
      <c r="AH82" s="201">
        <v>307</v>
      </c>
      <c r="AI82" s="201">
        <v>158</v>
      </c>
      <c r="AJ82" s="201">
        <v>76</v>
      </c>
      <c r="AK82" s="204">
        <v>234</v>
      </c>
      <c r="AL82" s="212">
        <v>593</v>
      </c>
      <c r="AM82" s="206">
        <v>107</v>
      </c>
      <c r="AN82" s="206">
        <v>13</v>
      </c>
      <c r="AO82" s="206">
        <v>73</v>
      </c>
      <c r="AP82" s="213">
        <v>193</v>
      </c>
      <c r="AQ82" s="207">
        <v>91</v>
      </c>
      <c r="AR82" s="207">
        <v>2</v>
      </c>
      <c r="AS82" s="207">
        <v>40</v>
      </c>
      <c r="AT82" s="207">
        <v>133</v>
      </c>
      <c r="AU82" s="208">
        <v>124</v>
      </c>
      <c r="AV82" s="208">
        <v>12</v>
      </c>
      <c r="AW82" s="208">
        <v>98</v>
      </c>
      <c r="AX82" s="208">
        <v>234</v>
      </c>
      <c r="AY82" s="206">
        <v>74</v>
      </c>
      <c r="AZ82" s="209">
        <v>3</v>
      </c>
      <c r="BA82" s="210">
        <v>15</v>
      </c>
      <c r="BB82" s="214">
        <v>92</v>
      </c>
    </row>
    <row r="83" spans="1:54" ht="15.75" x14ac:dyDescent="0.25">
      <c r="A83" s="200">
        <v>45008</v>
      </c>
      <c r="B83" s="201" t="s">
        <v>319</v>
      </c>
      <c r="C83" s="201">
        <v>3</v>
      </c>
      <c r="D83" s="201" t="s">
        <v>291</v>
      </c>
      <c r="E83" s="201">
        <v>147</v>
      </c>
      <c r="F83" s="201">
        <v>101</v>
      </c>
      <c r="G83" s="201">
        <v>103</v>
      </c>
      <c r="H83" s="202">
        <v>204</v>
      </c>
      <c r="I83" s="201">
        <v>136</v>
      </c>
      <c r="J83" s="203">
        <v>67</v>
      </c>
      <c r="K83" s="204">
        <v>203</v>
      </c>
      <c r="L83" s="205">
        <v>554</v>
      </c>
      <c r="M83" s="206">
        <v>145</v>
      </c>
      <c r="N83" s="206">
        <v>27</v>
      </c>
      <c r="O83" s="206">
        <v>64</v>
      </c>
      <c r="P83" s="206">
        <v>236</v>
      </c>
      <c r="Q83" s="207">
        <v>119</v>
      </c>
      <c r="R83" s="207">
        <v>16</v>
      </c>
      <c r="S83" s="207">
        <v>57</v>
      </c>
      <c r="T83" s="207">
        <v>192</v>
      </c>
      <c r="U83" s="208">
        <v>127</v>
      </c>
      <c r="V83" s="208">
        <v>21</v>
      </c>
      <c r="W83" s="208">
        <v>55</v>
      </c>
      <c r="X83" s="208">
        <v>203</v>
      </c>
      <c r="Y83" s="206">
        <v>137</v>
      </c>
      <c r="Z83" s="209">
        <v>22</v>
      </c>
      <c r="AA83" s="210">
        <v>66</v>
      </c>
      <c r="AB83" s="210">
        <v>225</v>
      </c>
      <c r="AC83" s="211">
        <v>45008</v>
      </c>
      <c r="AD83" s="201" t="s">
        <v>319</v>
      </c>
      <c r="AE83" s="201">
        <v>4</v>
      </c>
      <c r="AF83" s="201" t="s">
        <v>298</v>
      </c>
      <c r="AG83" s="201">
        <v>62</v>
      </c>
      <c r="AH83" s="201">
        <v>336</v>
      </c>
      <c r="AI83" s="201">
        <v>170</v>
      </c>
      <c r="AJ83" s="201">
        <v>68</v>
      </c>
      <c r="AK83" s="204">
        <v>238</v>
      </c>
      <c r="AL83" s="212">
        <v>636</v>
      </c>
      <c r="AM83" s="206">
        <v>105</v>
      </c>
      <c r="AN83" s="206">
        <v>11</v>
      </c>
      <c r="AO83" s="206">
        <v>100</v>
      </c>
      <c r="AP83" s="213">
        <v>216</v>
      </c>
      <c r="AQ83" s="207">
        <v>78</v>
      </c>
      <c r="AR83" s="207">
        <v>10</v>
      </c>
      <c r="AS83" s="207">
        <v>67</v>
      </c>
      <c r="AT83" s="207">
        <v>155</v>
      </c>
      <c r="AU83" s="208">
        <v>133</v>
      </c>
      <c r="AV83" s="208">
        <v>11</v>
      </c>
      <c r="AW83" s="208">
        <v>94</v>
      </c>
      <c r="AX83" s="208">
        <v>238</v>
      </c>
      <c r="AY83" s="206">
        <v>50</v>
      </c>
      <c r="AZ83" s="209">
        <v>10</v>
      </c>
      <c r="BA83" s="210">
        <v>73</v>
      </c>
      <c r="BB83" s="214">
        <v>133</v>
      </c>
    </row>
    <row r="84" spans="1:54" ht="15.75" x14ac:dyDescent="0.25">
      <c r="A84" s="200">
        <v>45009</v>
      </c>
      <c r="B84" s="201" t="s">
        <v>285</v>
      </c>
      <c r="C84" s="201">
        <v>3</v>
      </c>
      <c r="D84" s="201" t="s">
        <v>291</v>
      </c>
      <c r="E84" s="201">
        <v>166</v>
      </c>
      <c r="F84" s="201">
        <v>93</v>
      </c>
      <c r="G84" s="201">
        <v>114</v>
      </c>
      <c r="H84" s="202">
        <v>207</v>
      </c>
      <c r="I84" s="201">
        <v>127</v>
      </c>
      <c r="J84" s="203">
        <v>68</v>
      </c>
      <c r="K84" s="204">
        <v>195</v>
      </c>
      <c r="L84" s="205">
        <v>568</v>
      </c>
      <c r="M84" s="206">
        <v>156</v>
      </c>
      <c r="N84" s="206">
        <v>21</v>
      </c>
      <c r="O84" s="206">
        <v>50</v>
      </c>
      <c r="P84" s="206">
        <v>227</v>
      </c>
      <c r="Q84" s="207">
        <v>115</v>
      </c>
      <c r="R84" s="207">
        <v>19</v>
      </c>
      <c r="S84" s="207">
        <v>71</v>
      </c>
      <c r="T84" s="207">
        <v>205</v>
      </c>
      <c r="U84" s="208">
        <v>117</v>
      </c>
      <c r="V84" s="208">
        <v>22</v>
      </c>
      <c r="W84" s="208">
        <v>56</v>
      </c>
      <c r="X84" s="208">
        <v>195</v>
      </c>
      <c r="Y84" s="206">
        <v>154</v>
      </c>
      <c r="Z84" s="209">
        <v>18</v>
      </c>
      <c r="AA84" s="210">
        <v>65</v>
      </c>
      <c r="AB84" s="210">
        <v>237</v>
      </c>
      <c r="AC84" s="211">
        <v>45009</v>
      </c>
      <c r="AD84" s="201" t="s">
        <v>285</v>
      </c>
      <c r="AE84" s="201">
        <v>4</v>
      </c>
      <c r="AF84" s="201" t="s">
        <v>298</v>
      </c>
      <c r="AG84" s="201">
        <v>52</v>
      </c>
      <c r="AH84" s="201">
        <v>292</v>
      </c>
      <c r="AI84" s="201">
        <v>178</v>
      </c>
      <c r="AJ84" s="201">
        <v>71</v>
      </c>
      <c r="AK84" s="204">
        <v>249</v>
      </c>
      <c r="AL84" s="212">
        <v>593</v>
      </c>
      <c r="AM84" s="206">
        <v>127</v>
      </c>
      <c r="AN84" s="206">
        <v>9</v>
      </c>
      <c r="AO84" s="206">
        <v>57</v>
      </c>
      <c r="AP84" s="213">
        <v>193</v>
      </c>
      <c r="AQ84" s="207">
        <v>70</v>
      </c>
      <c r="AR84" s="207">
        <v>8</v>
      </c>
      <c r="AS84" s="207">
        <v>23</v>
      </c>
      <c r="AT84" s="207">
        <v>101</v>
      </c>
      <c r="AU84" s="208">
        <v>152</v>
      </c>
      <c r="AV84" s="208">
        <v>11</v>
      </c>
      <c r="AW84" s="208">
        <v>86</v>
      </c>
      <c r="AX84" s="208">
        <v>249</v>
      </c>
      <c r="AY84" s="206">
        <v>45</v>
      </c>
      <c r="AZ84" s="209">
        <v>6</v>
      </c>
      <c r="BA84" s="210">
        <v>-6</v>
      </c>
      <c r="BB84" s="214">
        <v>45</v>
      </c>
    </row>
    <row r="85" spans="1:54" ht="15.75" x14ac:dyDescent="0.25">
      <c r="A85" s="200">
        <v>45010</v>
      </c>
      <c r="B85" s="201" t="s">
        <v>320</v>
      </c>
      <c r="C85" s="201">
        <v>2</v>
      </c>
      <c r="D85" s="201" t="s">
        <v>291</v>
      </c>
      <c r="E85" s="201">
        <v>128</v>
      </c>
      <c r="F85" s="201">
        <v>106</v>
      </c>
      <c r="G85" s="201">
        <v>66</v>
      </c>
      <c r="H85" s="202">
        <v>172</v>
      </c>
      <c r="I85" s="201">
        <v>155</v>
      </c>
      <c r="J85" s="203">
        <v>76</v>
      </c>
      <c r="K85" s="204">
        <v>231</v>
      </c>
      <c r="L85" s="205">
        <v>531</v>
      </c>
      <c r="M85" s="206">
        <v>166</v>
      </c>
      <c r="N85" s="206">
        <v>22</v>
      </c>
      <c r="O85" s="206">
        <v>86</v>
      </c>
      <c r="P85" s="206">
        <v>274</v>
      </c>
      <c r="Q85" s="207">
        <v>115</v>
      </c>
      <c r="R85" s="207">
        <v>15</v>
      </c>
      <c r="S85" s="207">
        <v>56</v>
      </c>
      <c r="T85" s="207">
        <v>186</v>
      </c>
      <c r="U85" s="208">
        <v>127</v>
      </c>
      <c r="V85" s="208">
        <v>26</v>
      </c>
      <c r="W85" s="208">
        <v>78</v>
      </c>
      <c r="X85" s="208">
        <v>231</v>
      </c>
      <c r="Y85" s="206">
        <v>154</v>
      </c>
      <c r="Z85" s="209">
        <v>11</v>
      </c>
      <c r="AA85" s="210">
        <v>64</v>
      </c>
      <c r="AB85" s="210">
        <v>229</v>
      </c>
      <c r="AC85" s="211">
        <v>45010</v>
      </c>
      <c r="AD85" s="201" t="s">
        <v>320</v>
      </c>
      <c r="AE85" s="201">
        <v>1</v>
      </c>
      <c r="AF85" s="201" t="s">
        <v>298</v>
      </c>
      <c r="AG85" s="201">
        <v>28</v>
      </c>
      <c r="AH85" s="201">
        <v>269</v>
      </c>
      <c r="AI85" s="201">
        <v>145</v>
      </c>
      <c r="AJ85" s="201">
        <v>56</v>
      </c>
      <c r="AK85" s="204">
        <v>201</v>
      </c>
      <c r="AL85" s="212">
        <v>498</v>
      </c>
      <c r="AM85" s="206">
        <v>100</v>
      </c>
      <c r="AN85" s="206">
        <v>13</v>
      </c>
      <c r="AO85" s="206">
        <v>73</v>
      </c>
      <c r="AP85" s="213">
        <v>186</v>
      </c>
      <c r="AQ85" s="207">
        <v>65</v>
      </c>
      <c r="AR85" s="207">
        <v>7</v>
      </c>
      <c r="AS85" s="207">
        <v>37</v>
      </c>
      <c r="AT85" s="207">
        <v>109</v>
      </c>
      <c r="AU85" s="208">
        <v>111</v>
      </c>
      <c r="AV85" s="208">
        <v>15</v>
      </c>
      <c r="AW85" s="208">
        <v>75</v>
      </c>
      <c r="AX85" s="208">
        <v>201</v>
      </c>
      <c r="AY85" s="206">
        <v>54</v>
      </c>
      <c r="AZ85" s="209">
        <v>5</v>
      </c>
      <c r="BA85" s="210">
        <v>35</v>
      </c>
      <c r="BB85" s="214">
        <v>94</v>
      </c>
    </row>
    <row r="86" spans="1:54" ht="15.75" x14ac:dyDescent="0.25">
      <c r="A86" s="200">
        <v>45011</v>
      </c>
      <c r="B86" s="201" t="s">
        <v>293</v>
      </c>
      <c r="C86" s="201">
        <v>2</v>
      </c>
      <c r="D86" s="201" t="s">
        <v>291</v>
      </c>
      <c r="E86" s="201">
        <v>142</v>
      </c>
      <c r="F86" s="201">
        <v>112</v>
      </c>
      <c r="G86" s="201">
        <v>69</v>
      </c>
      <c r="H86" s="202">
        <v>181</v>
      </c>
      <c r="I86" s="201">
        <v>158</v>
      </c>
      <c r="J86" s="203">
        <v>77</v>
      </c>
      <c r="K86" s="204">
        <v>235</v>
      </c>
      <c r="L86" s="205">
        <v>558</v>
      </c>
      <c r="M86" s="206">
        <v>160</v>
      </c>
      <c r="N86" s="206">
        <v>26</v>
      </c>
      <c r="O86" s="206">
        <v>60</v>
      </c>
      <c r="P86" s="206">
        <v>246</v>
      </c>
      <c r="Q86" s="207">
        <v>126</v>
      </c>
      <c r="R86" s="207">
        <v>18</v>
      </c>
      <c r="S86" s="207">
        <v>64</v>
      </c>
      <c r="T86" s="207">
        <v>208</v>
      </c>
      <c r="U86" s="208">
        <v>138</v>
      </c>
      <c r="V86" s="208">
        <v>22</v>
      </c>
      <c r="W86" s="208">
        <v>75</v>
      </c>
      <c r="X86" s="208">
        <v>235</v>
      </c>
      <c r="Y86" s="206">
        <v>148</v>
      </c>
      <c r="Z86" s="209">
        <v>22</v>
      </c>
      <c r="AA86" s="210">
        <v>49</v>
      </c>
      <c r="AB86" s="210">
        <v>219</v>
      </c>
      <c r="AC86" s="211">
        <v>45011</v>
      </c>
      <c r="AD86" s="201" t="s">
        <v>293</v>
      </c>
      <c r="AE86" s="201">
        <v>1</v>
      </c>
      <c r="AF86" s="201" t="s">
        <v>298</v>
      </c>
      <c r="AG86" s="201">
        <v>33</v>
      </c>
      <c r="AH86" s="201">
        <v>281</v>
      </c>
      <c r="AI86" s="201">
        <v>139</v>
      </c>
      <c r="AJ86" s="201">
        <v>62</v>
      </c>
      <c r="AK86" s="204">
        <v>201</v>
      </c>
      <c r="AL86" s="212">
        <v>515</v>
      </c>
      <c r="AM86" s="206">
        <v>118</v>
      </c>
      <c r="AN86" s="206">
        <v>11</v>
      </c>
      <c r="AO86" s="206">
        <v>55</v>
      </c>
      <c r="AP86" s="213">
        <v>184</v>
      </c>
      <c r="AQ86" s="207">
        <v>70</v>
      </c>
      <c r="AR86" s="207">
        <v>5</v>
      </c>
      <c r="AS86" s="207">
        <v>44</v>
      </c>
      <c r="AT86" s="207">
        <v>119</v>
      </c>
      <c r="AU86" s="208">
        <v>126</v>
      </c>
      <c r="AV86" s="208">
        <v>12</v>
      </c>
      <c r="AW86" s="208">
        <v>63</v>
      </c>
      <c r="AX86" s="208">
        <v>201</v>
      </c>
      <c r="AY86" s="206">
        <v>62</v>
      </c>
      <c r="AZ86" s="209">
        <v>4</v>
      </c>
      <c r="BA86" s="210">
        <v>36</v>
      </c>
      <c r="BB86" s="214">
        <v>102</v>
      </c>
    </row>
    <row r="87" spans="1:54" ht="15.75" x14ac:dyDescent="0.25">
      <c r="A87" s="200">
        <v>45012</v>
      </c>
      <c r="B87" s="201" t="s">
        <v>316</v>
      </c>
      <c r="C87" s="201">
        <v>4</v>
      </c>
      <c r="D87" s="201" t="s">
        <v>291</v>
      </c>
      <c r="E87" s="201">
        <v>135</v>
      </c>
      <c r="F87" s="201">
        <v>86</v>
      </c>
      <c r="G87" s="201">
        <v>101</v>
      </c>
      <c r="H87" s="202">
        <v>187</v>
      </c>
      <c r="I87" s="201">
        <v>132</v>
      </c>
      <c r="J87" s="203">
        <v>72</v>
      </c>
      <c r="K87" s="204">
        <v>204</v>
      </c>
      <c r="L87" s="205">
        <v>526</v>
      </c>
      <c r="M87" s="206">
        <v>138</v>
      </c>
      <c r="N87" s="206">
        <v>23</v>
      </c>
      <c r="O87" s="206">
        <v>49</v>
      </c>
      <c r="P87" s="206">
        <v>210</v>
      </c>
      <c r="Q87" s="207">
        <v>115</v>
      </c>
      <c r="R87" s="207">
        <v>16</v>
      </c>
      <c r="S87" s="207">
        <v>66</v>
      </c>
      <c r="T87" s="207">
        <v>197</v>
      </c>
      <c r="U87" s="208">
        <v>124</v>
      </c>
      <c r="V87" s="208">
        <v>15</v>
      </c>
      <c r="W87" s="208">
        <v>65</v>
      </c>
      <c r="X87" s="208">
        <v>204</v>
      </c>
      <c r="Y87" s="206">
        <v>129</v>
      </c>
      <c r="Z87" s="209">
        <v>24</v>
      </c>
      <c r="AA87" s="210">
        <v>50</v>
      </c>
      <c r="AB87" s="210">
        <v>203</v>
      </c>
      <c r="AC87" s="211">
        <v>45012</v>
      </c>
      <c r="AD87" s="201" t="s">
        <v>316</v>
      </c>
      <c r="AE87" s="201">
        <v>3</v>
      </c>
      <c r="AF87" s="201" t="s">
        <v>298</v>
      </c>
      <c r="AG87" s="201">
        <v>27</v>
      </c>
      <c r="AH87" s="201">
        <v>278</v>
      </c>
      <c r="AI87" s="201">
        <v>126</v>
      </c>
      <c r="AJ87" s="201">
        <v>61</v>
      </c>
      <c r="AK87" s="204">
        <v>187</v>
      </c>
      <c r="AL87" s="212">
        <v>492</v>
      </c>
      <c r="AM87" s="206">
        <v>118</v>
      </c>
      <c r="AN87" s="206">
        <v>15</v>
      </c>
      <c r="AO87" s="206">
        <v>36</v>
      </c>
      <c r="AP87" s="213">
        <v>169</v>
      </c>
      <c r="AQ87" s="207">
        <v>84</v>
      </c>
      <c r="AR87" s="207">
        <v>6</v>
      </c>
      <c r="AS87" s="207">
        <v>42</v>
      </c>
      <c r="AT87" s="207">
        <v>132</v>
      </c>
      <c r="AU87" s="208">
        <v>125</v>
      </c>
      <c r="AV87" s="208">
        <v>15</v>
      </c>
      <c r="AW87" s="208">
        <v>47</v>
      </c>
      <c r="AX87" s="208">
        <v>187</v>
      </c>
      <c r="AY87" s="206">
        <v>77</v>
      </c>
      <c r="AZ87" s="209">
        <v>6</v>
      </c>
      <c r="BA87" s="210">
        <v>31</v>
      </c>
      <c r="BB87" s="214">
        <v>114</v>
      </c>
    </row>
    <row r="88" spans="1:54" ht="15.75" x14ac:dyDescent="0.25">
      <c r="A88" s="200">
        <v>45013</v>
      </c>
      <c r="B88" s="201" t="s">
        <v>317</v>
      </c>
      <c r="C88" s="201">
        <v>4</v>
      </c>
      <c r="D88" s="201" t="s">
        <v>291</v>
      </c>
      <c r="E88" s="201">
        <v>136</v>
      </c>
      <c r="F88" s="201">
        <v>80</v>
      </c>
      <c r="G88" s="201">
        <v>74</v>
      </c>
      <c r="H88" s="202">
        <v>154</v>
      </c>
      <c r="I88" s="201">
        <v>148</v>
      </c>
      <c r="J88" s="203">
        <v>65</v>
      </c>
      <c r="K88" s="204">
        <v>213</v>
      </c>
      <c r="L88" s="205">
        <v>503</v>
      </c>
      <c r="M88" s="206">
        <v>128</v>
      </c>
      <c r="N88" s="206">
        <v>15</v>
      </c>
      <c r="O88" s="206">
        <v>58</v>
      </c>
      <c r="P88" s="206">
        <v>201</v>
      </c>
      <c r="Q88" s="207">
        <v>127</v>
      </c>
      <c r="R88" s="207">
        <v>23</v>
      </c>
      <c r="S88" s="207">
        <v>63</v>
      </c>
      <c r="T88" s="207">
        <v>213</v>
      </c>
      <c r="U88" s="208">
        <v>121</v>
      </c>
      <c r="V88" s="208">
        <v>20</v>
      </c>
      <c r="W88" s="208">
        <v>72</v>
      </c>
      <c r="X88" s="208">
        <v>213</v>
      </c>
      <c r="Y88" s="206">
        <v>134</v>
      </c>
      <c r="Z88" s="209">
        <v>18</v>
      </c>
      <c r="AA88" s="210">
        <v>49</v>
      </c>
      <c r="AB88" s="210">
        <v>201</v>
      </c>
      <c r="AC88" s="211">
        <v>45013</v>
      </c>
      <c r="AD88" s="201" t="s">
        <v>317</v>
      </c>
      <c r="AE88" s="201">
        <v>3</v>
      </c>
      <c r="AF88" s="201" t="s">
        <v>298</v>
      </c>
      <c r="AG88" s="201">
        <v>53</v>
      </c>
      <c r="AH88" s="201">
        <v>231</v>
      </c>
      <c r="AI88" s="201">
        <v>115</v>
      </c>
      <c r="AJ88" s="201">
        <v>38</v>
      </c>
      <c r="AK88" s="204">
        <v>153</v>
      </c>
      <c r="AL88" s="212">
        <v>437</v>
      </c>
      <c r="AM88" s="206">
        <v>105</v>
      </c>
      <c r="AN88" s="206">
        <v>13</v>
      </c>
      <c r="AO88" s="206">
        <v>35</v>
      </c>
      <c r="AP88" s="213">
        <v>153</v>
      </c>
      <c r="AQ88" s="207">
        <v>86</v>
      </c>
      <c r="AR88" s="207">
        <v>6</v>
      </c>
      <c r="AS88" s="207">
        <v>23</v>
      </c>
      <c r="AT88" s="207">
        <v>115</v>
      </c>
      <c r="AU88" s="208">
        <v>112</v>
      </c>
      <c r="AV88" s="208">
        <v>12</v>
      </c>
      <c r="AW88" s="208">
        <v>29</v>
      </c>
      <c r="AX88" s="208">
        <v>153</v>
      </c>
      <c r="AY88" s="206">
        <v>79</v>
      </c>
      <c r="AZ88" s="209">
        <v>7</v>
      </c>
      <c r="BA88" s="210">
        <v>29</v>
      </c>
      <c r="BB88" s="214">
        <v>115</v>
      </c>
    </row>
    <row r="89" spans="1:54" ht="15.75" x14ac:dyDescent="0.25">
      <c r="A89" s="200">
        <v>45014</v>
      </c>
      <c r="B89" s="201" t="s">
        <v>318</v>
      </c>
      <c r="C89" s="201">
        <v>1</v>
      </c>
      <c r="D89" s="201" t="s">
        <v>291</v>
      </c>
      <c r="E89" s="201">
        <v>124</v>
      </c>
      <c r="F89" s="201">
        <v>102</v>
      </c>
      <c r="G89" s="201">
        <v>55</v>
      </c>
      <c r="H89" s="202">
        <v>157</v>
      </c>
      <c r="I89" s="201">
        <v>139</v>
      </c>
      <c r="J89" s="203">
        <v>64</v>
      </c>
      <c r="K89" s="204">
        <v>203</v>
      </c>
      <c r="L89" s="205">
        <v>484</v>
      </c>
      <c r="M89" s="206">
        <v>149</v>
      </c>
      <c r="N89" s="206">
        <v>27</v>
      </c>
      <c r="O89" s="206">
        <v>57</v>
      </c>
      <c r="P89" s="206">
        <v>233</v>
      </c>
      <c r="Q89" s="207">
        <v>131</v>
      </c>
      <c r="R89" s="207">
        <v>23</v>
      </c>
      <c r="S89" s="207">
        <v>69</v>
      </c>
      <c r="T89" s="207">
        <v>223</v>
      </c>
      <c r="U89" s="208">
        <v>102</v>
      </c>
      <c r="V89" s="208">
        <v>29</v>
      </c>
      <c r="W89" s="208">
        <v>72</v>
      </c>
      <c r="X89" s="208">
        <v>203</v>
      </c>
      <c r="Y89" s="206">
        <v>178</v>
      </c>
      <c r="Z89" s="209">
        <v>21</v>
      </c>
      <c r="AA89" s="210">
        <v>54</v>
      </c>
      <c r="AB89" s="210">
        <v>253</v>
      </c>
      <c r="AC89" s="211">
        <v>45014</v>
      </c>
      <c r="AD89" s="201" t="s">
        <v>318</v>
      </c>
      <c r="AE89" s="201">
        <v>2</v>
      </c>
      <c r="AF89" s="201" t="s">
        <v>298</v>
      </c>
      <c r="AG89" s="201">
        <v>45</v>
      </c>
      <c r="AH89" s="201">
        <v>317</v>
      </c>
      <c r="AI89" s="201">
        <v>160</v>
      </c>
      <c r="AJ89" s="201">
        <v>33</v>
      </c>
      <c r="AK89" s="204">
        <v>193</v>
      </c>
      <c r="AL89" s="212">
        <v>555</v>
      </c>
      <c r="AM89" s="206">
        <v>136</v>
      </c>
      <c r="AN89" s="206">
        <v>12</v>
      </c>
      <c r="AO89" s="206">
        <v>42</v>
      </c>
      <c r="AP89" s="213">
        <v>190</v>
      </c>
      <c r="AQ89" s="207">
        <v>94</v>
      </c>
      <c r="AR89" s="207">
        <v>4</v>
      </c>
      <c r="AS89" s="207">
        <v>27</v>
      </c>
      <c r="AT89" s="207">
        <v>125</v>
      </c>
      <c r="AU89" s="208">
        <v>133</v>
      </c>
      <c r="AV89" s="208">
        <v>6</v>
      </c>
      <c r="AW89" s="208">
        <v>54</v>
      </c>
      <c r="AX89" s="208">
        <v>193</v>
      </c>
      <c r="AY89" s="206">
        <v>97</v>
      </c>
      <c r="AZ89" s="209">
        <v>10</v>
      </c>
      <c r="BA89" s="210">
        <v>15</v>
      </c>
      <c r="BB89" s="214">
        <v>122</v>
      </c>
    </row>
    <row r="90" spans="1:54" ht="15.75" x14ac:dyDescent="0.25">
      <c r="A90" s="200">
        <v>45015</v>
      </c>
      <c r="B90" s="201" t="s">
        <v>319</v>
      </c>
      <c r="C90" s="201">
        <v>1</v>
      </c>
      <c r="D90" s="201" t="s">
        <v>291</v>
      </c>
      <c r="E90" s="201">
        <v>163</v>
      </c>
      <c r="F90" s="201">
        <v>84</v>
      </c>
      <c r="G90" s="201">
        <v>83</v>
      </c>
      <c r="H90" s="202">
        <v>167</v>
      </c>
      <c r="I90" s="201">
        <v>157</v>
      </c>
      <c r="J90" s="203">
        <v>65</v>
      </c>
      <c r="K90" s="204">
        <v>222</v>
      </c>
      <c r="L90" s="205">
        <v>552</v>
      </c>
      <c r="M90" s="206">
        <v>188</v>
      </c>
      <c r="N90" s="206">
        <v>22</v>
      </c>
      <c r="O90" s="206">
        <v>74</v>
      </c>
      <c r="P90" s="206">
        <v>284</v>
      </c>
      <c r="Q90" s="207">
        <v>133</v>
      </c>
      <c r="R90" s="207">
        <v>25</v>
      </c>
      <c r="S90" s="207">
        <v>35</v>
      </c>
      <c r="T90" s="207">
        <v>193</v>
      </c>
      <c r="U90" s="208">
        <v>118</v>
      </c>
      <c r="V90" s="208">
        <v>22</v>
      </c>
      <c r="W90" s="208">
        <v>82</v>
      </c>
      <c r="X90" s="208">
        <v>222</v>
      </c>
      <c r="Y90" s="206">
        <v>203</v>
      </c>
      <c r="Z90" s="209">
        <v>25</v>
      </c>
      <c r="AA90" s="210">
        <v>27</v>
      </c>
      <c r="AB90" s="210">
        <v>255</v>
      </c>
      <c r="AC90" s="211">
        <v>45015</v>
      </c>
      <c r="AD90" s="201" t="s">
        <v>319</v>
      </c>
      <c r="AE90" s="201">
        <v>2</v>
      </c>
      <c r="AF90" s="201" t="s">
        <v>298</v>
      </c>
      <c r="AG90" s="201">
        <v>48</v>
      </c>
      <c r="AH90" s="201">
        <v>319</v>
      </c>
      <c r="AI90" s="201">
        <v>118</v>
      </c>
      <c r="AJ90" s="201">
        <v>74</v>
      </c>
      <c r="AK90" s="204">
        <v>192</v>
      </c>
      <c r="AL90" s="212">
        <v>559</v>
      </c>
      <c r="AM90" s="206">
        <v>112</v>
      </c>
      <c r="AN90" s="206">
        <v>8</v>
      </c>
      <c r="AO90" s="206">
        <v>34</v>
      </c>
      <c r="AP90" s="213">
        <v>154</v>
      </c>
      <c r="AQ90" s="207">
        <v>109</v>
      </c>
      <c r="AR90" s="207">
        <v>4</v>
      </c>
      <c r="AS90" s="207">
        <v>53</v>
      </c>
      <c r="AT90" s="207">
        <v>166</v>
      </c>
      <c r="AU90" s="208">
        <v>138</v>
      </c>
      <c r="AV90" s="208">
        <v>12</v>
      </c>
      <c r="AW90" s="208">
        <v>42</v>
      </c>
      <c r="AX90" s="208">
        <v>192</v>
      </c>
      <c r="AY90" s="206">
        <v>83</v>
      </c>
      <c r="AZ90" s="209">
        <v>0</v>
      </c>
      <c r="BA90" s="210">
        <v>45</v>
      </c>
      <c r="BB90" s="214">
        <v>128</v>
      </c>
    </row>
    <row r="91" spans="1:54" ht="15.75" x14ac:dyDescent="0.25">
      <c r="A91" s="200">
        <v>45016</v>
      </c>
      <c r="B91" s="201" t="s">
        <v>285</v>
      </c>
      <c r="C91" s="201">
        <v>3</v>
      </c>
      <c r="D91" s="201" t="s">
        <v>291</v>
      </c>
      <c r="E91" s="201">
        <v>133</v>
      </c>
      <c r="F91" s="201">
        <v>106</v>
      </c>
      <c r="G91" s="201">
        <v>122</v>
      </c>
      <c r="H91" s="202">
        <v>228</v>
      </c>
      <c r="I91" s="201">
        <v>163</v>
      </c>
      <c r="J91" s="203">
        <v>56</v>
      </c>
      <c r="K91" s="204">
        <v>219</v>
      </c>
      <c r="L91" s="205">
        <v>580</v>
      </c>
      <c r="M91" s="206">
        <v>159</v>
      </c>
      <c r="N91" s="206">
        <v>18</v>
      </c>
      <c r="O91" s="206">
        <v>70</v>
      </c>
      <c r="P91" s="206">
        <v>247</v>
      </c>
      <c r="Q91" s="207">
        <v>136</v>
      </c>
      <c r="R91" s="207">
        <v>15</v>
      </c>
      <c r="S91" s="207">
        <v>69</v>
      </c>
      <c r="T91" s="207">
        <v>220</v>
      </c>
      <c r="U91" s="208">
        <v>137</v>
      </c>
      <c r="V91" s="208">
        <v>23</v>
      </c>
      <c r="W91" s="208">
        <v>59</v>
      </c>
      <c r="X91" s="208">
        <v>219</v>
      </c>
      <c r="Y91" s="206">
        <v>158</v>
      </c>
      <c r="Z91" s="209">
        <v>10</v>
      </c>
      <c r="AA91" s="210">
        <v>80</v>
      </c>
      <c r="AB91" s="210">
        <v>248</v>
      </c>
      <c r="AC91" s="211">
        <v>45016</v>
      </c>
      <c r="AD91" s="201" t="s">
        <v>285</v>
      </c>
      <c r="AE91" s="201">
        <v>4</v>
      </c>
      <c r="AF91" s="201" t="s">
        <v>298</v>
      </c>
      <c r="AG91" s="201">
        <v>48</v>
      </c>
      <c r="AH91" s="201">
        <v>337</v>
      </c>
      <c r="AI91" s="201">
        <v>154</v>
      </c>
      <c r="AJ91" s="201">
        <v>49</v>
      </c>
      <c r="AK91" s="204">
        <v>203</v>
      </c>
      <c r="AL91" s="212">
        <v>588</v>
      </c>
      <c r="AM91" s="206">
        <v>142</v>
      </c>
      <c r="AN91" s="206">
        <v>12</v>
      </c>
      <c r="AO91" s="206">
        <v>48</v>
      </c>
      <c r="AP91" s="213">
        <v>202</v>
      </c>
      <c r="AQ91" s="207">
        <v>100</v>
      </c>
      <c r="AR91" s="207">
        <v>5</v>
      </c>
      <c r="AS91" s="207">
        <v>33</v>
      </c>
      <c r="AT91" s="207">
        <v>138</v>
      </c>
      <c r="AU91" s="208">
        <v>146</v>
      </c>
      <c r="AV91" s="208">
        <v>14</v>
      </c>
      <c r="AW91" s="208">
        <v>43</v>
      </c>
      <c r="AX91" s="208">
        <v>203</v>
      </c>
      <c r="AY91" s="206">
        <v>96</v>
      </c>
      <c r="AZ91" s="209">
        <v>3</v>
      </c>
      <c r="BA91" s="210">
        <v>38</v>
      </c>
      <c r="BB91" s="214">
        <v>137</v>
      </c>
    </row>
    <row r="92" spans="1:54" ht="15.75" x14ac:dyDescent="0.25">
      <c r="A92" s="215">
        <v>45017</v>
      </c>
      <c r="B92" s="216" t="s">
        <v>321</v>
      </c>
      <c r="C92" s="216">
        <v>3</v>
      </c>
      <c r="D92" s="216" t="s">
        <v>291</v>
      </c>
      <c r="E92" s="216">
        <v>168</v>
      </c>
      <c r="F92" s="216">
        <v>103</v>
      </c>
      <c r="G92" s="216">
        <v>88</v>
      </c>
      <c r="H92" s="202">
        <v>191</v>
      </c>
      <c r="I92" s="216">
        <v>167</v>
      </c>
      <c r="J92" s="216">
        <v>47</v>
      </c>
      <c r="K92" s="204">
        <v>214</v>
      </c>
      <c r="L92" s="217">
        <v>573</v>
      </c>
      <c r="M92" s="201">
        <v>196</v>
      </c>
      <c r="N92" s="201">
        <v>15</v>
      </c>
      <c r="O92" s="201">
        <v>85</v>
      </c>
      <c r="P92" s="206">
        <v>296</v>
      </c>
      <c r="Q92" s="218">
        <v>101</v>
      </c>
      <c r="R92" s="218">
        <v>10</v>
      </c>
      <c r="S92" s="218">
        <v>56</v>
      </c>
      <c r="T92" s="207">
        <v>167</v>
      </c>
      <c r="U92" s="208">
        <v>89</v>
      </c>
      <c r="V92" s="208">
        <v>-3</v>
      </c>
      <c r="W92" s="208">
        <v>55</v>
      </c>
      <c r="X92" s="208">
        <v>141</v>
      </c>
      <c r="Y92" s="201">
        <v>208</v>
      </c>
      <c r="Z92" s="219">
        <v>28</v>
      </c>
      <c r="AA92" s="220">
        <v>86</v>
      </c>
      <c r="AB92" s="210">
        <v>322</v>
      </c>
      <c r="AC92" s="221">
        <v>45017</v>
      </c>
      <c r="AD92" s="216" t="s">
        <v>321</v>
      </c>
      <c r="AE92" s="216">
        <v>4</v>
      </c>
      <c r="AF92" s="216" t="s">
        <v>298</v>
      </c>
      <c r="AG92" s="216">
        <v>57</v>
      </c>
      <c r="AH92" s="216">
        <v>367</v>
      </c>
      <c r="AI92" s="216">
        <v>142</v>
      </c>
      <c r="AJ92" s="216">
        <v>47</v>
      </c>
      <c r="AK92" s="204">
        <v>189</v>
      </c>
      <c r="AL92" s="222">
        <v>613</v>
      </c>
      <c r="AM92" s="201">
        <v>142</v>
      </c>
      <c r="AN92" s="201">
        <v>12</v>
      </c>
      <c r="AO92" s="201">
        <v>48</v>
      </c>
      <c r="AP92" s="213">
        <v>202</v>
      </c>
      <c r="AQ92" s="218">
        <v>100</v>
      </c>
      <c r="AR92" s="218">
        <v>5</v>
      </c>
      <c r="AS92" s="218">
        <v>33</v>
      </c>
      <c r="AT92" s="207">
        <v>138</v>
      </c>
      <c r="AU92" s="208">
        <v>114</v>
      </c>
      <c r="AV92" s="208">
        <v>12</v>
      </c>
      <c r="AW92" s="208">
        <v>63</v>
      </c>
      <c r="AX92" s="208">
        <v>189</v>
      </c>
      <c r="AY92" s="201">
        <v>128</v>
      </c>
      <c r="AZ92" s="219">
        <v>5</v>
      </c>
      <c r="BA92" s="220">
        <v>18</v>
      </c>
      <c r="BB92" s="214">
        <v>151</v>
      </c>
    </row>
    <row r="93" spans="1:54" ht="15.75" x14ac:dyDescent="0.25">
      <c r="A93" s="215">
        <v>45018</v>
      </c>
      <c r="B93" s="216" t="s">
        <v>322</v>
      </c>
      <c r="C93" s="216">
        <v>2</v>
      </c>
      <c r="D93" s="216" t="s">
        <v>291</v>
      </c>
      <c r="E93" s="216">
        <v>186</v>
      </c>
      <c r="F93" s="216">
        <v>119</v>
      </c>
      <c r="G93" s="216">
        <v>121</v>
      </c>
      <c r="H93" s="202">
        <v>240</v>
      </c>
      <c r="I93" s="216">
        <v>172</v>
      </c>
      <c r="J93" s="216">
        <v>70</v>
      </c>
      <c r="K93" s="204">
        <v>242</v>
      </c>
      <c r="L93" s="217">
        <v>668</v>
      </c>
      <c r="M93" s="201">
        <v>178</v>
      </c>
      <c r="N93" s="201">
        <v>25</v>
      </c>
      <c r="O93" s="201">
        <v>84</v>
      </c>
      <c r="P93" s="206">
        <v>287</v>
      </c>
      <c r="Q93" s="218">
        <v>165</v>
      </c>
      <c r="R93" s="218">
        <v>27</v>
      </c>
      <c r="S93" s="218">
        <v>72</v>
      </c>
      <c r="T93" s="207">
        <v>264</v>
      </c>
      <c r="U93" s="208">
        <v>223</v>
      </c>
      <c r="V93" s="208">
        <v>32</v>
      </c>
      <c r="W93" s="208">
        <v>102</v>
      </c>
      <c r="X93" s="208">
        <v>357</v>
      </c>
      <c r="Y93" s="201">
        <v>120</v>
      </c>
      <c r="Z93" s="219">
        <v>20</v>
      </c>
      <c r="AA93" s="220">
        <v>54</v>
      </c>
      <c r="AB93" s="210">
        <v>194</v>
      </c>
      <c r="AC93" s="221">
        <v>45018</v>
      </c>
      <c r="AD93" s="223" t="s">
        <v>322</v>
      </c>
      <c r="AE93" s="223">
        <v>1</v>
      </c>
      <c r="AF93" s="223" t="s">
        <v>298</v>
      </c>
      <c r="AG93" s="223">
        <v>51</v>
      </c>
      <c r="AH93" s="223">
        <v>284</v>
      </c>
      <c r="AI93" s="223">
        <v>159</v>
      </c>
      <c r="AJ93" s="223">
        <v>63</v>
      </c>
      <c r="AK93" s="204">
        <v>222</v>
      </c>
      <c r="AL93" s="222">
        <v>557</v>
      </c>
      <c r="AM93" s="224">
        <v>123</v>
      </c>
      <c r="AN93" s="224">
        <v>22</v>
      </c>
      <c r="AO93" s="224">
        <v>57</v>
      </c>
      <c r="AP93" s="213">
        <v>202</v>
      </c>
      <c r="AQ93" s="218">
        <v>99</v>
      </c>
      <c r="AR93" s="218">
        <v>13</v>
      </c>
      <c r="AS93" s="218">
        <v>47</v>
      </c>
      <c r="AT93" s="207">
        <v>159</v>
      </c>
      <c r="AU93" s="208">
        <v>26</v>
      </c>
      <c r="AV93" s="208">
        <v>3</v>
      </c>
      <c r="AW93" s="208">
        <v>23</v>
      </c>
      <c r="AX93" s="208">
        <v>52</v>
      </c>
      <c r="AY93" s="224">
        <v>196</v>
      </c>
      <c r="AZ93" s="225">
        <v>32</v>
      </c>
      <c r="BA93" s="226">
        <v>81</v>
      </c>
      <c r="BB93" s="214">
        <v>309</v>
      </c>
    </row>
    <row r="94" spans="1:54" ht="15.75" x14ac:dyDescent="0.25">
      <c r="A94" s="215">
        <v>45019</v>
      </c>
      <c r="B94" s="223" t="s">
        <v>323</v>
      </c>
      <c r="C94" s="223">
        <v>2</v>
      </c>
      <c r="D94" s="223" t="s">
        <v>291</v>
      </c>
      <c r="E94" s="223">
        <v>173</v>
      </c>
      <c r="F94" s="223">
        <v>113</v>
      </c>
      <c r="G94" s="223">
        <v>94</v>
      </c>
      <c r="H94" s="202">
        <v>207</v>
      </c>
      <c r="I94" s="223">
        <v>159</v>
      </c>
      <c r="J94" s="223">
        <v>89</v>
      </c>
      <c r="K94" s="204">
        <v>248</v>
      </c>
      <c r="L94" s="217">
        <v>628</v>
      </c>
      <c r="M94" s="224">
        <v>178</v>
      </c>
      <c r="N94" s="224">
        <v>21</v>
      </c>
      <c r="O94" s="224">
        <v>83</v>
      </c>
      <c r="P94" s="206">
        <v>282</v>
      </c>
      <c r="Q94" s="218">
        <v>113</v>
      </c>
      <c r="R94" s="218">
        <v>22</v>
      </c>
      <c r="S94" s="218">
        <v>64</v>
      </c>
      <c r="T94" s="207">
        <v>199</v>
      </c>
      <c r="U94" s="208">
        <v>141</v>
      </c>
      <c r="V94" s="208">
        <v>18</v>
      </c>
      <c r="W94" s="208">
        <v>89</v>
      </c>
      <c r="X94" s="208">
        <v>248</v>
      </c>
      <c r="Y94" s="224">
        <v>150</v>
      </c>
      <c r="Z94" s="225">
        <v>25</v>
      </c>
      <c r="AA94" s="226">
        <v>58</v>
      </c>
      <c r="AB94" s="210">
        <v>233</v>
      </c>
      <c r="AC94" s="221">
        <v>45019</v>
      </c>
      <c r="AD94" s="223" t="s">
        <v>323</v>
      </c>
      <c r="AE94" s="223">
        <v>1</v>
      </c>
      <c r="AF94" s="223" t="s">
        <v>298</v>
      </c>
      <c r="AG94" s="223">
        <v>31</v>
      </c>
      <c r="AH94" s="223">
        <v>261</v>
      </c>
      <c r="AI94" s="223">
        <v>189</v>
      </c>
      <c r="AJ94" s="223">
        <v>74</v>
      </c>
      <c r="AK94" s="204">
        <v>263</v>
      </c>
      <c r="AL94" s="222">
        <v>555</v>
      </c>
      <c r="AM94" s="224">
        <v>144</v>
      </c>
      <c r="AN94" s="224">
        <v>18</v>
      </c>
      <c r="AO94" s="224">
        <v>62</v>
      </c>
      <c r="AP94" s="213">
        <v>224</v>
      </c>
      <c r="AQ94" s="218">
        <v>82</v>
      </c>
      <c r="AR94" s="218">
        <v>6</v>
      </c>
      <c r="AS94" s="218">
        <v>45</v>
      </c>
      <c r="AT94" s="207">
        <v>133</v>
      </c>
      <c r="AU94" s="208">
        <v>166</v>
      </c>
      <c r="AV94" s="208">
        <v>18</v>
      </c>
      <c r="AW94" s="208">
        <v>79</v>
      </c>
      <c r="AX94" s="208">
        <v>263</v>
      </c>
      <c r="AY94" s="224">
        <v>60</v>
      </c>
      <c r="AZ94" s="225">
        <v>6</v>
      </c>
      <c r="BA94" s="226">
        <v>28</v>
      </c>
      <c r="BB94" s="214">
        <v>94</v>
      </c>
    </row>
    <row r="95" spans="1:54" ht="15.75" x14ac:dyDescent="0.25">
      <c r="A95" s="215">
        <v>45020</v>
      </c>
      <c r="B95" s="223" t="s">
        <v>324</v>
      </c>
      <c r="C95" s="223">
        <v>4</v>
      </c>
      <c r="D95" s="223" t="s">
        <v>291</v>
      </c>
      <c r="E95" s="223">
        <v>136</v>
      </c>
      <c r="F95" s="223">
        <v>109</v>
      </c>
      <c r="G95" s="223">
        <v>88</v>
      </c>
      <c r="H95" s="202">
        <v>197</v>
      </c>
      <c r="I95" s="223">
        <v>153</v>
      </c>
      <c r="J95" s="223">
        <v>67</v>
      </c>
      <c r="K95" s="204">
        <v>220</v>
      </c>
      <c r="L95" s="217">
        <v>553</v>
      </c>
      <c r="M95" s="224">
        <v>181</v>
      </c>
      <c r="N95" s="224">
        <v>9</v>
      </c>
      <c r="O95" s="224">
        <v>76</v>
      </c>
      <c r="P95" s="206">
        <v>266</v>
      </c>
      <c r="Q95" s="218">
        <v>132</v>
      </c>
      <c r="R95" s="218">
        <v>18</v>
      </c>
      <c r="S95" s="218">
        <v>51</v>
      </c>
      <c r="T95" s="207">
        <v>201</v>
      </c>
      <c r="U95" s="208">
        <v>141</v>
      </c>
      <c r="V95" s="208">
        <v>14</v>
      </c>
      <c r="W95" s="208">
        <v>65</v>
      </c>
      <c r="X95" s="208">
        <v>220</v>
      </c>
      <c r="Y95" s="224">
        <v>172</v>
      </c>
      <c r="Z95" s="225">
        <v>13</v>
      </c>
      <c r="AA95" s="226">
        <v>62</v>
      </c>
      <c r="AB95" s="210">
        <v>247</v>
      </c>
      <c r="AC95" s="221">
        <v>45020</v>
      </c>
      <c r="AD95" s="223" t="s">
        <v>324</v>
      </c>
      <c r="AE95" s="223">
        <v>3</v>
      </c>
      <c r="AF95" s="223" t="s">
        <v>298</v>
      </c>
      <c r="AG95" s="223">
        <v>38</v>
      </c>
      <c r="AH95" s="223">
        <v>317</v>
      </c>
      <c r="AI95" s="223">
        <v>108</v>
      </c>
      <c r="AJ95" s="223">
        <v>83</v>
      </c>
      <c r="AK95" s="204">
        <v>191</v>
      </c>
      <c r="AL95" s="222">
        <v>546</v>
      </c>
      <c r="AM95" s="224">
        <v>122</v>
      </c>
      <c r="AN95" s="224">
        <v>13</v>
      </c>
      <c r="AO95" s="224">
        <v>54</v>
      </c>
      <c r="AP95" s="213">
        <v>189</v>
      </c>
      <c r="AQ95" s="218">
        <v>75</v>
      </c>
      <c r="AR95" s="218">
        <v>5</v>
      </c>
      <c r="AS95" s="218">
        <v>35</v>
      </c>
      <c r="AT95" s="207">
        <v>115</v>
      </c>
      <c r="AU95" s="208">
        <v>122</v>
      </c>
      <c r="AV95" s="208">
        <v>11</v>
      </c>
      <c r="AW95" s="208">
        <v>58</v>
      </c>
      <c r="AX95" s="208">
        <v>191</v>
      </c>
      <c r="AY95" s="224">
        <v>75</v>
      </c>
      <c r="AZ95" s="225">
        <v>7</v>
      </c>
      <c r="BA95" s="226">
        <v>31</v>
      </c>
      <c r="BB95" s="214">
        <v>113</v>
      </c>
    </row>
    <row r="96" spans="1:54" ht="15.75" x14ac:dyDescent="0.25">
      <c r="A96" s="215">
        <v>45021</v>
      </c>
      <c r="B96" s="223" t="s">
        <v>325</v>
      </c>
      <c r="C96" s="223">
        <v>4</v>
      </c>
      <c r="D96" s="223" t="s">
        <v>291</v>
      </c>
      <c r="E96" s="223">
        <v>170</v>
      </c>
      <c r="F96" s="223">
        <v>102</v>
      </c>
      <c r="G96" s="223">
        <v>80</v>
      </c>
      <c r="H96" s="202">
        <v>182</v>
      </c>
      <c r="I96" s="223">
        <v>125</v>
      </c>
      <c r="J96" s="223">
        <v>88</v>
      </c>
      <c r="K96" s="204">
        <v>213</v>
      </c>
      <c r="L96" s="217">
        <v>565</v>
      </c>
      <c r="M96" s="224">
        <v>150</v>
      </c>
      <c r="N96" s="224">
        <v>11</v>
      </c>
      <c r="O96" s="224">
        <v>65</v>
      </c>
      <c r="P96" s="206">
        <v>226</v>
      </c>
      <c r="Q96" s="218">
        <v>142</v>
      </c>
      <c r="R96" s="218">
        <v>22</v>
      </c>
      <c r="S96" s="218">
        <v>93</v>
      </c>
      <c r="T96" s="207">
        <v>257</v>
      </c>
      <c r="U96" s="208">
        <v>120</v>
      </c>
      <c r="V96" s="208">
        <v>20</v>
      </c>
      <c r="W96" s="208">
        <v>73</v>
      </c>
      <c r="X96" s="208">
        <v>213</v>
      </c>
      <c r="Y96" s="224">
        <v>172</v>
      </c>
      <c r="Z96" s="225">
        <v>13</v>
      </c>
      <c r="AA96" s="226">
        <v>85</v>
      </c>
      <c r="AB96" s="210">
        <v>270</v>
      </c>
      <c r="AC96" s="221">
        <v>45021</v>
      </c>
      <c r="AD96" s="223" t="s">
        <v>325</v>
      </c>
      <c r="AE96" s="223">
        <v>3</v>
      </c>
      <c r="AF96" s="223" t="s">
        <v>298</v>
      </c>
      <c r="AG96" s="223">
        <v>40</v>
      </c>
      <c r="AH96" s="223">
        <v>364</v>
      </c>
      <c r="AI96" s="223">
        <v>120</v>
      </c>
      <c r="AJ96" s="223">
        <v>60</v>
      </c>
      <c r="AK96" s="204">
        <v>180</v>
      </c>
      <c r="AL96" s="222">
        <v>584</v>
      </c>
      <c r="AM96" s="224">
        <v>109</v>
      </c>
      <c r="AN96" s="224">
        <v>5</v>
      </c>
      <c r="AO96" s="224">
        <v>60</v>
      </c>
      <c r="AP96" s="213">
        <v>174</v>
      </c>
      <c r="AQ96" s="218">
        <v>72</v>
      </c>
      <c r="AR96" s="218">
        <v>4</v>
      </c>
      <c r="AS96" s="218">
        <v>55</v>
      </c>
      <c r="AT96" s="207">
        <v>131</v>
      </c>
      <c r="AU96" s="208">
        <v>116</v>
      </c>
      <c r="AV96" s="208">
        <v>6</v>
      </c>
      <c r="AW96" s="208">
        <v>58</v>
      </c>
      <c r="AX96" s="208">
        <v>180</v>
      </c>
      <c r="AY96" s="224">
        <v>65</v>
      </c>
      <c r="AZ96" s="225">
        <v>3</v>
      </c>
      <c r="BA96" s="226">
        <v>57</v>
      </c>
      <c r="BB96" s="214">
        <v>125</v>
      </c>
    </row>
    <row r="97" spans="1:54" ht="15.75" x14ac:dyDescent="0.25">
      <c r="A97" s="215">
        <v>45022</v>
      </c>
      <c r="B97" s="223" t="s">
        <v>326</v>
      </c>
      <c r="C97" s="223">
        <v>1</v>
      </c>
      <c r="D97" s="223" t="s">
        <v>291</v>
      </c>
      <c r="E97" s="223">
        <v>153</v>
      </c>
      <c r="F97" s="223">
        <v>116</v>
      </c>
      <c r="G97" s="223">
        <v>81</v>
      </c>
      <c r="H97" s="202">
        <v>197</v>
      </c>
      <c r="I97" s="223">
        <v>174</v>
      </c>
      <c r="J97" s="223">
        <v>80</v>
      </c>
      <c r="K97" s="204">
        <v>254</v>
      </c>
      <c r="L97" s="217">
        <v>604</v>
      </c>
      <c r="M97" s="224">
        <v>183</v>
      </c>
      <c r="N97" s="224">
        <v>30</v>
      </c>
      <c r="O97" s="224">
        <v>72</v>
      </c>
      <c r="P97" s="206">
        <v>285</v>
      </c>
      <c r="Q97" s="218">
        <v>144</v>
      </c>
      <c r="R97" s="218">
        <v>17</v>
      </c>
      <c r="S97" s="218">
        <v>76</v>
      </c>
      <c r="T97" s="207">
        <v>237</v>
      </c>
      <c r="U97" s="208">
        <v>143</v>
      </c>
      <c r="V97" s="208">
        <v>27</v>
      </c>
      <c r="W97" s="208">
        <v>84</v>
      </c>
      <c r="X97" s="208">
        <v>254</v>
      </c>
      <c r="Y97" s="224">
        <v>184</v>
      </c>
      <c r="Z97" s="225">
        <v>20</v>
      </c>
      <c r="AA97" s="226">
        <v>64</v>
      </c>
      <c r="AB97" s="210">
        <v>268</v>
      </c>
      <c r="AC97" s="221">
        <v>45022</v>
      </c>
      <c r="AD97" s="223" t="s">
        <v>326</v>
      </c>
      <c r="AE97" s="223">
        <v>2</v>
      </c>
      <c r="AF97" s="223" t="s">
        <v>298</v>
      </c>
      <c r="AG97" s="223">
        <v>72</v>
      </c>
      <c r="AH97" s="223">
        <v>320</v>
      </c>
      <c r="AI97" s="223">
        <v>145</v>
      </c>
      <c r="AJ97" s="223">
        <v>68</v>
      </c>
      <c r="AK97" s="204">
        <v>213</v>
      </c>
      <c r="AL97" s="222">
        <v>605</v>
      </c>
      <c r="AM97" s="224">
        <v>116</v>
      </c>
      <c r="AN97" s="224">
        <v>4</v>
      </c>
      <c r="AO97" s="224">
        <v>44</v>
      </c>
      <c r="AP97" s="213">
        <v>164</v>
      </c>
      <c r="AQ97" s="218">
        <v>81</v>
      </c>
      <c r="AR97" s="218">
        <v>6</v>
      </c>
      <c r="AS97" s="218">
        <v>47</v>
      </c>
      <c r="AT97" s="207">
        <v>134</v>
      </c>
      <c r="AU97" s="208">
        <v>137</v>
      </c>
      <c r="AV97" s="208">
        <v>8</v>
      </c>
      <c r="AW97" s="208">
        <v>68</v>
      </c>
      <c r="AX97" s="208">
        <v>213</v>
      </c>
      <c r="AY97" s="224">
        <v>60</v>
      </c>
      <c r="AZ97" s="225">
        <v>2</v>
      </c>
      <c r="BA97" s="226">
        <v>23</v>
      </c>
      <c r="BB97" s="214">
        <v>85</v>
      </c>
    </row>
    <row r="98" spans="1:54" ht="15.75" x14ac:dyDescent="0.25">
      <c r="A98" s="215">
        <v>45023</v>
      </c>
      <c r="B98" s="223" t="s">
        <v>327</v>
      </c>
      <c r="C98" s="223">
        <v>1</v>
      </c>
      <c r="D98" s="223" t="s">
        <v>291</v>
      </c>
      <c r="E98" s="223">
        <v>133</v>
      </c>
      <c r="F98" s="223">
        <v>105</v>
      </c>
      <c r="G98" s="223">
        <v>109</v>
      </c>
      <c r="H98" s="202">
        <v>214</v>
      </c>
      <c r="I98" s="223">
        <v>138</v>
      </c>
      <c r="J98" s="223">
        <v>76</v>
      </c>
      <c r="K98" s="204">
        <v>214</v>
      </c>
      <c r="L98" s="217">
        <v>561</v>
      </c>
      <c r="M98" s="224">
        <v>148</v>
      </c>
      <c r="N98" s="224">
        <v>23</v>
      </c>
      <c r="O98" s="224">
        <v>74</v>
      </c>
      <c r="P98" s="206">
        <v>245</v>
      </c>
      <c r="Q98" s="218">
        <v>146</v>
      </c>
      <c r="R98" s="218">
        <v>16</v>
      </c>
      <c r="S98" s="218">
        <v>66</v>
      </c>
      <c r="T98" s="207">
        <v>228</v>
      </c>
      <c r="U98" s="208">
        <v>112</v>
      </c>
      <c r="V98" s="208">
        <v>20</v>
      </c>
      <c r="W98" s="208">
        <v>82</v>
      </c>
      <c r="X98" s="208">
        <v>214</v>
      </c>
      <c r="Y98" s="224">
        <v>182</v>
      </c>
      <c r="Z98" s="225">
        <v>19</v>
      </c>
      <c r="AA98" s="226">
        <v>58</v>
      </c>
      <c r="AB98" s="210">
        <v>259</v>
      </c>
      <c r="AC98" s="221">
        <v>45023</v>
      </c>
      <c r="AD98" s="223" t="s">
        <v>327</v>
      </c>
      <c r="AE98" s="223">
        <v>2</v>
      </c>
      <c r="AF98" s="223" t="s">
        <v>298</v>
      </c>
      <c r="AG98" s="223">
        <v>62</v>
      </c>
      <c r="AH98" s="223">
        <v>338</v>
      </c>
      <c r="AI98" s="223">
        <v>157</v>
      </c>
      <c r="AJ98" s="223">
        <v>70</v>
      </c>
      <c r="AK98" s="204">
        <v>227</v>
      </c>
      <c r="AL98" s="222">
        <v>627</v>
      </c>
      <c r="AM98" s="224">
        <v>124</v>
      </c>
      <c r="AN98" s="224">
        <v>7</v>
      </c>
      <c r="AO98" s="224">
        <v>65</v>
      </c>
      <c r="AP98" s="213">
        <v>196</v>
      </c>
      <c r="AQ98" s="218">
        <v>79</v>
      </c>
      <c r="AR98" s="218">
        <v>4</v>
      </c>
      <c r="AS98" s="218">
        <v>42</v>
      </c>
      <c r="AT98" s="207">
        <v>125</v>
      </c>
      <c r="AU98" s="208">
        <v>137</v>
      </c>
      <c r="AV98" s="208">
        <v>10</v>
      </c>
      <c r="AW98" s="208">
        <v>80</v>
      </c>
      <c r="AX98" s="208">
        <v>227</v>
      </c>
      <c r="AY98" s="224">
        <v>66</v>
      </c>
      <c r="AZ98" s="225">
        <v>1</v>
      </c>
      <c r="BA98" s="226">
        <v>27</v>
      </c>
      <c r="BB98" s="214">
        <v>94</v>
      </c>
    </row>
    <row r="99" spans="1:54" ht="15.75" x14ac:dyDescent="0.25">
      <c r="A99" s="215">
        <v>45024</v>
      </c>
      <c r="B99" s="223" t="s">
        <v>321</v>
      </c>
      <c r="C99" s="223">
        <v>3</v>
      </c>
      <c r="D99" s="223" t="s">
        <v>291</v>
      </c>
      <c r="E99" s="223">
        <v>160</v>
      </c>
      <c r="F99" s="223">
        <v>92</v>
      </c>
      <c r="G99" s="223">
        <v>99</v>
      </c>
      <c r="H99" s="202">
        <v>191</v>
      </c>
      <c r="I99" s="223">
        <v>156</v>
      </c>
      <c r="J99" s="223">
        <v>78</v>
      </c>
      <c r="K99" s="204">
        <v>234</v>
      </c>
      <c r="L99" s="217">
        <v>585</v>
      </c>
      <c r="M99" s="224">
        <v>156</v>
      </c>
      <c r="N99" s="224">
        <v>23</v>
      </c>
      <c r="O99" s="224">
        <v>89</v>
      </c>
      <c r="P99" s="206">
        <v>268</v>
      </c>
      <c r="Q99" s="218">
        <v>155</v>
      </c>
      <c r="R99" s="218">
        <v>29</v>
      </c>
      <c r="S99" s="218">
        <v>100</v>
      </c>
      <c r="T99" s="207">
        <v>284</v>
      </c>
      <c r="U99" s="208">
        <v>139</v>
      </c>
      <c r="V99" s="208">
        <v>22</v>
      </c>
      <c r="W99" s="208">
        <v>75</v>
      </c>
      <c r="X99" s="208">
        <v>236</v>
      </c>
      <c r="Y99" s="224">
        <v>172</v>
      </c>
      <c r="Z99" s="225">
        <v>30</v>
      </c>
      <c r="AA99" s="226">
        <v>114</v>
      </c>
      <c r="AB99" s="210">
        <v>316</v>
      </c>
      <c r="AC99" s="221">
        <v>45024</v>
      </c>
      <c r="AD99" s="223" t="s">
        <v>321</v>
      </c>
      <c r="AE99" s="223">
        <v>4</v>
      </c>
      <c r="AF99" s="223" t="s">
        <v>298</v>
      </c>
      <c r="AG99" s="223">
        <v>76</v>
      </c>
      <c r="AH99" s="223">
        <v>353</v>
      </c>
      <c r="AI99" s="223">
        <v>154</v>
      </c>
      <c r="AJ99" s="223">
        <v>106</v>
      </c>
      <c r="AK99" s="204">
        <v>260</v>
      </c>
      <c r="AL99" s="222">
        <v>689</v>
      </c>
      <c r="AM99" s="224">
        <v>117</v>
      </c>
      <c r="AN99" s="224">
        <v>11</v>
      </c>
      <c r="AO99" s="224">
        <v>75</v>
      </c>
      <c r="AP99" s="213">
        <v>203</v>
      </c>
      <c r="AQ99" s="218">
        <v>108</v>
      </c>
      <c r="AR99" s="218">
        <v>6</v>
      </c>
      <c r="AS99" s="218">
        <v>64</v>
      </c>
      <c r="AT99" s="207">
        <v>178</v>
      </c>
      <c r="AU99" s="208">
        <v>152</v>
      </c>
      <c r="AV99" s="208">
        <v>13</v>
      </c>
      <c r="AW99" s="208">
        <v>95</v>
      </c>
      <c r="AX99" s="208">
        <v>260</v>
      </c>
      <c r="AY99" s="224">
        <v>73</v>
      </c>
      <c r="AZ99" s="225">
        <v>4</v>
      </c>
      <c r="BA99" s="226">
        <v>44</v>
      </c>
      <c r="BB99" s="214">
        <v>121</v>
      </c>
    </row>
    <row r="100" spans="1:54" ht="15.75" x14ac:dyDescent="0.25">
      <c r="A100" s="215">
        <v>45025</v>
      </c>
      <c r="B100" s="223" t="s">
        <v>322</v>
      </c>
      <c r="C100" s="223">
        <v>3</v>
      </c>
      <c r="D100" s="223" t="s">
        <v>291</v>
      </c>
      <c r="E100" s="223">
        <v>135</v>
      </c>
      <c r="F100" s="223">
        <v>105</v>
      </c>
      <c r="G100" s="223">
        <v>107</v>
      </c>
      <c r="H100" s="202">
        <v>212</v>
      </c>
      <c r="I100" s="223">
        <v>131</v>
      </c>
      <c r="J100" s="223">
        <v>68</v>
      </c>
      <c r="K100" s="204">
        <v>199</v>
      </c>
      <c r="L100" s="217">
        <v>546</v>
      </c>
      <c r="M100" s="224">
        <v>153</v>
      </c>
      <c r="N100" s="224">
        <v>24</v>
      </c>
      <c r="O100" s="224">
        <v>88</v>
      </c>
      <c r="P100" s="206">
        <v>265</v>
      </c>
      <c r="Q100" s="218">
        <v>100</v>
      </c>
      <c r="R100" s="218">
        <v>16</v>
      </c>
      <c r="S100" s="218">
        <v>58</v>
      </c>
      <c r="T100" s="207">
        <v>174</v>
      </c>
      <c r="U100" s="208">
        <v>104</v>
      </c>
      <c r="V100" s="208">
        <v>22</v>
      </c>
      <c r="W100" s="208">
        <v>73</v>
      </c>
      <c r="X100" s="208">
        <v>199</v>
      </c>
      <c r="Y100" s="224">
        <v>149</v>
      </c>
      <c r="Z100" s="225">
        <v>18</v>
      </c>
      <c r="AA100" s="226">
        <v>73</v>
      </c>
      <c r="AB100" s="210">
        <v>240</v>
      </c>
      <c r="AC100" s="221">
        <v>45025</v>
      </c>
      <c r="AD100" s="223" t="s">
        <v>322</v>
      </c>
      <c r="AE100" s="223">
        <v>4</v>
      </c>
      <c r="AF100" s="223" t="s">
        <v>298</v>
      </c>
      <c r="AG100" s="223">
        <v>36</v>
      </c>
      <c r="AH100" s="223">
        <v>295</v>
      </c>
      <c r="AI100" s="223">
        <v>174</v>
      </c>
      <c r="AJ100" s="223">
        <v>97</v>
      </c>
      <c r="AK100" s="204">
        <v>271</v>
      </c>
      <c r="AL100" s="222">
        <v>602</v>
      </c>
      <c r="AM100" s="224">
        <v>115</v>
      </c>
      <c r="AN100" s="224">
        <v>10</v>
      </c>
      <c r="AO100" s="224">
        <v>73</v>
      </c>
      <c r="AP100" s="213">
        <v>198</v>
      </c>
      <c r="AQ100" s="218">
        <v>86</v>
      </c>
      <c r="AR100" s="218">
        <v>12</v>
      </c>
      <c r="AS100" s="218">
        <v>27</v>
      </c>
      <c r="AT100" s="207">
        <v>125</v>
      </c>
      <c r="AU100" s="208">
        <v>170</v>
      </c>
      <c r="AV100" s="208">
        <v>11</v>
      </c>
      <c r="AW100" s="208">
        <v>90</v>
      </c>
      <c r="AX100" s="208">
        <v>271</v>
      </c>
      <c r="AY100" s="224">
        <v>31</v>
      </c>
      <c r="AZ100" s="225">
        <v>11</v>
      </c>
      <c r="BA100" s="226">
        <v>10</v>
      </c>
      <c r="BB100" s="214">
        <v>52</v>
      </c>
    </row>
    <row r="101" spans="1:54" ht="15.75" x14ac:dyDescent="0.25">
      <c r="A101" s="215">
        <v>45026</v>
      </c>
      <c r="B101" s="223" t="s">
        <v>323</v>
      </c>
      <c r="C101" s="223">
        <v>2</v>
      </c>
      <c r="D101" s="223" t="s">
        <v>291</v>
      </c>
      <c r="E101" s="223">
        <v>145</v>
      </c>
      <c r="F101" s="223">
        <v>84</v>
      </c>
      <c r="G101" s="223">
        <v>92</v>
      </c>
      <c r="H101" s="202">
        <v>176</v>
      </c>
      <c r="I101" s="223">
        <v>150</v>
      </c>
      <c r="J101" s="223">
        <v>82</v>
      </c>
      <c r="K101" s="204">
        <v>232</v>
      </c>
      <c r="L101" s="217">
        <v>553</v>
      </c>
      <c r="M101" s="224">
        <v>163</v>
      </c>
      <c r="N101" s="224">
        <v>17</v>
      </c>
      <c r="O101" s="224">
        <v>89</v>
      </c>
      <c r="P101" s="206">
        <v>269</v>
      </c>
      <c r="Q101" s="218">
        <v>93</v>
      </c>
      <c r="R101" s="218">
        <v>12</v>
      </c>
      <c r="S101" s="218">
        <v>60</v>
      </c>
      <c r="T101" s="207">
        <v>165</v>
      </c>
      <c r="U101" s="208">
        <v>134</v>
      </c>
      <c r="V101" s="208">
        <v>13</v>
      </c>
      <c r="W101" s="208">
        <v>85</v>
      </c>
      <c r="X101" s="208">
        <v>232</v>
      </c>
      <c r="Y101" s="224">
        <v>122</v>
      </c>
      <c r="Z101" s="225">
        <v>16</v>
      </c>
      <c r="AA101" s="226">
        <v>64</v>
      </c>
      <c r="AB101" s="210">
        <v>202</v>
      </c>
      <c r="AC101" s="221">
        <v>45026</v>
      </c>
      <c r="AD101" s="223" t="s">
        <v>323</v>
      </c>
      <c r="AE101" s="223">
        <v>1</v>
      </c>
      <c r="AF101" s="223" t="s">
        <v>298</v>
      </c>
      <c r="AG101" s="223">
        <v>21</v>
      </c>
      <c r="AH101" s="223">
        <v>216</v>
      </c>
      <c r="AI101" s="223">
        <v>162</v>
      </c>
      <c r="AJ101" s="223">
        <v>50</v>
      </c>
      <c r="AK101" s="204">
        <v>212</v>
      </c>
      <c r="AL101" s="222">
        <v>449</v>
      </c>
      <c r="AM101" s="224">
        <v>133</v>
      </c>
      <c r="AN101" s="224">
        <v>15</v>
      </c>
      <c r="AO101" s="224">
        <v>53</v>
      </c>
      <c r="AP101" s="213">
        <v>201</v>
      </c>
      <c r="AQ101" s="218">
        <v>76</v>
      </c>
      <c r="AR101" s="218">
        <v>6</v>
      </c>
      <c r="AS101" s="218">
        <v>26</v>
      </c>
      <c r="AT101" s="207">
        <v>108</v>
      </c>
      <c r="AU101" s="208">
        <v>133</v>
      </c>
      <c r="AV101" s="208">
        <v>20</v>
      </c>
      <c r="AW101" s="208">
        <v>59</v>
      </c>
      <c r="AX101" s="208">
        <v>212</v>
      </c>
      <c r="AY101" s="224">
        <v>76</v>
      </c>
      <c r="AZ101" s="225">
        <v>1</v>
      </c>
      <c r="BA101" s="226">
        <v>20</v>
      </c>
      <c r="BB101" s="214">
        <v>97</v>
      </c>
    </row>
    <row r="102" spans="1:54" ht="15.75" x14ac:dyDescent="0.25">
      <c r="A102" s="215">
        <v>45027</v>
      </c>
      <c r="B102" s="223" t="s">
        <v>324</v>
      </c>
      <c r="C102" s="223">
        <v>2</v>
      </c>
      <c r="D102" s="223" t="s">
        <v>291</v>
      </c>
      <c r="E102" s="223">
        <v>104</v>
      </c>
      <c r="F102" s="223">
        <v>95</v>
      </c>
      <c r="G102" s="223">
        <v>69</v>
      </c>
      <c r="H102" s="202">
        <v>164</v>
      </c>
      <c r="I102" s="223">
        <v>149</v>
      </c>
      <c r="J102" s="223">
        <v>69</v>
      </c>
      <c r="K102" s="204">
        <v>218</v>
      </c>
      <c r="L102" s="217">
        <v>486</v>
      </c>
      <c r="M102" s="224">
        <v>160</v>
      </c>
      <c r="N102" s="224">
        <v>11</v>
      </c>
      <c r="O102" s="224">
        <v>67</v>
      </c>
      <c r="P102" s="206">
        <v>238</v>
      </c>
      <c r="Q102" s="218">
        <v>87</v>
      </c>
      <c r="R102" s="218">
        <v>9</v>
      </c>
      <c r="S102" s="218">
        <v>81</v>
      </c>
      <c r="T102" s="207">
        <v>177</v>
      </c>
      <c r="U102" s="208">
        <v>149</v>
      </c>
      <c r="V102" s="208">
        <v>13</v>
      </c>
      <c r="W102" s="208">
        <v>57</v>
      </c>
      <c r="X102" s="208">
        <v>219</v>
      </c>
      <c r="Y102" s="224">
        <v>98</v>
      </c>
      <c r="Z102" s="225">
        <v>7</v>
      </c>
      <c r="AA102" s="226">
        <v>91</v>
      </c>
      <c r="AB102" s="210">
        <v>196</v>
      </c>
      <c r="AC102" s="221">
        <v>45027</v>
      </c>
      <c r="AD102" s="223" t="s">
        <v>324</v>
      </c>
      <c r="AE102" s="223">
        <v>1</v>
      </c>
      <c r="AF102" s="223" t="s">
        <v>298</v>
      </c>
      <c r="AG102" s="223">
        <v>33</v>
      </c>
      <c r="AH102" s="223">
        <v>228</v>
      </c>
      <c r="AI102" s="223">
        <v>161</v>
      </c>
      <c r="AJ102" s="223">
        <v>42</v>
      </c>
      <c r="AK102" s="204">
        <v>203</v>
      </c>
      <c r="AL102" s="222">
        <v>464</v>
      </c>
      <c r="AM102" s="224">
        <v>126</v>
      </c>
      <c r="AN102" s="224">
        <v>11</v>
      </c>
      <c r="AO102" s="224">
        <v>65</v>
      </c>
      <c r="AP102" s="213">
        <v>202</v>
      </c>
      <c r="AQ102" s="218">
        <v>48</v>
      </c>
      <c r="AR102" s="218">
        <v>9</v>
      </c>
      <c r="AS102" s="218">
        <v>42</v>
      </c>
      <c r="AT102" s="207">
        <v>99</v>
      </c>
      <c r="AU102" s="208">
        <v>127</v>
      </c>
      <c r="AV102" s="208">
        <v>13</v>
      </c>
      <c r="AW102" s="208">
        <v>63</v>
      </c>
      <c r="AX102" s="208">
        <v>203</v>
      </c>
      <c r="AY102" s="224">
        <v>47</v>
      </c>
      <c r="AZ102" s="225">
        <v>7</v>
      </c>
      <c r="BA102" s="226">
        <v>44</v>
      </c>
      <c r="BB102" s="214">
        <v>98</v>
      </c>
    </row>
    <row r="103" spans="1:54" ht="15.75" x14ac:dyDescent="0.25">
      <c r="A103" s="215">
        <v>45028</v>
      </c>
      <c r="B103" s="223" t="s">
        <v>325</v>
      </c>
      <c r="C103" s="223">
        <v>4</v>
      </c>
      <c r="D103" s="223" t="s">
        <v>291</v>
      </c>
      <c r="E103" s="223">
        <v>91</v>
      </c>
      <c r="F103" s="223">
        <v>74</v>
      </c>
      <c r="G103" s="223">
        <v>84</v>
      </c>
      <c r="H103" s="202">
        <v>158</v>
      </c>
      <c r="I103" s="223">
        <v>154</v>
      </c>
      <c r="J103" s="223">
        <v>77</v>
      </c>
      <c r="K103" s="204">
        <v>231</v>
      </c>
      <c r="L103" s="217">
        <v>480</v>
      </c>
      <c r="M103" s="224">
        <v>152</v>
      </c>
      <c r="N103" s="224">
        <v>19</v>
      </c>
      <c r="O103" s="224">
        <v>74</v>
      </c>
      <c r="P103" s="206">
        <v>245</v>
      </c>
      <c r="Q103" s="218">
        <v>119</v>
      </c>
      <c r="R103" s="218">
        <v>15</v>
      </c>
      <c r="S103" s="218">
        <v>77</v>
      </c>
      <c r="T103" s="207">
        <v>211</v>
      </c>
      <c r="U103" s="208">
        <v>113</v>
      </c>
      <c r="V103" s="208">
        <v>17</v>
      </c>
      <c r="W103" s="208">
        <v>101</v>
      </c>
      <c r="X103" s="208">
        <v>231</v>
      </c>
      <c r="Y103" s="224">
        <v>158</v>
      </c>
      <c r="Z103" s="225">
        <v>17</v>
      </c>
      <c r="AA103" s="226">
        <v>50</v>
      </c>
      <c r="AB103" s="210">
        <v>225</v>
      </c>
      <c r="AC103" s="221">
        <v>45028</v>
      </c>
      <c r="AD103" s="223" t="s">
        <v>325</v>
      </c>
      <c r="AE103" s="223">
        <v>3</v>
      </c>
      <c r="AF103" s="223" t="s">
        <v>298</v>
      </c>
      <c r="AG103" s="223">
        <v>36</v>
      </c>
      <c r="AH103" s="223">
        <v>287</v>
      </c>
      <c r="AI103" s="223">
        <v>146</v>
      </c>
      <c r="AJ103" s="223">
        <v>74</v>
      </c>
      <c r="AK103" s="204">
        <v>220</v>
      </c>
      <c r="AL103" s="222">
        <v>543</v>
      </c>
      <c r="AM103" s="224">
        <v>121</v>
      </c>
      <c r="AN103" s="224">
        <v>15</v>
      </c>
      <c r="AO103" s="224">
        <v>64</v>
      </c>
      <c r="AP103" s="213">
        <v>200</v>
      </c>
      <c r="AQ103" s="218">
        <v>74</v>
      </c>
      <c r="AR103" s="218">
        <v>6</v>
      </c>
      <c r="AS103" s="218">
        <v>54</v>
      </c>
      <c r="AT103" s="207">
        <v>134</v>
      </c>
      <c r="AU103" s="208">
        <v>130</v>
      </c>
      <c r="AV103" s="208">
        <v>17</v>
      </c>
      <c r="AW103" s="208">
        <v>73</v>
      </c>
      <c r="AX103" s="208">
        <v>220</v>
      </c>
      <c r="AY103" s="224">
        <v>65</v>
      </c>
      <c r="AZ103" s="225">
        <v>4</v>
      </c>
      <c r="BA103" s="226">
        <v>45</v>
      </c>
      <c r="BB103" s="214">
        <v>114</v>
      </c>
    </row>
    <row r="104" spans="1:54" ht="15.75" x14ac:dyDescent="0.25">
      <c r="A104" s="215">
        <v>45029</v>
      </c>
      <c r="B104" s="223" t="s">
        <v>326</v>
      </c>
      <c r="C104" s="223">
        <v>4</v>
      </c>
      <c r="D104" s="223" t="s">
        <v>291</v>
      </c>
      <c r="E104" s="223">
        <v>148</v>
      </c>
      <c r="F104" s="223">
        <v>126</v>
      </c>
      <c r="G104" s="223">
        <v>99</v>
      </c>
      <c r="H104" s="202">
        <v>225</v>
      </c>
      <c r="I104" s="223">
        <v>153</v>
      </c>
      <c r="J104" s="223">
        <v>49</v>
      </c>
      <c r="K104" s="204">
        <v>202</v>
      </c>
      <c r="L104" s="217">
        <v>575</v>
      </c>
      <c r="M104" s="224">
        <v>177</v>
      </c>
      <c r="N104" s="224">
        <v>20</v>
      </c>
      <c r="O104" s="224">
        <v>89</v>
      </c>
      <c r="P104" s="206">
        <v>286</v>
      </c>
      <c r="Q104" s="218">
        <v>103</v>
      </c>
      <c r="R104" s="218">
        <v>11</v>
      </c>
      <c r="S104" s="218">
        <v>86</v>
      </c>
      <c r="T104" s="207">
        <v>200</v>
      </c>
      <c r="U104" s="208">
        <v>120</v>
      </c>
      <c r="V104" s="208">
        <v>15</v>
      </c>
      <c r="W104" s="208">
        <v>67</v>
      </c>
      <c r="X104" s="208">
        <v>202</v>
      </c>
      <c r="Y104" s="224">
        <v>160</v>
      </c>
      <c r="Z104" s="225">
        <v>16</v>
      </c>
      <c r="AA104" s="226">
        <v>108</v>
      </c>
      <c r="AB104" s="210">
        <v>284</v>
      </c>
      <c r="AC104" s="221">
        <v>45029</v>
      </c>
      <c r="AD104" s="223" t="s">
        <v>326</v>
      </c>
      <c r="AE104" s="223">
        <v>3</v>
      </c>
      <c r="AF104" s="223" t="s">
        <v>298</v>
      </c>
      <c r="AG104" s="223">
        <v>49</v>
      </c>
      <c r="AH104" s="223">
        <v>339</v>
      </c>
      <c r="AI104" s="223">
        <v>143</v>
      </c>
      <c r="AJ104" s="223">
        <v>60</v>
      </c>
      <c r="AK104" s="204">
        <v>203</v>
      </c>
      <c r="AL104" s="222">
        <v>591</v>
      </c>
      <c r="AM104" s="224">
        <v>111</v>
      </c>
      <c r="AN104" s="224">
        <v>18</v>
      </c>
      <c r="AO104" s="224">
        <v>65</v>
      </c>
      <c r="AP104" s="213">
        <v>194</v>
      </c>
      <c r="AQ104" s="218">
        <v>66</v>
      </c>
      <c r="AR104" s="218">
        <v>5</v>
      </c>
      <c r="AS104" s="218">
        <v>44</v>
      </c>
      <c r="AT104" s="207">
        <v>115</v>
      </c>
      <c r="AU104" s="208">
        <v>130</v>
      </c>
      <c r="AV104" s="208">
        <v>12</v>
      </c>
      <c r="AW104" s="208">
        <v>61</v>
      </c>
      <c r="AX104" s="208">
        <v>203</v>
      </c>
      <c r="AY104" s="224">
        <v>47</v>
      </c>
      <c r="AZ104" s="225">
        <v>11</v>
      </c>
      <c r="BA104" s="226">
        <v>48</v>
      </c>
      <c r="BB104" s="214">
        <v>106</v>
      </c>
    </row>
    <row r="105" spans="1:54" ht="15.75" x14ac:dyDescent="0.25">
      <c r="A105" s="215">
        <v>45030</v>
      </c>
      <c r="B105" s="223" t="s">
        <v>327</v>
      </c>
      <c r="C105" s="223">
        <v>1</v>
      </c>
      <c r="D105" s="223" t="s">
        <v>291</v>
      </c>
      <c r="E105" s="223">
        <v>142</v>
      </c>
      <c r="F105" s="223">
        <v>96</v>
      </c>
      <c r="G105" s="223">
        <v>89</v>
      </c>
      <c r="H105" s="202">
        <v>185</v>
      </c>
      <c r="I105" s="223">
        <v>171</v>
      </c>
      <c r="J105" s="223">
        <v>68</v>
      </c>
      <c r="K105" s="204">
        <v>239</v>
      </c>
      <c r="L105" s="217">
        <v>566</v>
      </c>
      <c r="M105" s="224">
        <v>149</v>
      </c>
      <c r="N105" s="224">
        <v>23</v>
      </c>
      <c r="O105" s="224">
        <v>86</v>
      </c>
      <c r="P105" s="206">
        <v>258</v>
      </c>
      <c r="Q105" s="218">
        <v>108</v>
      </c>
      <c r="R105" s="218">
        <v>10</v>
      </c>
      <c r="S105" s="218">
        <v>63</v>
      </c>
      <c r="T105" s="207">
        <v>181</v>
      </c>
      <c r="U105" s="208">
        <v>120</v>
      </c>
      <c r="V105" s="208">
        <v>24</v>
      </c>
      <c r="W105" s="208">
        <v>99</v>
      </c>
      <c r="X105" s="208">
        <v>243</v>
      </c>
      <c r="Y105" s="224">
        <v>137</v>
      </c>
      <c r="Z105" s="225">
        <v>9</v>
      </c>
      <c r="AA105" s="226">
        <v>50</v>
      </c>
      <c r="AB105" s="210">
        <v>196</v>
      </c>
      <c r="AC105" s="221">
        <v>45030</v>
      </c>
      <c r="AD105" s="223" t="s">
        <v>327</v>
      </c>
      <c r="AE105" s="223">
        <v>2</v>
      </c>
      <c r="AF105" s="223" t="s">
        <v>298</v>
      </c>
      <c r="AG105" s="223">
        <v>38</v>
      </c>
      <c r="AH105" s="223">
        <v>280</v>
      </c>
      <c r="AI105" s="223">
        <v>154</v>
      </c>
      <c r="AJ105" s="223">
        <v>67</v>
      </c>
      <c r="AK105" s="204">
        <v>221</v>
      </c>
      <c r="AL105" s="222">
        <v>539</v>
      </c>
      <c r="AM105" s="224">
        <v>102</v>
      </c>
      <c r="AN105" s="224">
        <v>8</v>
      </c>
      <c r="AO105" s="224">
        <v>44</v>
      </c>
      <c r="AP105" s="213">
        <v>154</v>
      </c>
      <c r="AQ105" s="218">
        <v>94</v>
      </c>
      <c r="AR105" s="218">
        <v>13</v>
      </c>
      <c r="AS105" s="218">
        <v>41</v>
      </c>
      <c r="AT105" s="207">
        <v>148</v>
      </c>
      <c r="AU105" s="208">
        <v>121</v>
      </c>
      <c r="AV105" s="208">
        <v>12</v>
      </c>
      <c r="AW105" s="208">
        <v>40</v>
      </c>
      <c r="AX105" s="208">
        <v>173</v>
      </c>
      <c r="AY105" s="224">
        <v>75</v>
      </c>
      <c r="AZ105" s="225">
        <v>9</v>
      </c>
      <c r="BA105" s="226">
        <v>45</v>
      </c>
      <c r="BB105" s="214">
        <v>129</v>
      </c>
    </row>
    <row r="106" spans="1:54" ht="15.75" x14ac:dyDescent="0.25">
      <c r="A106" s="215">
        <v>45031</v>
      </c>
      <c r="B106" s="223" t="s">
        <v>321</v>
      </c>
      <c r="C106" s="223">
        <v>1</v>
      </c>
      <c r="D106" s="223" t="s">
        <v>291</v>
      </c>
      <c r="E106" s="223">
        <v>141</v>
      </c>
      <c r="F106" s="223">
        <v>108</v>
      </c>
      <c r="G106" s="223">
        <v>83</v>
      </c>
      <c r="H106" s="202">
        <v>191</v>
      </c>
      <c r="I106" s="223">
        <v>155</v>
      </c>
      <c r="J106" s="223">
        <v>74</v>
      </c>
      <c r="K106" s="204">
        <v>229</v>
      </c>
      <c r="L106" s="217">
        <v>561</v>
      </c>
      <c r="M106" s="224">
        <v>185</v>
      </c>
      <c r="N106" s="224">
        <v>23</v>
      </c>
      <c r="O106" s="224">
        <v>79</v>
      </c>
      <c r="P106" s="206">
        <v>287</v>
      </c>
      <c r="Q106" s="218">
        <v>130</v>
      </c>
      <c r="R106" s="218">
        <v>26</v>
      </c>
      <c r="S106" s="218">
        <v>63</v>
      </c>
      <c r="T106" s="207">
        <v>219</v>
      </c>
      <c r="U106" s="208">
        <v>122</v>
      </c>
      <c r="V106" s="208">
        <v>15</v>
      </c>
      <c r="W106" s="208">
        <v>92</v>
      </c>
      <c r="X106" s="208">
        <v>229</v>
      </c>
      <c r="Y106" s="224">
        <v>193</v>
      </c>
      <c r="Z106" s="225">
        <v>34</v>
      </c>
      <c r="AA106" s="226">
        <v>50</v>
      </c>
      <c r="AB106" s="210">
        <v>277</v>
      </c>
      <c r="AC106" s="221">
        <v>45031</v>
      </c>
      <c r="AD106" s="223" t="s">
        <v>321</v>
      </c>
      <c r="AE106" s="223">
        <v>2</v>
      </c>
      <c r="AF106" s="223" t="s">
        <v>298</v>
      </c>
      <c r="AG106" s="223">
        <v>42</v>
      </c>
      <c r="AH106" s="223">
        <v>336</v>
      </c>
      <c r="AI106" s="223">
        <v>125</v>
      </c>
      <c r="AJ106" s="223">
        <v>74</v>
      </c>
      <c r="AK106" s="204">
        <v>199</v>
      </c>
      <c r="AL106" s="222">
        <v>577</v>
      </c>
      <c r="AM106" s="224">
        <v>115</v>
      </c>
      <c r="AN106" s="224">
        <v>12</v>
      </c>
      <c r="AO106" s="224">
        <v>54</v>
      </c>
      <c r="AP106" s="213">
        <v>181</v>
      </c>
      <c r="AQ106" s="218">
        <v>74</v>
      </c>
      <c r="AR106" s="218">
        <v>5</v>
      </c>
      <c r="AS106" s="218">
        <v>38</v>
      </c>
      <c r="AT106" s="207">
        <v>117</v>
      </c>
      <c r="AU106" s="208">
        <v>119</v>
      </c>
      <c r="AV106" s="208">
        <v>12</v>
      </c>
      <c r="AW106" s="208">
        <v>68</v>
      </c>
      <c r="AX106" s="208">
        <v>199</v>
      </c>
      <c r="AY106" s="224">
        <v>70</v>
      </c>
      <c r="AZ106" s="225">
        <v>5</v>
      </c>
      <c r="BA106" s="226">
        <v>24</v>
      </c>
      <c r="BB106" s="214">
        <v>99</v>
      </c>
    </row>
    <row r="107" spans="1:54" ht="15.75" x14ac:dyDescent="0.25">
      <c r="A107" s="215">
        <v>45032</v>
      </c>
      <c r="B107" s="223" t="s">
        <v>322</v>
      </c>
      <c r="C107" s="223">
        <v>3</v>
      </c>
      <c r="D107" s="223" t="s">
        <v>291</v>
      </c>
      <c r="E107" s="223">
        <v>148</v>
      </c>
      <c r="F107" s="223">
        <v>93</v>
      </c>
      <c r="G107" s="223">
        <v>101</v>
      </c>
      <c r="H107" s="202">
        <v>194</v>
      </c>
      <c r="I107" s="223">
        <v>166</v>
      </c>
      <c r="J107" s="223">
        <v>63</v>
      </c>
      <c r="K107" s="204">
        <v>229</v>
      </c>
      <c r="L107" s="217">
        <v>571</v>
      </c>
      <c r="M107" s="224">
        <v>194</v>
      </c>
      <c r="N107" s="224">
        <v>20</v>
      </c>
      <c r="O107" s="224">
        <v>121</v>
      </c>
      <c r="P107" s="206">
        <v>335</v>
      </c>
      <c r="Q107" s="218">
        <v>133</v>
      </c>
      <c r="R107" s="218">
        <v>20</v>
      </c>
      <c r="S107" s="218">
        <v>81</v>
      </c>
      <c r="T107" s="207">
        <v>234</v>
      </c>
      <c r="U107" s="208">
        <v>131</v>
      </c>
      <c r="V107" s="208">
        <v>25</v>
      </c>
      <c r="W107" s="208">
        <v>73</v>
      </c>
      <c r="X107" s="208">
        <v>229</v>
      </c>
      <c r="Y107" s="224">
        <v>196</v>
      </c>
      <c r="Z107" s="225">
        <v>15</v>
      </c>
      <c r="AA107" s="226">
        <v>129</v>
      </c>
      <c r="AB107" s="210">
        <v>340</v>
      </c>
      <c r="AC107" s="221">
        <v>45032</v>
      </c>
      <c r="AD107" s="223" t="s">
        <v>322</v>
      </c>
      <c r="AE107" s="223">
        <v>4</v>
      </c>
      <c r="AF107" s="223" t="s">
        <v>298</v>
      </c>
      <c r="AG107" s="223">
        <v>69</v>
      </c>
      <c r="AH107" s="223">
        <v>368</v>
      </c>
      <c r="AI107" s="223">
        <v>159</v>
      </c>
      <c r="AJ107" s="223">
        <v>52</v>
      </c>
      <c r="AK107" s="204">
        <v>211</v>
      </c>
      <c r="AL107" s="222">
        <v>648</v>
      </c>
      <c r="AM107" s="224">
        <v>145</v>
      </c>
      <c r="AN107" s="224">
        <v>10</v>
      </c>
      <c r="AO107" s="224">
        <v>85</v>
      </c>
      <c r="AP107" s="213">
        <v>240</v>
      </c>
      <c r="AQ107" s="218">
        <v>81</v>
      </c>
      <c r="AR107" s="218">
        <v>4</v>
      </c>
      <c r="AS107" s="218">
        <v>45</v>
      </c>
      <c r="AT107" s="207">
        <v>130</v>
      </c>
      <c r="AU107" s="208">
        <v>131</v>
      </c>
      <c r="AV107" s="208">
        <v>12</v>
      </c>
      <c r="AW107" s="208">
        <v>68</v>
      </c>
      <c r="AX107" s="208">
        <v>211</v>
      </c>
      <c r="AY107" s="224">
        <v>95</v>
      </c>
      <c r="AZ107" s="225">
        <v>2</v>
      </c>
      <c r="BA107" s="226">
        <v>62</v>
      </c>
      <c r="BB107" s="214">
        <v>159</v>
      </c>
    </row>
    <row r="108" spans="1:54" ht="15.75" x14ac:dyDescent="0.25">
      <c r="A108" s="215">
        <v>45033</v>
      </c>
      <c r="B108" s="223" t="s">
        <v>323</v>
      </c>
      <c r="C108" s="223">
        <v>3</v>
      </c>
      <c r="D108" s="223" t="s">
        <v>291</v>
      </c>
      <c r="E108" s="223">
        <v>186</v>
      </c>
      <c r="F108" s="223">
        <v>99</v>
      </c>
      <c r="G108" s="223">
        <v>107</v>
      </c>
      <c r="H108" s="202">
        <v>206</v>
      </c>
      <c r="I108" s="223">
        <v>170</v>
      </c>
      <c r="J108" s="223">
        <v>52</v>
      </c>
      <c r="K108" s="204">
        <v>222</v>
      </c>
      <c r="L108" s="217">
        <v>614</v>
      </c>
      <c r="M108" s="224">
        <v>147</v>
      </c>
      <c r="N108" s="224">
        <v>26</v>
      </c>
      <c r="O108" s="224">
        <v>89</v>
      </c>
      <c r="P108" s="206">
        <v>262</v>
      </c>
      <c r="Q108" s="218">
        <v>112</v>
      </c>
      <c r="R108" s="218">
        <v>26</v>
      </c>
      <c r="S108" s="218">
        <v>64</v>
      </c>
      <c r="T108" s="207">
        <v>202</v>
      </c>
      <c r="U108" s="208">
        <v>126</v>
      </c>
      <c r="V108" s="208">
        <v>24</v>
      </c>
      <c r="W108" s="208">
        <v>72</v>
      </c>
      <c r="X108" s="208">
        <v>222</v>
      </c>
      <c r="Y108" s="224">
        <v>133</v>
      </c>
      <c r="Z108" s="225">
        <v>28</v>
      </c>
      <c r="AA108" s="226">
        <v>81</v>
      </c>
      <c r="AB108" s="210">
        <v>242</v>
      </c>
      <c r="AC108" s="221">
        <v>45033</v>
      </c>
      <c r="AD108" s="223" t="s">
        <v>323</v>
      </c>
      <c r="AE108" s="223">
        <v>4</v>
      </c>
      <c r="AF108" s="223" t="s">
        <v>298</v>
      </c>
      <c r="AG108" s="223">
        <v>34</v>
      </c>
      <c r="AH108" s="223">
        <v>295</v>
      </c>
      <c r="AI108" s="223">
        <v>142</v>
      </c>
      <c r="AJ108" s="223">
        <v>91</v>
      </c>
      <c r="AK108" s="204">
        <v>233</v>
      </c>
      <c r="AL108" s="222">
        <v>562</v>
      </c>
      <c r="AM108" s="224">
        <v>108</v>
      </c>
      <c r="AN108" s="224">
        <v>8</v>
      </c>
      <c r="AO108" s="224">
        <v>62</v>
      </c>
      <c r="AP108" s="213">
        <v>178</v>
      </c>
      <c r="AQ108" s="218">
        <v>92</v>
      </c>
      <c r="AR108" s="218">
        <v>6</v>
      </c>
      <c r="AS108" s="218">
        <v>37</v>
      </c>
      <c r="AT108" s="207">
        <v>135</v>
      </c>
      <c r="AU108" s="208">
        <v>141</v>
      </c>
      <c r="AV108" s="208">
        <v>10</v>
      </c>
      <c r="AW108" s="208">
        <v>82</v>
      </c>
      <c r="AX108" s="208">
        <v>233</v>
      </c>
      <c r="AY108" s="224">
        <v>59</v>
      </c>
      <c r="AZ108" s="225">
        <v>4</v>
      </c>
      <c r="BA108" s="226">
        <v>17</v>
      </c>
      <c r="BB108" s="214">
        <v>80</v>
      </c>
    </row>
    <row r="109" spans="1:54" ht="15.75" x14ac:dyDescent="0.25">
      <c r="A109" s="215">
        <v>45034</v>
      </c>
      <c r="B109" s="223" t="s">
        <v>324</v>
      </c>
      <c r="C109" s="223">
        <v>2</v>
      </c>
      <c r="D109" s="223" t="s">
        <v>291</v>
      </c>
      <c r="E109" s="223">
        <v>106</v>
      </c>
      <c r="F109" s="223">
        <v>74</v>
      </c>
      <c r="G109" s="223">
        <v>92</v>
      </c>
      <c r="H109" s="202">
        <v>166</v>
      </c>
      <c r="I109" s="223">
        <v>189</v>
      </c>
      <c r="J109" s="223">
        <v>69</v>
      </c>
      <c r="K109" s="204">
        <v>258</v>
      </c>
      <c r="L109" s="217">
        <v>530</v>
      </c>
      <c r="M109" s="224">
        <v>148</v>
      </c>
      <c r="N109" s="224">
        <v>26</v>
      </c>
      <c r="O109" s="224">
        <v>92</v>
      </c>
      <c r="P109" s="206">
        <v>266</v>
      </c>
      <c r="Q109" s="218">
        <v>108</v>
      </c>
      <c r="R109" s="218">
        <v>13</v>
      </c>
      <c r="S109" s="218">
        <v>67</v>
      </c>
      <c r="T109" s="207">
        <v>188</v>
      </c>
      <c r="U109" s="208">
        <v>138</v>
      </c>
      <c r="V109" s="208">
        <v>23</v>
      </c>
      <c r="W109" s="208">
        <v>97</v>
      </c>
      <c r="X109" s="208">
        <v>258</v>
      </c>
      <c r="Y109" s="224">
        <v>118</v>
      </c>
      <c r="Z109" s="225">
        <v>16</v>
      </c>
      <c r="AA109" s="226">
        <v>62</v>
      </c>
      <c r="AB109" s="210">
        <v>196</v>
      </c>
      <c r="AC109" s="221">
        <v>45034</v>
      </c>
      <c r="AD109" s="223" t="s">
        <v>324</v>
      </c>
      <c r="AE109" s="223">
        <v>1</v>
      </c>
      <c r="AF109" s="223" t="s">
        <v>298</v>
      </c>
      <c r="AG109" s="223">
        <v>42</v>
      </c>
      <c r="AH109" s="223">
        <v>229</v>
      </c>
      <c r="AI109" s="223">
        <v>154</v>
      </c>
      <c r="AJ109" s="223">
        <v>39</v>
      </c>
      <c r="AK109" s="204">
        <v>193</v>
      </c>
      <c r="AL109" s="222">
        <v>464</v>
      </c>
      <c r="AM109" s="224">
        <v>127</v>
      </c>
      <c r="AN109" s="224">
        <v>10</v>
      </c>
      <c r="AO109" s="224">
        <v>57</v>
      </c>
      <c r="AP109" s="213">
        <v>194</v>
      </c>
      <c r="AQ109" s="218">
        <v>43</v>
      </c>
      <c r="AR109" s="218">
        <v>6</v>
      </c>
      <c r="AS109" s="218">
        <v>41</v>
      </c>
      <c r="AT109" s="207">
        <v>90</v>
      </c>
      <c r="AU109" s="208">
        <v>131</v>
      </c>
      <c r="AV109" s="208">
        <v>12</v>
      </c>
      <c r="AW109" s="208">
        <v>50</v>
      </c>
      <c r="AX109" s="208">
        <v>193</v>
      </c>
      <c r="AY109" s="224">
        <v>39</v>
      </c>
      <c r="AZ109" s="225">
        <v>4</v>
      </c>
      <c r="BA109" s="226">
        <v>48</v>
      </c>
      <c r="BB109" s="214">
        <v>91</v>
      </c>
    </row>
    <row r="110" spans="1:54" ht="15.75" x14ac:dyDescent="0.25">
      <c r="A110" s="215">
        <v>45035</v>
      </c>
      <c r="B110" s="223" t="s">
        <v>325</v>
      </c>
      <c r="C110" s="223">
        <v>2</v>
      </c>
      <c r="D110" s="223" t="s">
        <v>291</v>
      </c>
      <c r="E110" s="223">
        <v>116</v>
      </c>
      <c r="F110" s="223">
        <v>115</v>
      </c>
      <c r="G110" s="223">
        <v>75</v>
      </c>
      <c r="H110" s="202">
        <v>190</v>
      </c>
      <c r="I110" s="223">
        <v>183</v>
      </c>
      <c r="J110" s="223">
        <v>72</v>
      </c>
      <c r="K110" s="204">
        <v>255</v>
      </c>
      <c r="L110" s="217">
        <v>561</v>
      </c>
      <c r="M110" s="224">
        <v>142</v>
      </c>
      <c r="N110" s="224">
        <v>27</v>
      </c>
      <c r="O110" s="224">
        <v>87</v>
      </c>
      <c r="P110" s="206">
        <v>256</v>
      </c>
      <c r="Q110" s="218">
        <v>102</v>
      </c>
      <c r="R110" s="218">
        <v>19</v>
      </c>
      <c r="S110" s="218">
        <v>85</v>
      </c>
      <c r="T110" s="207">
        <v>206</v>
      </c>
      <c r="U110" s="208">
        <v>127</v>
      </c>
      <c r="V110" s="208">
        <v>29</v>
      </c>
      <c r="W110" s="208">
        <v>99</v>
      </c>
      <c r="X110" s="208">
        <v>255</v>
      </c>
      <c r="Y110" s="224">
        <v>117</v>
      </c>
      <c r="Z110" s="225">
        <v>17</v>
      </c>
      <c r="AA110" s="226">
        <v>73</v>
      </c>
      <c r="AB110" s="210">
        <v>207</v>
      </c>
      <c r="AC110" s="221">
        <v>45035</v>
      </c>
      <c r="AD110" s="223" t="s">
        <v>325</v>
      </c>
      <c r="AE110" s="223">
        <v>1</v>
      </c>
      <c r="AF110" s="223" t="s">
        <v>298</v>
      </c>
      <c r="AG110" s="223">
        <v>48</v>
      </c>
      <c r="AH110" s="223">
        <v>269</v>
      </c>
      <c r="AI110" s="223">
        <v>112</v>
      </c>
      <c r="AJ110" s="223">
        <v>53</v>
      </c>
      <c r="AK110" s="204">
        <v>165</v>
      </c>
      <c r="AL110" s="222">
        <v>482</v>
      </c>
      <c r="AM110" s="224">
        <v>86</v>
      </c>
      <c r="AN110" s="224">
        <v>9</v>
      </c>
      <c r="AO110" s="224">
        <v>46</v>
      </c>
      <c r="AP110" s="213">
        <v>141</v>
      </c>
      <c r="AQ110" s="218">
        <v>72</v>
      </c>
      <c r="AR110" s="218">
        <v>2</v>
      </c>
      <c r="AS110" s="218">
        <v>24</v>
      </c>
      <c r="AT110" s="207">
        <v>98</v>
      </c>
      <c r="AU110" s="208">
        <v>99</v>
      </c>
      <c r="AV110" s="208">
        <v>11</v>
      </c>
      <c r="AW110" s="208">
        <v>55</v>
      </c>
      <c r="AX110" s="208">
        <v>165</v>
      </c>
      <c r="AY110" s="224">
        <v>59</v>
      </c>
      <c r="AZ110" s="225">
        <v>0</v>
      </c>
      <c r="BA110" s="226">
        <v>15</v>
      </c>
      <c r="BB110" s="214">
        <v>74</v>
      </c>
    </row>
    <row r="111" spans="1:54" ht="15.75" x14ac:dyDescent="0.25">
      <c r="A111" s="215">
        <v>45036</v>
      </c>
      <c r="B111" s="223" t="s">
        <v>326</v>
      </c>
      <c r="C111" s="223">
        <v>4</v>
      </c>
      <c r="D111" s="223" t="s">
        <v>291</v>
      </c>
      <c r="E111" s="223">
        <v>147</v>
      </c>
      <c r="F111" s="223">
        <v>104</v>
      </c>
      <c r="G111" s="223">
        <v>94</v>
      </c>
      <c r="H111" s="202">
        <v>198</v>
      </c>
      <c r="I111" s="223">
        <v>166</v>
      </c>
      <c r="J111" s="223">
        <v>94</v>
      </c>
      <c r="K111" s="204">
        <v>260</v>
      </c>
      <c r="L111" s="217">
        <v>605</v>
      </c>
      <c r="M111" s="224">
        <v>168</v>
      </c>
      <c r="N111" s="224">
        <v>17</v>
      </c>
      <c r="O111" s="224">
        <v>62</v>
      </c>
      <c r="P111" s="206">
        <v>247</v>
      </c>
      <c r="Q111" s="218">
        <v>130</v>
      </c>
      <c r="R111" s="218">
        <v>24</v>
      </c>
      <c r="S111" s="218">
        <v>94</v>
      </c>
      <c r="T111" s="207">
        <v>248</v>
      </c>
      <c r="U111" s="208">
        <v>154</v>
      </c>
      <c r="V111" s="208">
        <v>24</v>
      </c>
      <c r="W111" s="208">
        <v>82</v>
      </c>
      <c r="X111" s="208">
        <v>260</v>
      </c>
      <c r="Y111" s="224">
        <v>144</v>
      </c>
      <c r="Z111" s="225">
        <v>17</v>
      </c>
      <c r="AA111" s="226">
        <v>74</v>
      </c>
      <c r="AB111" s="210">
        <v>235</v>
      </c>
      <c r="AC111" s="221">
        <v>45036</v>
      </c>
      <c r="AD111" s="223" t="s">
        <v>326</v>
      </c>
      <c r="AE111" s="223">
        <v>3</v>
      </c>
      <c r="AF111" s="223" t="s">
        <v>298</v>
      </c>
      <c r="AG111" s="223">
        <v>72</v>
      </c>
      <c r="AH111" s="223">
        <v>305</v>
      </c>
      <c r="AI111" s="223">
        <v>142</v>
      </c>
      <c r="AJ111" s="223">
        <v>65</v>
      </c>
      <c r="AK111" s="204">
        <v>207</v>
      </c>
      <c r="AL111" s="222">
        <v>584</v>
      </c>
      <c r="AM111" s="224">
        <v>100</v>
      </c>
      <c r="AN111" s="224">
        <v>15</v>
      </c>
      <c r="AO111" s="224">
        <v>81</v>
      </c>
      <c r="AP111" s="213">
        <v>196</v>
      </c>
      <c r="AQ111" s="218">
        <v>66</v>
      </c>
      <c r="AR111" s="218">
        <v>3</v>
      </c>
      <c r="AS111" s="218">
        <v>53</v>
      </c>
      <c r="AT111" s="207">
        <v>122</v>
      </c>
      <c r="AU111" s="208">
        <v>119</v>
      </c>
      <c r="AV111" s="208">
        <v>12</v>
      </c>
      <c r="AW111" s="208">
        <v>76</v>
      </c>
      <c r="AX111" s="208">
        <v>207</v>
      </c>
      <c r="AY111" s="224">
        <v>47</v>
      </c>
      <c r="AZ111" s="225">
        <v>6</v>
      </c>
      <c r="BA111" s="226">
        <v>58</v>
      </c>
      <c r="BB111" s="214">
        <v>111</v>
      </c>
    </row>
    <row r="112" spans="1:54" ht="15.75" x14ac:dyDescent="0.25">
      <c r="A112" s="215">
        <v>45037</v>
      </c>
      <c r="B112" s="223" t="s">
        <v>327</v>
      </c>
      <c r="C112" s="223">
        <v>4</v>
      </c>
      <c r="D112" s="223" t="s">
        <v>291</v>
      </c>
      <c r="E112" s="223">
        <v>150</v>
      </c>
      <c r="F112" s="223">
        <v>86</v>
      </c>
      <c r="G112" s="223">
        <v>124</v>
      </c>
      <c r="H112" s="202">
        <v>210</v>
      </c>
      <c r="I112" s="223">
        <v>187</v>
      </c>
      <c r="J112" s="223">
        <v>88</v>
      </c>
      <c r="K112" s="204">
        <v>275</v>
      </c>
      <c r="L112" s="217">
        <v>635</v>
      </c>
      <c r="M112" s="224">
        <v>133</v>
      </c>
      <c r="N112" s="224">
        <v>27</v>
      </c>
      <c r="O112" s="224">
        <v>80</v>
      </c>
      <c r="P112" s="206">
        <v>240</v>
      </c>
      <c r="Q112" s="218">
        <v>140</v>
      </c>
      <c r="R112" s="218">
        <v>24</v>
      </c>
      <c r="S112" s="218">
        <v>78</v>
      </c>
      <c r="T112" s="207">
        <v>242</v>
      </c>
      <c r="U112" s="208">
        <v>154</v>
      </c>
      <c r="V112" s="208">
        <v>28</v>
      </c>
      <c r="W112" s="208">
        <v>93</v>
      </c>
      <c r="X112" s="208">
        <v>275</v>
      </c>
      <c r="Y112" s="224">
        <v>119</v>
      </c>
      <c r="Z112" s="225">
        <v>23</v>
      </c>
      <c r="AA112" s="226">
        <v>65</v>
      </c>
      <c r="AB112" s="210">
        <v>207</v>
      </c>
      <c r="AC112" s="221">
        <v>45037</v>
      </c>
      <c r="AD112" s="223" t="s">
        <v>327</v>
      </c>
      <c r="AE112" s="223">
        <v>3</v>
      </c>
      <c r="AF112" s="223" t="s">
        <v>298</v>
      </c>
      <c r="AG112" s="223">
        <v>27</v>
      </c>
      <c r="AH112" s="223">
        <v>252</v>
      </c>
      <c r="AI112" s="223">
        <v>159</v>
      </c>
      <c r="AJ112" s="223">
        <v>72</v>
      </c>
      <c r="AK112" s="204">
        <v>231</v>
      </c>
      <c r="AL112" s="222">
        <v>510</v>
      </c>
      <c r="AM112" s="224">
        <v>125</v>
      </c>
      <c r="AN112" s="224">
        <v>14</v>
      </c>
      <c r="AO112" s="224">
        <v>60</v>
      </c>
      <c r="AP112" s="213">
        <v>199</v>
      </c>
      <c r="AQ112" s="218">
        <v>69</v>
      </c>
      <c r="AR112" s="218">
        <v>4</v>
      </c>
      <c r="AS112" s="218">
        <v>56</v>
      </c>
      <c r="AT112" s="207">
        <v>129</v>
      </c>
      <c r="AU112" s="208">
        <v>144</v>
      </c>
      <c r="AV112" s="208">
        <v>13</v>
      </c>
      <c r="AW112" s="208">
        <v>74</v>
      </c>
      <c r="AX112" s="208">
        <v>231</v>
      </c>
      <c r="AY112" s="224">
        <v>50</v>
      </c>
      <c r="AZ112" s="225">
        <v>5</v>
      </c>
      <c r="BA112" s="226">
        <v>42</v>
      </c>
      <c r="BB112" s="214">
        <v>97</v>
      </c>
    </row>
    <row r="113" spans="1:54" ht="15.75" x14ac:dyDescent="0.25">
      <c r="A113" s="215">
        <v>45038</v>
      </c>
      <c r="B113" s="223" t="s">
        <v>321</v>
      </c>
      <c r="C113" s="223">
        <v>1</v>
      </c>
      <c r="D113" s="223" t="s">
        <v>291</v>
      </c>
      <c r="E113" s="223">
        <v>114</v>
      </c>
      <c r="F113" s="223">
        <v>115</v>
      </c>
      <c r="G113" s="223">
        <v>90</v>
      </c>
      <c r="H113" s="202">
        <v>205</v>
      </c>
      <c r="I113" s="223">
        <v>194</v>
      </c>
      <c r="J113" s="223">
        <v>78</v>
      </c>
      <c r="K113" s="204">
        <v>272</v>
      </c>
      <c r="L113" s="217">
        <v>591</v>
      </c>
      <c r="M113" s="224">
        <v>141</v>
      </c>
      <c r="N113" s="224">
        <v>18</v>
      </c>
      <c r="O113" s="224">
        <v>88</v>
      </c>
      <c r="P113" s="206">
        <v>247</v>
      </c>
      <c r="Q113" s="218">
        <v>128</v>
      </c>
      <c r="R113" s="218">
        <v>16</v>
      </c>
      <c r="S113" s="218">
        <v>86</v>
      </c>
      <c r="T113" s="207">
        <v>230</v>
      </c>
      <c r="U113" s="208">
        <v>141</v>
      </c>
      <c r="V113" s="208">
        <v>21</v>
      </c>
      <c r="W113" s="208">
        <v>110</v>
      </c>
      <c r="X113" s="208">
        <v>272</v>
      </c>
      <c r="Y113" s="224">
        <v>128</v>
      </c>
      <c r="Z113" s="225">
        <v>13</v>
      </c>
      <c r="AA113" s="226">
        <v>64</v>
      </c>
      <c r="AB113" s="210">
        <v>205</v>
      </c>
      <c r="AC113" s="221">
        <v>45038</v>
      </c>
      <c r="AD113" s="223" t="s">
        <v>321</v>
      </c>
      <c r="AE113" s="223">
        <v>2</v>
      </c>
      <c r="AF113" s="223" t="s">
        <v>298</v>
      </c>
      <c r="AG113" s="223">
        <v>27</v>
      </c>
      <c r="AH113" s="223">
        <v>262</v>
      </c>
      <c r="AI113" s="223">
        <v>157</v>
      </c>
      <c r="AJ113" s="223">
        <v>64</v>
      </c>
      <c r="AK113" s="204">
        <v>221</v>
      </c>
      <c r="AL113" s="222">
        <v>510</v>
      </c>
      <c r="AM113" s="224">
        <v>100</v>
      </c>
      <c r="AN113" s="224">
        <v>10</v>
      </c>
      <c r="AO113" s="224">
        <v>90</v>
      </c>
      <c r="AP113" s="213">
        <v>200</v>
      </c>
      <c r="AQ113" s="218">
        <v>68</v>
      </c>
      <c r="AR113" s="218">
        <v>3</v>
      </c>
      <c r="AS113" s="218">
        <v>62</v>
      </c>
      <c r="AT113" s="207">
        <v>133</v>
      </c>
      <c r="AU113" s="208">
        <v>131</v>
      </c>
      <c r="AV113" s="208">
        <v>11</v>
      </c>
      <c r="AW113" s="208">
        <v>79</v>
      </c>
      <c r="AX113" s="208">
        <v>221</v>
      </c>
      <c r="AY113" s="224">
        <v>37</v>
      </c>
      <c r="AZ113" s="225">
        <v>2</v>
      </c>
      <c r="BA113" s="226">
        <v>73</v>
      </c>
      <c r="BB113" s="214">
        <v>112</v>
      </c>
    </row>
    <row r="114" spans="1:54" ht="15.75" x14ac:dyDescent="0.25">
      <c r="A114" s="215">
        <v>45039</v>
      </c>
      <c r="B114" s="223" t="s">
        <v>322</v>
      </c>
      <c r="C114" s="223">
        <v>1</v>
      </c>
      <c r="D114" s="223" t="s">
        <v>291</v>
      </c>
      <c r="E114" s="223">
        <v>118</v>
      </c>
      <c r="F114" s="223">
        <v>102</v>
      </c>
      <c r="G114" s="223">
        <v>102</v>
      </c>
      <c r="H114" s="202">
        <v>204</v>
      </c>
      <c r="I114" s="223">
        <v>163</v>
      </c>
      <c r="J114" s="223">
        <v>52</v>
      </c>
      <c r="K114" s="204">
        <v>215</v>
      </c>
      <c r="L114" s="217">
        <v>537</v>
      </c>
      <c r="M114" s="224">
        <v>128</v>
      </c>
      <c r="N114" s="224">
        <v>19</v>
      </c>
      <c r="O114" s="224">
        <v>80</v>
      </c>
      <c r="P114" s="206">
        <v>227</v>
      </c>
      <c r="Q114" s="218">
        <v>117</v>
      </c>
      <c r="R114" s="218">
        <v>26</v>
      </c>
      <c r="S114" s="218">
        <v>52</v>
      </c>
      <c r="T114" s="207">
        <v>195</v>
      </c>
      <c r="U114" s="208">
        <v>117</v>
      </c>
      <c r="V114" s="208">
        <v>16</v>
      </c>
      <c r="W114" s="208">
        <v>82</v>
      </c>
      <c r="X114" s="208">
        <v>215</v>
      </c>
      <c r="Y114" s="224">
        <v>128</v>
      </c>
      <c r="Z114" s="225">
        <v>29</v>
      </c>
      <c r="AA114" s="226">
        <v>50</v>
      </c>
      <c r="AB114" s="210">
        <v>207</v>
      </c>
      <c r="AC114" s="221">
        <v>45039</v>
      </c>
      <c r="AD114" s="223" t="s">
        <v>322</v>
      </c>
      <c r="AE114" s="223">
        <v>2</v>
      </c>
      <c r="AF114" s="223" t="s">
        <v>298</v>
      </c>
      <c r="AG114" s="223">
        <v>24</v>
      </c>
      <c r="AH114" s="223">
        <v>253</v>
      </c>
      <c r="AI114" s="223">
        <v>147</v>
      </c>
      <c r="AJ114" s="223">
        <v>58</v>
      </c>
      <c r="AK114" s="204">
        <v>205</v>
      </c>
      <c r="AL114" s="222">
        <v>482</v>
      </c>
      <c r="AM114" s="224">
        <v>104</v>
      </c>
      <c r="AN114" s="224">
        <v>13</v>
      </c>
      <c r="AO114" s="224">
        <v>47</v>
      </c>
      <c r="AP114" s="213">
        <v>164</v>
      </c>
      <c r="AQ114" s="218">
        <v>61</v>
      </c>
      <c r="AR114" s="218">
        <v>3</v>
      </c>
      <c r="AS114" s="218">
        <v>30</v>
      </c>
      <c r="AT114" s="207">
        <v>94</v>
      </c>
      <c r="AU114" s="208">
        <v>148</v>
      </c>
      <c r="AV114" s="208">
        <v>15</v>
      </c>
      <c r="AW114" s="208">
        <v>42</v>
      </c>
      <c r="AX114" s="208">
        <v>205</v>
      </c>
      <c r="AY114" s="224">
        <v>17</v>
      </c>
      <c r="AZ114" s="225">
        <v>1</v>
      </c>
      <c r="BA114" s="226">
        <v>35</v>
      </c>
      <c r="BB114" s="214">
        <v>53</v>
      </c>
    </row>
    <row r="115" spans="1:54" ht="15.75" x14ac:dyDescent="0.25">
      <c r="A115" s="215">
        <v>45040</v>
      </c>
      <c r="B115" s="223" t="s">
        <v>323</v>
      </c>
      <c r="C115" s="223">
        <v>3</v>
      </c>
      <c r="D115" s="223" t="s">
        <v>291</v>
      </c>
      <c r="E115" s="223">
        <v>91</v>
      </c>
      <c r="F115" s="223">
        <v>87</v>
      </c>
      <c r="G115" s="223">
        <v>101</v>
      </c>
      <c r="H115" s="202">
        <v>188</v>
      </c>
      <c r="I115" s="223">
        <v>139</v>
      </c>
      <c r="J115" s="223">
        <v>52</v>
      </c>
      <c r="K115" s="204">
        <v>191</v>
      </c>
      <c r="L115" s="217">
        <v>470</v>
      </c>
      <c r="M115" s="224">
        <v>131</v>
      </c>
      <c r="N115" s="224">
        <v>31</v>
      </c>
      <c r="O115" s="224">
        <v>51</v>
      </c>
      <c r="P115" s="206">
        <v>213</v>
      </c>
      <c r="Q115" s="218">
        <v>99</v>
      </c>
      <c r="R115" s="218">
        <v>19</v>
      </c>
      <c r="S115" s="218">
        <v>41</v>
      </c>
      <c r="T115" s="207">
        <v>159</v>
      </c>
      <c r="U115" s="208">
        <v>108</v>
      </c>
      <c r="V115" s="208">
        <v>29</v>
      </c>
      <c r="W115" s="208">
        <v>54</v>
      </c>
      <c r="X115" s="208">
        <v>191</v>
      </c>
      <c r="Y115" s="224">
        <v>122</v>
      </c>
      <c r="Z115" s="225">
        <v>21</v>
      </c>
      <c r="AA115" s="226">
        <v>38</v>
      </c>
      <c r="AB115" s="210">
        <v>181</v>
      </c>
      <c r="AC115" s="221">
        <v>45040</v>
      </c>
      <c r="AD115" s="223" t="s">
        <v>323</v>
      </c>
      <c r="AE115" s="223">
        <v>4</v>
      </c>
      <c r="AF115" s="223" t="s">
        <v>298</v>
      </c>
      <c r="AG115" s="223">
        <v>23</v>
      </c>
      <c r="AH115" s="223">
        <v>245</v>
      </c>
      <c r="AI115" s="223">
        <v>171</v>
      </c>
      <c r="AJ115" s="223">
        <v>100</v>
      </c>
      <c r="AK115" s="204">
        <v>271</v>
      </c>
      <c r="AL115" s="222">
        <v>539</v>
      </c>
      <c r="AM115" s="227">
        <v>127</v>
      </c>
      <c r="AN115" s="227">
        <v>22</v>
      </c>
      <c r="AO115" s="227">
        <v>50</v>
      </c>
      <c r="AP115" s="213">
        <v>199</v>
      </c>
      <c r="AQ115" s="228">
        <v>75</v>
      </c>
      <c r="AR115" s="228">
        <v>9</v>
      </c>
      <c r="AS115" s="228">
        <v>68</v>
      </c>
      <c r="AT115" s="207">
        <v>152</v>
      </c>
      <c r="AU115" s="208">
        <v>173</v>
      </c>
      <c r="AV115" s="208">
        <v>14</v>
      </c>
      <c r="AW115" s="208">
        <v>84</v>
      </c>
      <c r="AX115" s="208">
        <v>271</v>
      </c>
      <c r="AY115" s="227">
        <v>29</v>
      </c>
      <c r="AZ115" s="229">
        <v>17</v>
      </c>
      <c r="BA115" s="230">
        <v>34</v>
      </c>
      <c r="BB115" s="214">
        <v>80</v>
      </c>
    </row>
    <row r="116" spans="1:54" ht="15.75" x14ac:dyDescent="0.25">
      <c r="A116" s="215">
        <v>45041</v>
      </c>
      <c r="B116" s="223" t="s">
        <v>324</v>
      </c>
      <c r="C116" s="223">
        <v>3</v>
      </c>
      <c r="D116" s="223" t="s">
        <v>291</v>
      </c>
      <c r="E116" s="223">
        <v>104</v>
      </c>
      <c r="F116" s="223">
        <v>69</v>
      </c>
      <c r="G116" s="223">
        <v>96</v>
      </c>
      <c r="H116" s="202">
        <v>165</v>
      </c>
      <c r="I116" s="223">
        <v>132</v>
      </c>
      <c r="J116" s="223">
        <v>60</v>
      </c>
      <c r="K116" s="204">
        <v>192</v>
      </c>
      <c r="L116" s="217">
        <v>461</v>
      </c>
      <c r="M116" s="227">
        <v>158</v>
      </c>
      <c r="N116" s="227">
        <v>22</v>
      </c>
      <c r="O116" s="227">
        <v>48</v>
      </c>
      <c r="P116" s="206">
        <v>228</v>
      </c>
      <c r="Q116" s="228">
        <v>120</v>
      </c>
      <c r="R116" s="228">
        <v>12</v>
      </c>
      <c r="S116" s="228">
        <v>47</v>
      </c>
      <c r="T116" s="207">
        <v>179</v>
      </c>
      <c r="U116" s="208">
        <v>133</v>
      </c>
      <c r="V116" s="208">
        <v>13</v>
      </c>
      <c r="W116" s="208">
        <v>46</v>
      </c>
      <c r="X116" s="208">
        <v>192</v>
      </c>
      <c r="Y116" s="227">
        <v>145</v>
      </c>
      <c r="Z116" s="229">
        <v>21</v>
      </c>
      <c r="AA116" s="230">
        <v>49</v>
      </c>
      <c r="AB116" s="210">
        <v>215</v>
      </c>
      <c r="AC116" s="221">
        <v>45041</v>
      </c>
      <c r="AD116" s="223" t="s">
        <v>324</v>
      </c>
      <c r="AE116" s="223">
        <v>4</v>
      </c>
      <c r="AF116" s="223" t="s">
        <v>298</v>
      </c>
      <c r="AG116" s="223">
        <v>55</v>
      </c>
      <c r="AH116" s="223">
        <v>236</v>
      </c>
      <c r="AI116" s="223">
        <v>119</v>
      </c>
      <c r="AJ116" s="223">
        <v>73</v>
      </c>
      <c r="AK116" s="204">
        <v>192</v>
      </c>
      <c r="AL116" s="222">
        <v>483</v>
      </c>
      <c r="AM116" s="227">
        <v>102</v>
      </c>
      <c r="AN116" s="227">
        <v>15</v>
      </c>
      <c r="AO116" s="227">
        <v>31</v>
      </c>
      <c r="AP116" s="213">
        <v>148</v>
      </c>
      <c r="AQ116" s="228">
        <v>83</v>
      </c>
      <c r="AR116" s="228">
        <v>4</v>
      </c>
      <c r="AS116" s="228">
        <v>33</v>
      </c>
      <c r="AT116" s="207">
        <v>120</v>
      </c>
      <c r="AU116" s="208">
        <v>115</v>
      </c>
      <c r="AV116" s="208">
        <v>20</v>
      </c>
      <c r="AW116" s="208">
        <v>57</v>
      </c>
      <c r="AX116" s="208">
        <v>192</v>
      </c>
      <c r="AY116" s="227">
        <v>70</v>
      </c>
      <c r="AZ116" s="229">
        <v>-1</v>
      </c>
      <c r="BA116" s="230">
        <v>7</v>
      </c>
      <c r="BB116" s="214">
        <v>76</v>
      </c>
    </row>
    <row r="117" spans="1:54" ht="15.75" x14ac:dyDescent="0.25">
      <c r="A117" s="215">
        <v>45042</v>
      </c>
      <c r="B117" s="223" t="s">
        <v>325</v>
      </c>
      <c r="C117" s="223">
        <v>2</v>
      </c>
      <c r="D117" s="223" t="s">
        <v>291</v>
      </c>
      <c r="E117" s="223">
        <v>125</v>
      </c>
      <c r="F117" s="223">
        <v>89</v>
      </c>
      <c r="G117" s="223">
        <v>81</v>
      </c>
      <c r="H117" s="202">
        <v>170</v>
      </c>
      <c r="I117" s="223">
        <v>158</v>
      </c>
      <c r="J117" s="223">
        <v>62</v>
      </c>
      <c r="K117" s="204">
        <v>220</v>
      </c>
      <c r="L117" s="217">
        <v>515</v>
      </c>
      <c r="M117" s="227">
        <v>146</v>
      </c>
      <c r="N117" s="227">
        <v>27</v>
      </c>
      <c r="O117" s="227">
        <v>62</v>
      </c>
      <c r="P117" s="206">
        <v>235</v>
      </c>
      <c r="Q117" s="228">
        <v>119</v>
      </c>
      <c r="R117" s="228">
        <v>22</v>
      </c>
      <c r="S117" s="228">
        <v>45</v>
      </c>
      <c r="T117" s="207">
        <v>186</v>
      </c>
      <c r="U117" s="208">
        <v>134</v>
      </c>
      <c r="V117" s="208">
        <v>29</v>
      </c>
      <c r="W117" s="208">
        <v>57</v>
      </c>
      <c r="X117" s="208">
        <v>220</v>
      </c>
      <c r="Y117" s="227">
        <v>131</v>
      </c>
      <c r="Z117" s="229">
        <v>20</v>
      </c>
      <c r="AA117" s="230">
        <v>50</v>
      </c>
      <c r="AB117" s="210">
        <v>201</v>
      </c>
      <c r="AC117" s="221">
        <v>45042</v>
      </c>
      <c r="AD117" s="223" t="s">
        <v>325</v>
      </c>
      <c r="AE117" s="223">
        <v>1</v>
      </c>
      <c r="AF117" s="223" t="s">
        <v>298</v>
      </c>
      <c r="AG117" s="223">
        <v>31</v>
      </c>
      <c r="AH117" s="223">
        <v>220</v>
      </c>
      <c r="AI117" s="223">
        <v>123</v>
      </c>
      <c r="AJ117" s="223">
        <v>26</v>
      </c>
      <c r="AK117" s="204">
        <v>149</v>
      </c>
      <c r="AL117" s="222">
        <v>400</v>
      </c>
      <c r="AM117" s="227">
        <v>106</v>
      </c>
      <c r="AN117" s="227">
        <v>9</v>
      </c>
      <c r="AO117" s="227">
        <v>42</v>
      </c>
      <c r="AP117" s="213">
        <v>157</v>
      </c>
      <c r="AQ117" s="228">
        <v>68</v>
      </c>
      <c r="AR117" s="228">
        <v>7</v>
      </c>
      <c r="AS117" s="228">
        <v>20</v>
      </c>
      <c r="AT117" s="207">
        <v>95</v>
      </c>
      <c r="AU117" s="208">
        <v>99</v>
      </c>
      <c r="AV117" s="208">
        <v>10</v>
      </c>
      <c r="AW117" s="208">
        <v>40</v>
      </c>
      <c r="AX117" s="208">
        <v>149</v>
      </c>
      <c r="AY117" s="227">
        <v>75</v>
      </c>
      <c r="AZ117" s="229">
        <v>6</v>
      </c>
      <c r="BA117" s="230">
        <v>22</v>
      </c>
      <c r="BB117" s="214">
        <v>103</v>
      </c>
    </row>
    <row r="118" spans="1:54" ht="15.75" x14ac:dyDescent="0.25">
      <c r="A118" s="215">
        <v>45043</v>
      </c>
      <c r="B118" s="223" t="s">
        <v>326</v>
      </c>
      <c r="C118" s="223">
        <v>2</v>
      </c>
      <c r="D118" s="223" t="s">
        <v>291</v>
      </c>
      <c r="E118" s="223">
        <v>126</v>
      </c>
      <c r="F118" s="223">
        <v>91</v>
      </c>
      <c r="G118" s="223">
        <v>100</v>
      </c>
      <c r="H118" s="202">
        <v>191</v>
      </c>
      <c r="I118" s="223">
        <v>149</v>
      </c>
      <c r="J118" s="223">
        <v>76</v>
      </c>
      <c r="K118" s="204">
        <v>225</v>
      </c>
      <c r="L118" s="217">
        <v>542</v>
      </c>
      <c r="M118" s="227">
        <v>148</v>
      </c>
      <c r="N118" s="227">
        <v>17</v>
      </c>
      <c r="O118" s="227">
        <v>75</v>
      </c>
      <c r="P118" s="206">
        <v>240</v>
      </c>
      <c r="Q118" s="228">
        <v>124</v>
      </c>
      <c r="R118" s="228">
        <v>23</v>
      </c>
      <c r="S118" s="228">
        <v>44</v>
      </c>
      <c r="T118" s="207">
        <v>191</v>
      </c>
      <c r="U118" s="208">
        <v>143</v>
      </c>
      <c r="V118" s="208">
        <v>22</v>
      </c>
      <c r="W118" s="208">
        <v>60</v>
      </c>
      <c r="X118" s="208">
        <v>225</v>
      </c>
      <c r="Y118" s="227">
        <v>129</v>
      </c>
      <c r="Z118" s="229">
        <v>18</v>
      </c>
      <c r="AA118" s="230">
        <v>59</v>
      </c>
      <c r="AB118" s="210">
        <v>206</v>
      </c>
      <c r="AC118" s="221">
        <v>45043</v>
      </c>
      <c r="AD118" s="223" t="s">
        <v>326</v>
      </c>
      <c r="AE118" s="223">
        <v>1</v>
      </c>
      <c r="AF118" s="223" t="s">
        <v>298</v>
      </c>
      <c r="AG118" s="223">
        <v>38</v>
      </c>
      <c r="AH118" s="223">
        <v>245</v>
      </c>
      <c r="AI118" s="223">
        <v>133</v>
      </c>
      <c r="AJ118" s="223">
        <v>76</v>
      </c>
      <c r="AK118" s="204">
        <v>209</v>
      </c>
      <c r="AL118" s="222">
        <v>492</v>
      </c>
      <c r="AM118" s="227">
        <v>116</v>
      </c>
      <c r="AN118" s="227">
        <v>12</v>
      </c>
      <c r="AO118" s="227">
        <v>43</v>
      </c>
      <c r="AP118" s="213">
        <v>171</v>
      </c>
      <c r="AQ118" s="228">
        <v>83</v>
      </c>
      <c r="AR118" s="228">
        <v>6</v>
      </c>
      <c r="AS118" s="228">
        <v>29</v>
      </c>
      <c r="AT118" s="207">
        <v>118</v>
      </c>
      <c r="AU118" s="208">
        <v>147</v>
      </c>
      <c r="AV118" s="208">
        <v>16</v>
      </c>
      <c r="AW118" s="208">
        <v>46</v>
      </c>
      <c r="AX118" s="208">
        <v>209</v>
      </c>
      <c r="AY118" s="227">
        <v>52</v>
      </c>
      <c r="AZ118" s="229">
        <v>2</v>
      </c>
      <c r="BA118" s="230">
        <v>26</v>
      </c>
      <c r="BB118" s="214">
        <v>80</v>
      </c>
    </row>
    <row r="119" spans="1:54" ht="15.75" x14ac:dyDescent="0.25">
      <c r="A119" s="215">
        <v>45044</v>
      </c>
      <c r="B119" s="223" t="s">
        <v>327</v>
      </c>
      <c r="C119" s="223">
        <v>4</v>
      </c>
      <c r="D119" s="223" t="s">
        <v>291</v>
      </c>
      <c r="E119" s="223">
        <v>143</v>
      </c>
      <c r="F119" s="223">
        <v>80</v>
      </c>
      <c r="G119" s="223">
        <v>108</v>
      </c>
      <c r="H119" s="202">
        <v>188</v>
      </c>
      <c r="I119" s="223">
        <v>169</v>
      </c>
      <c r="J119" s="223">
        <v>83</v>
      </c>
      <c r="K119" s="204">
        <v>252</v>
      </c>
      <c r="L119" s="217">
        <v>583</v>
      </c>
      <c r="M119" s="227">
        <v>170</v>
      </c>
      <c r="N119" s="227">
        <v>20</v>
      </c>
      <c r="O119" s="227">
        <v>52</v>
      </c>
      <c r="P119" s="206">
        <v>242</v>
      </c>
      <c r="Q119" s="228">
        <v>112</v>
      </c>
      <c r="R119" s="228">
        <v>25</v>
      </c>
      <c r="S119" s="228">
        <v>57</v>
      </c>
      <c r="T119" s="207">
        <v>194</v>
      </c>
      <c r="U119" s="208">
        <v>150</v>
      </c>
      <c r="V119" s="208">
        <v>33</v>
      </c>
      <c r="W119" s="208">
        <v>69</v>
      </c>
      <c r="X119" s="208">
        <v>252</v>
      </c>
      <c r="Y119" s="227">
        <v>132</v>
      </c>
      <c r="Z119" s="229">
        <v>12</v>
      </c>
      <c r="AA119" s="230">
        <v>40</v>
      </c>
      <c r="AB119" s="210">
        <v>184</v>
      </c>
      <c r="AC119" s="221">
        <v>45044</v>
      </c>
      <c r="AD119" s="223" t="s">
        <v>327</v>
      </c>
      <c r="AE119" s="223">
        <v>3</v>
      </c>
      <c r="AF119" s="223" t="s">
        <v>298</v>
      </c>
      <c r="AG119" s="223">
        <v>41</v>
      </c>
      <c r="AH119" s="223">
        <v>266</v>
      </c>
      <c r="AI119" s="223">
        <v>140</v>
      </c>
      <c r="AJ119" s="223">
        <v>65</v>
      </c>
      <c r="AK119" s="204">
        <v>205</v>
      </c>
      <c r="AL119" s="222">
        <v>512</v>
      </c>
      <c r="AM119" s="227">
        <v>126</v>
      </c>
      <c r="AN119" s="227">
        <v>13</v>
      </c>
      <c r="AO119" s="227">
        <v>49</v>
      </c>
      <c r="AP119" s="213">
        <v>188</v>
      </c>
      <c r="AQ119" s="228">
        <v>73</v>
      </c>
      <c r="AR119" s="228">
        <v>6</v>
      </c>
      <c r="AS119" s="228">
        <v>35</v>
      </c>
      <c r="AT119" s="207">
        <v>114</v>
      </c>
      <c r="AU119" s="208">
        <v>147</v>
      </c>
      <c r="AV119" s="208">
        <v>8</v>
      </c>
      <c r="AW119" s="208">
        <v>50</v>
      </c>
      <c r="AX119" s="208">
        <v>205</v>
      </c>
      <c r="AY119" s="227">
        <v>52</v>
      </c>
      <c r="AZ119" s="229">
        <v>11</v>
      </c>
      <c r="BA119" s="230">
        <v>34</v>
      </c>
      <c r="BB119" s="214">
        <v>97</v>
      </c>
    </row>
    <row r="120" spans="1:54" ht="15.75" x14ac:dyDescent="0.25">
      <c r="A120" s="215">
        <v>45045</v>
      </c>
      <c r="B120" s="223" t="s">
        <v>321</v>
      </c>
      <c r="C120" s="223">
        <v>4</v>
      </c>
      <c r="D120" s="223" t="s">
        <v>291</v>
      </c>
      <c r="E120" s="223">
        <v>132</v>
      </c>
      <c r="F120" s="223">
        <v>71</v>
      </c>
      <c r="G120" s="223">
        <v>89</v>
      </c>
      <c r="H120" s="202">
        <v>160</v>
      </c>
      <c r="I120" s="223">
        <v>163</v>
      </c>
      <c r="J120" s="223">
        <v>92</v>
      </c>
      <c r="K120" s="204">
        <v>255</v>
      </c>
      <c r="L120" s="217">
        <v>547</v>
      </c>
      <c r="M120" s="227">
        <v>165</v>
      </c>
      <c r="N120" s="227">
        <v>7</v>
      </c>
      <c r="O120" s="227">
        <v>70</v>
      </c>
      <c r="P120" s="206">
        <v>242</v>
      </c>
      <c r="Q120" s="228">
        <v>141</v>
      </c>
      <c r="R120" s="228">
        <v>9</v>
      </c>
      <c r="S120" s="228">
        <v>72</v>
      </c>
      <c r="T120" s="207">
        <v>222</v>
      </c>
      <c r="U120" s="208">
        <v>150</v>
      </c>
      <c r="V120" s="208">
        <v>15</v>
      </c>
      <c r="W120" s="208">
        <v>90</v>
      </c>
      <c r="X120" s="208">
        <v>255</v>
      </c>
      <c r="Y120" s="227">
        <v>156</v>
      </c>
      <c r="Z120" s="229">
        <v>1</v>
      </c>
      <c r="AA120" s="230">
        <v>52</v>
      </c>
      <c r="AB120" s="210">
        <v>209</v>
      </c>
      <c r="AC120" s="221">
        <v>45045</v>
      </c>
      <c r="AD120" s="223" t="s">
        <v>321</v>
      </c>
      <c r="AE120" s="223">
        <v>3</v>
      </c>
      <c r="AF120" s="223" t="s">
        <v>298</v>
      </c>
      <c r="AG120" s="223">
        <v>31</v>
      </c>
      <c r="AH120" s="223">
        <v>275</v>
      </c>
      <c r="AI120" s="223">
        <v>138</v>
      </c>
      <c r="AJ120" s="223">
        <v>72</v>
      </c>
      <c r="AK120" s="204">
        <v>210</v>
      </c>
      <c r="AL120" s="222">
        <v>516</v>
      </c>
      <c r="AM120" s="227">
        <v>125</v>
      </c>
      <c r="AN120" s="227">
        <v>11</v>
      </c>
      <c r="AO120" s="227">
        <v>61</v>
      </c>
      <c r="AP120" s="213">
        <v>197</v>
      </c>
      <c r="AQ120" s="228">
        <v>98</v>
      </c>
      <c r="AR120" s="228">
        <v>2</v>
      </c>
      <c r="AS120" s="228">
        <v>35</v>
      </c>
      <c r="AT120" s="207">
        <v>135</v>
      </c>
      <c r="AU120" s="208">
        <v>152</v>
      </c>
      <c r="AV120" s="208">
        <v>10</v>
      </c>
      <c r="AW120" s="208">
        <v>48</v>
      </c>
      <c r="AX120" s="208">
        <v>210</v>
      </c>
      <c r="AY120" s="227">
        <v>71</v>
      </c>
      <c r="AZ120" s="229">
        <v>3</v>
      </c>
      <c r="BA120" s="230">
        <v>48</v>
      </c>
      <c r="BB120" s="214">
        <v>122</v>
      </c>
    </row>
    <row r="121" spans="1:54" ht="15.75" x14ac:dyDescent="0.25">
      <c r="A121" s="215">
        <v>45046</v>
      </c>
      <c r="B121" s="223" t="s">
        <v>322</v>
      </c>
      <c r="C121" s="223">
        <v>1</v>
      </c>
      <c r="D121" s="223" t="s">
        <v>291</v>
      </c>
      <c r="E121" s="223">
        <v>150</v>
      </c>
      <c r="F121" s="223">
        <v>89</v>
      </c>
      <c r="G121" s="223">
        <v>94</v>
      </c>
      <c r="H121" s="202">
        <v>183</v>
      </c>
      <c r="I121" s="223">
        <v>135</v>
      </c>
      <c r="J121" s="223">
        <v>64</v>
      </c>
      <c r="K121" s="204">
        <v>199</v>
      </c>
      <c r="L121" s="217">
        <v>532</v>
      </c>
      <c r="M121" s="227">
        <v>143</v>
      </c>
      <c r="N121" s="227">
        <v>24</v>
      </c>
      <c r="O121" s="227">
        <v>44</v>
      </c>
      <c r="P121" s="206">
        <v>211</v>
      </c>
      <c r="Q121" s="228">
        <v>126</v>
      </c>
      <c r="R121" s="228">
        <v>31</v>
      </c>
      <c r="S121" s="228">
        <v>51</v>
      </c>
      <c r="T121" s="207">
        <v>208</v>
      </c>
      <c r="U121" s="208">
        <v>111</v>
      </c>
      <c r="V121" s="208">
        <v>28</v>
      </c>
      <c r="W121" s="208">
        <v>60</v>
      </c>
      <c r="X121" s="208">
        <v>199</v>
      </c>
      <c r="Y121" s="227">
        <v>158</v>
      </c>
      <c r="Z121" s="229">
        <v>27</v>
      </c>
      <c r="AA121" s="230">
        <v>35</v>
      </c>
      <c r="AB121" s="210">
        <v>220</v>
      </c>
      <c r="AC121" s="221">
        <v>45046</v>
      </c>
      <c r="AD121" s="223" t="s">
        <v>322</v>
      </c>
      <c r="AE121" s="223">
        <v>2</v>
      </c>
      <c r="AF121" s="223" t="s">
        <v>298</v>
      </c>
      <c r="AG121" s="223">
        <v>51</v>
      </c>
      <c r="AH121" s="223">
        <v>298</v>
      </c>
      <c r="AI121" s="223">
        <v>129</v>
      </c>
      <c r="AJ121" s="223">
        <v>45</v>
      </c>
      <c r="AK121" s="204">
        <v>174</v>
      </c>
      <c r="AL121" s="222">
        <v>523</v>
      </c>
      <c r="AM121" s="227">
        <v>127</v>
      </c>
      <c r="AN121" s="227">
        <v>12</v>
      </c>
      <c r="AO121" s="227">
        <v>46</v>
      </c>
      <c r="AP121" s="213">
        <v>185</v>
      </c>
      <c r="AQ121" s="228">
        <v>74</v>
      </c>
      <c r="AR121" s="228">
        <v>6</v>
      </c>
      <c r="AS121" s="228">
        <v>50</v>
      </c>
      <c r="AT121" s="207">
        <v>130</v>
      </c>
      <c r="AU121" s="208">
        <v>112</v>
      </c>
      <c r="AV121" s="208">
        <v>14</v>
      </c>
      <c r="AW121" s="208">
        <v>48</v>
      </c>
      <c r="AX121" s="208">
        <v>174</v>
      </c>
      <c r="AY121" s="227">
        <v>89</v>
      </c>
      <c r="AZ121" s="229">
        <v>4</v>
      </c>
      <c r="BA121" s="230">
        <v>48</v>
      </c>
      <c r="BB121" s="214">
        <v>141</v>
      </c>
    </row>
    <row r="122" spans="1:54" ht="15.75" x14ac:dyDescent="0.25">
      <c r="A122" s="215">
        <v>45047</v>
      </c>
      <c r="B122" s="223" t="s">
        <v>323</v>
      </c>
      <c r="C122" s="223">
        <v>1</v>
      </c>
      <c r="D122" s="223" t="s">
        <v>291</v>
      </c>
      <c r="E122" s="223">
        <v>151</v>
      </c>
      <c r="F122" s="223">
        <v>78</v>
      </c>
      <c r="G122" s="223">
        <v>81</v>
      </c>
      <c r="H122" s="202">
        <v>159</v>
      </c>
      <c r="I122" s="223">
        <v>134</v>
      </c>
      <c r="J122" s="223">
        <v>61</v>
      </c>
      <c r="K122" s="204">
        <v>195</v>
      </c>
      <c r="L122" s="217">
        <v>505</v>
      </c>
      <c r="M122" s="227">
        <v>134</v>
      </c>
      <c r="N122" s="227">
        <v>34</v>
      </c>
      <c r="O122" s="227">
        <v>45</v>
      </c>
      <c r="P122" s="206">
        <v>213</v>
      </c>
      <c r="Q122" s="207">
        <v>101</v>
      </c>
      <c r="R122" s="207">
        <v>15</v>
      </c>
      <c r="S122" s="207">
        <v>54</v>
      </c>
      <c r="T122" s="207">
        <v>170</v>
      </c>
      <c r="U122" s="208">
        <v>105</v>
      </c>
      <c r="V122" s="208">
        <v>20</v>
      </c>
      <c r="W122" s="208">
        <v>70</v>
      </c>
      <c r="X122" s="208">
        <v>195</v>
      </c>
      <c r="Y122" s="231">
        <v>130</v>
      </c>
      <c r="Z122" s="232">
        <v>29</v>
      </c>
      <c r="AA122" s="233">
        <v>29</v>
      </c>
      <c r="AB122" s="210">
        <v>188</v>
      </c>
      <c r="AC122" s="221">
        <v>45047</v>
      </c>
      <c r="AD122" s="223" t="s">
        <v>323</v>
      </c>
      <c r="AE122" s="223">
        <v>2</v>
      </c>
      <c r="AF122" s="223" t="s">
        <v>298</v>
      </c>
      <c r="AG122" s="223">
        <v>35</v>
      </c>
      <c r="AH122" s="223">
        <v>243</v>
      </c>
      <c r="AI122" s="223">
        <v>161</v>
      </c>
      <c r="AJ122" s="223">
        <v>68</v>
      </c>
      <c r="AK122" s="204">
        <v>229</v>
      </c>
      <c r="AL122" s="222">
        <v>507</v>
      </c>
      <c r="AM122" s="231">
        <v>120</v>
      </c>
      <c r="AN122" s="231">
        <v>16</v>
      </c>
      <c r="AO122" s="231">
        <v>62</v>
      </c>
      <c r="AP122" s="213">
        <v>198</v>
      </c>
      <c r="AQ122" s="207">
        <v>65</v>
      </c>
      <c r="AR122" s="207">
        <v>7</v>
      </c>
      <c r="AS122" s="207">
        <v>50</v>
      </c>
      <c r="AT122" s="207">
        <v>122</v>
      </c>
      <c r="AU122" s="208">
        <v>131</v>
      </c>
      <c r="AV122" s="208">
        <v>20</v>
      </c>
      <c r="AW122" s="208">
        <v>78</v>
      </c>
      <c r="AX122" s="208">
        <v>229</v>
      </c>
      <c r="AY122" s="231">
        <v>54</v>
      </c>
      <c r="AZ122" s="232">
        <v>3</v>
      </c>
      <c r="BA122" s="233">
        <v>34</v>
      </c>
      <c r="BB122" s="214">
        <v>91</v>
      </c>
    </row>
    <row r="123" spans="1:54" ht="15.75" x14ac:dyDescent="0.25">
      <c r="A123" s="215">
        <v>45048</v>
      </c>
      <c r="B123" s="223" t="s">
        <v>324</v>
      </c>
      <c r="C123" s="223">
        <v>3</v>
      </c>
      <c r="D123" s="223" t="s">
        <v>291</v>
      </c>
      <c r="E123" s="223">
        <v>97</v>
      </c>
      <c r="F123" s="223">
        <v>73</v>
      </c>
      <c r="G123" s="223">
        <v>127</v>
      </c>
      <c r="H123" s="202">
        <v>200</v>
      </c>
      <c r="I123" s="223">
        <v>108</v>
      </c>
      <c r="J123" s="223">
        <v>65</v>
      </c>
      <c r="K123" s="204">
        <v>173</v>
      </c>
      <c r="L123" s="217">
        <v>470</v>
      </c>
      <c r="M123" s="231">
        <v>125</v>
      </c>
      <c r="N123" s="231">
        <v>13</v>
      </c>
      <c r="O123" s="231">
        <v>55</v>
      </c>
      <c r="P123" s="206">
        <v>193</v>
      </c>
      <c r="Q123" s="207">
        <v>89</v>
      </c>
      <c r="R123" s="207">
        <v>9</v>
      </c>
      <c r="S123" s="207">
        <v>67</v>
      </c>
      <c r="T123" s="207">
        <v>165</v>
      </c>
      <c r="U123" s="208">
        <v>103</v>
      </c>
      <c r="V123" s="208">
        <v>19</v>
      </c>
      <c r="W123" s="208">
        <v>51</v>
      </c>
      <c r="X123" s="208">
        <v>173</v>
      </c>
      <c r="Y123" s="231">
        <v>111</v>
      </c>
      <c r="Z123" s="232">
        <v>3</v>
      </c>
      <c r="AA123" s="233">
        <v>71</v>
      </c>
      <c r="AB123" s="210">
        <v>185</v>
      </c>
      <c r="AC123" s="221">
        <v>45048</v>
      </c>
      <c r="AD123" s="223" t="s">
        <v>324</v>
      </c>
      <c r="AE123" s="223">
        <v>4</v>
      </c>
      <c r="AF123" s="223" t="s">
        <v>298</v>
      </c>
      <c r="AG123" s="223">
        <v>32</v>
      </c>
      <c r="AH123" s="223">
        <v>253</v>
      </c>
      <c r="AI123" s="223">
        <v>134</v>
      </c>
      <c r="AJ123" s="223">
        <v>78</v>
      </c>
      <c r="AK123" s="204">
        <v>212</v>
      </c>
      <c r="AL123" s="222">
        <v>497</v>
      </c>
      <c r="AM123" s="231">
        <v>93</v>
      </c>
      <c r="AN123" s="231">
        <v>13</v>
      </c>
      <c r="AO123" s="231">
        <v>62</v>
      </c>
      <c r="AP123" s="213">
        <v>168</v>
      </c>
      <c r="AQ123" s="207">
        <v>42</v>
      </c>
      <c r="AR123" s="207">
        <v>1</v>
      </c>
      <c r="AS123" s="207">
        <v>44</v>
      </c>
      <c r="AT123" s="207">
        <v>87</v>
      </c>
      <c r="AU123" s="208">
        <v>105</v>
      </c>
      <c r="AV123" s="208">
        <v>10</v>
      </c>
      <c r="AW123" s="208">
        <v>97</v>
      </c>
      <c r="AX123" s="208">
        <v>212</v>
      </c>
      <c r="AY123" s="231">
        <v>30</v>
      </c>
      <c r="AZ123" s="232">
        <v>4</v>
      </c>
      <c r="BA123" s="233">
        <v>9</v>
      </c>
      <c r="BB123" s="214">
        <v>43</v>
      </c>
    </row>
    <row r="124" spans="1:54" ht="15.75" x14ac:dyDescent="0.25">
      <c r="A124" s="215">
        <v>45049</v>
      </c>
      <c r="B124" s="223" t="s">
        <v>325</v>
      </c>
      <c r="C124" s="223">
        <v>3</v>
      </c>
      <c r="D124" s="223" t="s">
        <v>291</v>
      </c>
      <c r="E124" s="223">
        <v>101</v>
      </c>
      <c r="F124" s="223">
        <v>75</v>
      </c>
      <c r="G124" s="223">
        <v>71</v>
      </c>
      <c r="H124" s="202">
        <v>146</v>
      </c>
      <c r="I124" s="223">
        <v>127</v>
      </c>
      <c r="J124" s="223">
        <v>76</v>
      </c>
      <c r="K124" s="204">
        <v>203</v>
      </c>
      <c r="L124" s="217">
        <v>450</v>
      </c>
      <c r="M124" s="231">
        <v>143</v>
      </c>
      <c r="N124" s="231">
        <v>9</v>
      </c>
      <c r="O124" s="231">
        <v>51</v>
      </c>
      <c r="P124" s="206">
        <v>203</v>
      </c>
      <c r="Q124" s="207">
        <v>124</v>
      </c>
      <c r="R124" s="207">
        <v>11</v>
      </c>
      <c r="S124" s="207">
        <v>78</v>
      </c>
      <c r="T124" s="207">
        <v>213</v>
      </c>
      <c r="U124" s="208">
        <v>132</v>
      </c>
      <c r="V124" s="208">
        <v>8</v>
      </c>
      <c r="W124" s="208">
        <v>64</v>
      </c>
      <c r="X124" s="208">
        <v>204</v>
      </c>
      <c r="Y124" s="231">
        <v>135</v>
      </c>
      <c r="Z124" s="232">
        <v>12</v>
      </c>
      <c r="AA124" s="233">
        <v>65</v>
      </c>
      <c r="AB124" s="210">
        <v>212</v>
      </c>
      <c r="AC124" s="221">
        <v>45049</v>
      </c>
      <c r="AD124" s="223" t="s">
        <v>325</v>
      </c>
      <c r="AE124" s="223">
        <v>4</v>
      </c>
      <c r="AF124" s="223" t="s">
        <v>298</v>
      </c>
      <c r="AG124" s="223">
        <v>42</v>
      </c>
      <c r="AH124" s="223">
        <v>252</v>
      </c>
      <c r="AI124" s="223">
        <v>150</v>
      </c>
      <c r="AJ124" s="223">
        <v>65</v>
      </c>
      <c r="AK124" s="204">
        <v>215</v>
      </c>
      <c r="AL124" s="222">
        <v>509</v>
      </c>
      <c r="AM124" s="227"/>
      <c r="AN124" s="227"/>
      <c r="AO124" s="227"/>
      <c r="AP124" s="213">
        <v>0</v>
      </c>
      <c r="AQ124" s="227"/>
      <c r="AR124" s="227"/>
      <c r="AS124" s="227"/>
      <c r="AT124" s="207">
        <v>0</v>
      </c>
      <c r="AU124" s="208">
        <v>140</v>
      </c>
      <c r="AV124" s="208">
        <v>9</v>
      </c>
      <c r="AW124" s="208">
        <v>66</v>
      </c>
      <c r="AX124" s="208">
        <v>215</v>
      </c>
      <c r="AY124" s="231">
        <v>-140</v>
      </c>
      <c r="AZ124" s="232">
        <v>-9</v>
      </c>
      <c r="BA124" s="233">
        <v>-66</v>
      </c>
      <c r="BB124" s="214">
        <v>-215</v>
      </c>
    </row>
    <row r="125" spans="1:54" ht="15.75" x14ac:dyDescent="0.25">
      <c r="A125" s="215">
        <v>45050</v>
      </c>
      <c r="B125" s="223" t="s">
        <v>326</v>
      </c>
      <c r="C125" s="223">
        <v>2</v>
      </c>
      <c r="D125" s="223" t="s">
        <v>291</v>
      </c>
      <c r="E125" s="223">
        <v>134</v>
      </c>
      <c r="F125" s="223">
        <v>125</v>
      </c>
      <c r="G125" s="223">
        <v>76</v>
      </c>
      <c r="H125" s="202">
        <v>201</v>
      </c>
      <c r="I125" s="223">
        <v>128</v>
      </c>
      <c r="J125" s="223">
        <v>80</v>
      </c>
      <c r="K125" s="204">
        <v>208</v>
      </c>
      <c r="L125" s="217">
        <v>543</v>
      </c>
      <c r="M125" s="227">
        <v>141</v>
      </c>
      <c r="N125" s="227">
        <v>13</v>
      </c>
      <c r="O125" s="227">
        <v>67</v>
      </c>
      <c r="P125" s="206">
        <v>221</v>
      </c>
      <c r="Q125" s="207">
        <v>132</v>
      </c>
      <c r="R125" s="207">
        <v>12</v>
      </c>
      <c r="S125" s="207">
        <v>39</v>
      </c>
      <c r="T125" s="207">
        <v>183</v>
      </c>
      <c r="U125" s="208">
        <v>135</v>
      </c>
      <c r="V125" s="208">
        <v>19</v>
      </c>
      <c r="W125" s="208">
        <v>54</v>
      </c>
      <c r="X125" s="208">
        <v>208</v>
      </c>
      <c r="Y125" s="231">
        <v>138</v>
      </c>
      <c r="Z125" s="232">
        <v>6</v>
      </c>
      <c r="AA125" s="233">
        <v>52</v>
      </c>
      <c r="AB125" s="210">
        <v>196</v>
      </c>
      <c r="AC125" s="221">
        <v>45050</v>
      </c>
      <c r="AD125" s="223" t="s">
        <v>326</v>
      </c>
      <c r="AE125" s="223">
        <v>1</v>
      </c>
      <c r="AF125" s="223" t="s">
        <v>298</v>
      </c>
      <c r="AG125" s="223">
        <v>41</v>
      </c>
      <c r="AH125" s="223">
        <v>204</v>
      </c>
      <c r="AI125" s="223">
        <v>123</v>
      </c>
      <c r="AJ125" s="223">
        <v>66</v>
      </c>
      <c r="AK125" s="204">
        <v>189</v>
      </c>
      <c r="AL125" s="222">
        <v>434</v>
      </c>
      <c r="AM125" s="231">
        <v>103</v>
      </c>
      <c r="AN125" s="231">
        <v>8</v>
      </c>
      <c r="AO125" s="231">
        <v>43</v>
      </c>
      <c r="AP125" s="213">
        <v>154</v>
      </c>
      <c r="AQ125" s="207">
        <v>87</v>
      </c>
      <c r="AR125" s="207">
        <v>5</v>
      </c>
      <c r="AS125" s="207">
        <v>20</v>
      </c>
      <c r="AT125" s="207">
        <v>112</v>
      </c>
      <c r="AU125" s="208">
        <v>132</v>
      </c>
      <c r="AV125" s="208">
        <v>11</v>
      </c>
      <c r="AW125" s="208">
        <v>46</v>
      </c>
      <c r="AX125" s="208">
        <v>189</v>
      </c>
      <c r="AY125" s="231">
        <v>58</v>
      </c>
      <c r="AZ125" s="232">
        <v>2</v>
      </c>
      <c r="BA125" s="233">
        <v>17</v>
      </c>
      <c r="BB125" s="214">
        <v>77</v>
      </c>
    </row>
    <row r="126" spans="1:54" ht="15.75" x14ac:dyDescent="0.25">
      <c r="A126" s="215">
        <v>45051</v>
      </c>
      <c r="B126" s="223" t="s">
        <v>327</v>
      </c>
      <c r="C126" s="223">
        <v>2</v>
      </c>
      <c r="D126" s="223" t="s">
        <v>291</v>
      </c>
      <c r="E126" s="223">
        <v>111</v>
      </c>
      <c r="F126" s="223">
        <v>84</v>
      </c>
      <c r="G126" s="223">
        <v>114</v>
      </c>
      <c r="H126" s="202">
        <v>198</v>
      </c>
      <c r="I126" s="223">
        <v>120</v>
      </c>
      <c r="J126" s="223">
        <v>84</v>
      </c>
      <c r="K126" s="204">
        <v>204</v>
      </c>
      <c r="L126" s="217">
        <v>513</v>
      </c>
      <c r="M126" s="231">
        <v>115</v>
      </c>
      <c r="N126" s="231">
        <v>8</v>
      </c>
      <c r="O126" s="231">
        <v>75</v>
      </c>
      <c r="P126" s="206">
        <v>198</v>
      </c>
      <c r="Q126" s="207">
        <v>121</v>
      </c>
      <c r="R126" s="207">
        <v>17</v>
      </c>
      <c r="S126" s="207">
        <v>52</v>
      </c>
      <c r="T126" s="207">
        <v>190</v>
      </c>
      <c r="U126" s="208">
        <v>98</v>
      </c>
      <c r="V126" s="208">
        <v>19</v>
      </c>
      <c r="W126" s="208">
        <v>75</v>
      </c>
      <c r="X126" s="208">
        <v>192</v>
      </c>
      <c r="Y126" s="231">
        <v>138</v>
      </c>
      <c r="Z126" s="232">
        <v>6</v>
      </c>
      <c r="AA126" s="233">
        <v>52</v>
      </c>
      <c r="AB126" s="210">
        <v>196</v>
      </c>
      <c r="AC126" s="221">
        <v>45051</v>
      </c>
      <c r="AD126" s="223" t="s">
        <v>327</v>
      </c>
      <c r="AE126" s="223">
        <v>1</v>
      </c>
      <c r="AF126" s="223" t="s">
        <v>298</v>
      </c>
      <c r="AG126" s="223">
        <v>40</v>
      </c>
      <c r="AH126" s="223">
        <v>240</v>
      </c>
      <c r="AI126" s="223">
        <v>133</v>
      </c>
      <c r="AJ126" s="223">
        <v>68</v>
      </c>
      <c r="AK126" s="204">
        <v>201</v>
      </c>
      <c r="AL126" s="222">
        <v>481</v>
      </c>
      <c r="AM126" s="231">
        <v>100</v>
      </c>
      <c r="AN126" s="231">
        <v>12</v>
      </c>
      <c r="AO126" s="231">
        <v>50</v>
      </c>
      <c r="AP126" s="213">
        <v>162</v>
      </c>
      <c r="AQ126" s="207">
        <v>90</v>
      </c>
      <c r="AR126" s="207">
        <v>3</v>
      </c>
      <c r="AS126" s="207">
        <v>25</v>
      </c>
      <c r="AT126" s="207">
        <v>118</v>
      </c>
      <c r="AU126" s="208">
        <v>128</v>
      </c>
      <c r="AV126" s="208">
        <v>13</v>
      </c>
      <c r="AW126" s="208">
        <v>60</v>
      </c>
      <c r="AX126" s="208">
        <v>201</v>
      </c>
      <c r="AY126" s="231">
        <v>62</v>
      </c>
      <c r="AZ126" s="232">
        <v>2</v>
      </c>
      <c r="BA126" s="233">
        <v>15</v>
      </c>
      <c r="BB126" s="214">
        <v>79</v>
      </c>
    </row>
    <row r="127" spans="1:54" ht="15.75" x14ac:dyDescent="0.25">
      <c r="A127" s="215">
        <v>45052</v>
      </c>
      <c r="B127" s="223" t="s">
        <v>321</v>
      </c>
      <c r="C127" s="223">
        <v>4</v>
      </c>
      <c r="D127" s="223" t="s">
        <v>291</v>
      </c>
      <c r="E127" s="223">
        <v>137</v>
      </c>
      <c r="F127" s="223">
        <v>67</v>
      </c>
      <c r="G127" s="223">
        <v>103</v>
      </c>
      <c r="H127" s="202">
        <v>170</v>
      </c>
      <c r="I127" s="223">
        <v>138</v>
      </c>
      <c r="J127" s="223">
        <v>78</v>
      </c>
      <c r="K127" s="204">
        <v>216</v>
      </c>
      <c r="L127" s="217">
        <v>523</v>
      </c>
      <c r="M127" s="231">
        <v>143</v>
      </c>
      <c r="N127" s="231">
        <v>19</v>
      </c>
      <c r="O127" s="231">
        <v>53</v>
      </c>
      <c r="P127" s="206">
        <v>215</v>
      </c>
      <c r="Q127" s="207">
        <v>110</v>
      </c>
      <c r="R127" s="207">
        <v>18</v>
      </c>
      <c r="S127" s="207">
        <v>60</v>
      </c>
      <c r="T127" s="207">
        <v>188</v>
      </c>
      <c r="U127" s="208">
        <v>130</v>
      </c>
      <c r="V127" s="208">
        <v>14</v>
      </c>
      <c r="W127" s="208">
        <v>72</v>
      </c>
      <c r="X127" s="208">
        <v>216</v>
      </c>
      <c r="Y127" s="231">
        <v>123</v>
      </c>
      <c r="Z127" s="232">
        <v>23</v>
      </c>
      <c r="AA127" s="233">
        <v>41</v>
      </c>
      <c r="AB127" s="210">
        <v>187</v>
      </c>
      <c r="AC127" s="221">
        <v>45052</v>
      </c>
      <c r="AD127" s="223" t="s">
        <v>321</v>
      </c>
      <c r="AE127" s="223">
        <v>3</v>
      </c>
      <c r="AF127" s="223" t="s">
        <v>298</v>
      </c>
      <c r="AG127" s="223">
        <v>40</v>
      </c>
      <c r="AH127" s="223">
        <v>284</v>
      </c>
      <c r="AI127" s="223">
        <v>135</v>
      </c>
      <c r="AJ127" s="223">
        <v>71</v>
      </c>
      <c r="AK127" s="204">
        <v>206</v>
      </c>
      <c r="AL127" s="222">
        <v>530</v>
      </c>
      <c r="AM127" s="231">
        <v>121</v>
      </c>
      <c r="AN127" s="231">
        <v>9</v>
      </c>
      <c r="AO127" s="231">
        <v>59</v>
      </c>
      <c r="AP127" s="213">
        <v>189</v>
      </c>
      <c r="AQ127" s="207">
        <v>80</v>
      </c>
      <c r="AR127" s="207">
        <v>5</v>
      </c>
      <c r="AS127" s="207">
        <v>46</v>
      </c>
      <c r="AT127" s="207">
        <v>131</v>
      </c>
      <c r="AU127" s="208">
        <v>149</v>
      </c>
      <c r="AV127" s="208">
        <v>13</v>
      </c>
      <c r="AW127" s="208">
        <v>44</v>
      </c>
      <c r="AX127" s="208">
        <v>206</v>
      </c>
      <c r="AY127" s="231">
        <v>52</v>
      </c>
      <c r="AZ127" s="232">
        <v>1</v>
      </c>
      <c r="BA127" s="233">
        <v>61</v>
      </c>
      <c r="BB127" s="214">
        <v>114</v>
      </c>
    </row>
    <row r="128" spans="1:54" ht="15.75" x14ac:dyDescent="0.25">
      <c r="A128" s="215">
        <v>45053</v>
      </c>
      <c r="B128" s="223" t="s">
        <v>322</v>
      </c>
      <c r="C128" s="223">
        <v>4</v>
      </c>
      <c r="D128" s="223" t="s">
        <v>291</v>
      </c>
      <c r="E128" s="223">
        <v>148</v>
      </c>
      <c r="F128" s="223">
        <v>104</v>
      </c>
      <c r="G128" s="223">
        <v>114</v>
      </c>
      <c r="H128" s="202">
        <v>218</v>
      </c>
      <c r="I128" s="223">
        <v>147</v>
      </c>
      <c r="J128" s="223">
        <v>81</v>
      </c>
      <c r="K128" s="204">
        <v>228</v>
      </c>
      <c r="L128" s="217">
        <v>594</v>
      </c>
      <c r="M128" s="231">
        <v>127</v>
      </c>
      <c r="N128" s="231">
        <v>18</v>
      </c>
      <c r="O128" s="231">
        <v>56</v>
      </c>
      <c r="P128" s="206">
        <v>201</v>
      </c>
      <c r="Q128" s="207">
        <v>109</v>
      </c>
      <c r="R128" s="207">
        <v>16</v>
      </c>
      <c r="S128" s="207">
        <v>58</v>
      </c>
      <c r="T128" s="207">
        <v>183</v>
      </c>
      <c r="U128" s="208">
        <v>130</v>
      </c>
      <c r="V128" s="208">
        <v>17</v>
      </c>
      <c r="W128" s="208">
        <v>81</v>
      </c>
      <c r="X128" s="208">
        <v>228</v>
      </c>
      <c r="Y128" s="231">
        <v>106</v>
      </c>
      <c r="Z128" s="232">
        <v>17</v>
      </c>
      <c r="AA128" s="233">
        <v>33</v>
      </c>
      <c r="AB128" s="210">
        <v>156</v>
      </c>
      <c r="AC128" s="221">
        <v>45053</v>
      </c>
      <c r="AD128" s="223" t="s">
        <v>322</v>
      </c>
      <c r="AE128" s="223">
        <v>3</v>
      </c>
      <c r="AF128" s="223" t="s">
        <v>298</v>
      </c>
      <c r="AG128" s="223">
        <v>41</v>
      </c>
      <c r="AH128" s="223">
        <v>218</v>
      </c>
      <c r="AI128" s="223">
        <v>152</v>
      </c>
      <c r="AJ128" s="223">
        <v>58</v>
      </c>
      <c r="AK128" s="204">
        <v>210</v>
      </c>
      <c r="AL128" s="222">
        <v>469</v>
      </c>
      <c r="AM128" s="231">
        <v>116</v>
      </c>
      <c r="AN128" s="231">
        <v>15</v>
      </c>
      <c r="AO128" s="231">
        <v>69</v>
      </c>
      <c r="AP128" s="213">
        <v>200</v>
      </c>
      <c r="AQ128" s="207">
        <v>64</v>
      </c>
      <c r="AR128" s="207">
        <v>8</v>
      </c>
      <c r="AS128" s="207">
        <v>42</v>
      </c>
      <c r="AT128" s="207">
        <v>114</v>
      </c>
      <c r="AU128" s="208">
        <v>135</v>
      </c>
      <c r="AV128" s="208">
        <v>17</v>
      </c>
      <c r="AW128" s="208">
        <v>58</v>
      </c>
      <c r="AX128" s="208">
        <v>210</v>
      </c>
      <c r="AY128" s="231">
        <v>45</v>
      </c>
      <c r="AZ128" s="232">
        <v>6</v>
      </c>
      <c r="BA128" s="233">
        <v>53</v>
      </c>
      <c r="BB128" s="214">
        <v>104</v>
      </c>
    </row>
    <row r="129" spans="1:54" ht="15.75" x14ac:dyDescent="0.25">
      <c r="A129" s="215">
        <v>45054</v>
      </c>
      <c r="B129" s="223" t="s">
        <v>323</v>
      </c>
      <c r="C129" s="223">
        <v>1</v>
      </c>
      <c r="D129" s="223" t="s">
        <v>291</v>
      </c>
      <c r="E129" s="223">
        <v>118</v>
      </c>
      <c r="F129" s="223">
        <v>125</v>
      </c>
      <c r="G129" s="223">
        <v>73</v>
      </c>
      <c r="H129" s="202">
        <v>198</v>
      </c>
      <c r="I129" s="223">
        <v>130</v>
      </c>
      <c r="J129" s="223">
        <v>72</v>
      </c>
      <c r="K129" s="204">
        <v>202</v>
      </c>
      <c r="L129" s="217">
        <v>518</v>
      </c>
      <c r="M129" s="231">
        <v>113</v>
      </c>
      <c r="N129" s="231">
        <v>18</v>
      </c>
      <c r="O129" s="231">
        <v>60</v>
      </c>
      <c r="P129" s="206">
        <v>191</v>
      </c>
      <c r="Q129" s="207">
        <v>104</v>
      </c>
      <c r="R129" s="207">
        <v>19</v>
      </c>
      <c r="S129" s="207">
        <v>54</v>
      </c>
      <c r="T129" s="207">
        <v>177</v>
      </c>
      <c r="U129" s="208">
        <v>104</v>
      </c>
      <c r="V129" s="208">
        <v>21</v>
      </c>
      <c r="W129" s="208">
        <v>77</v>
      </c>
      <c r="X129" s="208">
        <v>202</v>
      </c>
      <c r="Y129" s="231">
        <v>113</v>
      </c>
      <c r="Z129" s="232">
        <v>16</v>
      </c>
      <c r="AA129" s="233">
        <v>37</v>
      </c>
      <c r="AB129" s="210">
        <v>166</v>
      </c>
      <c r="AC129" s="221">
        <v>45054</v>
      </c>
      <c r="AD129" s="223" t="s">
        <v>323</v>
      </c>
      <c r="AE129" s="223">
        <v>2</v>
      </c>
      <c r="AF129" s="223" t="s">
        <v>298</v>
      </c>
      <c r="AG129" s="223">
        <v>42</v>
      </c>
      <c r="AH129" s="223">
        <v>219</v>
      </c>
      <c r="AI129" s="223">
        <v>141</v>
      </c>
      <c r="AJ129" s="223">
        <v>63</v>
      </c>
      <c r="AK129" s="204">
        <v>204</v>
      </c>
      <c r="AL129" s="222">
        <v>465</v>
      </c>
      <c r="AM129" s="234">
        <v>117</v>
      </c>
      <c r="AN129" s="234">
        <v>10</v>
      </c>
      <c r="AO129" s="234">
        <v>47</v>
      </c>
      <c r="AP129" s="213">
        <v>174</v>
      </c>
      <c r="AQ129" s="235">
        <v>71</v>
      </c>
      <c r="AR129" s="235">
        <v>8</v>
      </c>
      <c r="AS129" s="235">
        <v>24</v>
      </c>
      <c r="AT129" s="207">
        <v>103</v>
      </c>
      <c r="AU129" s="208">
        <v>137</v>
      </c>
      <c r="AV129" s="208">
        <v>16</v>
      </c>
      <c r="AW129" s="208">
        <v>51</v>
      </c>
      <c r="AX129" s="208">
        <v>204</v>
      </c>
      <c r="AY129" s="231">
        <v>51</v>
      </c>
      <c r="AZ129" s="232">
        <v>2</v>
      </c>
      <c r="BA129" s="233">
        <v>20</v>
      </c>
      <c r="BB129" s="214">
        <v>73</v>
      </c>
    </row>
    <row r="130" spans="1:54" ht="15.75" x14ac:dyDescent="0.25">
      <c r="A130" s="215">
        <v>45055</v>
      </c>
      <c r="B130" s="223" t="s">
        <v>324</v>
      </c>
      <c r="C130" s="223">
        <v>1</v>
      </c>
      <c r="D130" s="223" t="s">
        <v>291</v>
      </c>
      <c r="E130" s="223">
        <v>96</v>
      </c>
      <c r="F130" s="223">
        <v>88</v>
      </c>
      <c r="G130" s="223">
        <v>62</v>
      </c>
      <c r="H130" s="202">
        <v>150</v>
      </c>
      <c r="I130" s="223">
        <v>136</v>
      </c>
      <c r="J130" s="223">
        <v>51</v>
      </c>
      <c r="K130" s="204">
        <v>187</v>
      </c>
      <c r="L130" s="217">
        <v>433</v>
      </c>
      <c r="M130" s="231">
        <v>113</v>
      </c>
      <c r="N130" s="231">
        <v>22</v>
      </c>
      <c r="O130" s="231">
        <v>60</v>
      </c>
      <c r="P130" s="206">
        <v>195</v>
      </c>
      <c r="Q130" s="207">
        <v>104</v>
      </c>
      <c r="R130" s="207">
        <v>15</v>
      </c>
      <c r="S130" s="207">
        <v>54</v>
      </c>
      <c r="T130" s="207">
        <v>173</v>
      </c>
      <c r="U130" s="208">
        <v>98</v>
      </c>
      <c r="V130" s="208">
        <v>25</v>
      </c>
      <c r="W130" s="208">
        <v>64</v>
      </c>
      <c r="X130" s="208">
        <v>187</v>
      </c>
      <c r="Y130" s="231">
        <v>119</v>
      </c>
      <c r="Z130" s="232">
        <v>12</v>
      </c>
      <c r="AA130" s="233">
        <v>50</v>
      </c>
      <c r="AB130" s="210">
        <v>181</v>
      </c>
      <c r="AC130" s="221">
        <v>45055</v>
      </c>
      <c r="AD130" s="223" t="s">
        <v>324</v>
      </c>
      <c r="AE130" s="223">
        <v>2</v>
      </c>
      <c r="AF130" s="223" t="s">
        <v>298</v>
      </c>
      <c r="AG130" s="223">
        <v>45</v>
      </c>
      <c r="AH130" s="223">
        <v>233</v>
      </c>
      <c r="AI130" s="223">
        <v>133</v>
      </c>
      <c r="AJ130" s="223">
        <v>43</v>
      </c>
      <c r="AK130" s="204">
        <v>176</v>
      </c>
      <c r="AL130" s="222">
        <v>454</v>
      </c>
      <c r="AM130" s="234">
        <v>115</v>
      </c>
      <c r="AN130" s="234">
        <v>10</v>
      </c>
      <c r="AO130" s="234">
        <v>40</v>
      </c>
      <c r="AP130" s="213">
        <v>165</v>
      </c>
      <c r="AQ130" s="235">
        <v>36</v>
      </c>
      <c r="AR130" s="235">
        <v>4</v>
      </c>
      <c r="AS130" s="235">
        <v>24</v>
      </c>
      <c r="AT130" s="207">
        <v>64</v>
      </c>
      <c r="AU130" s="208">
        <v>109</v>
      </c>
      <c r="AV130" s="208">
        <v>14</v>
      </c>
      <c r="AW130" s="208">
        <v>53</v>
      </c>
      <c r="AX130" s="208">
        <v>176</v>
      </c>
      <c r="AY130" s="231">
        <v>42</v>
      </c>
      <c r="AZ130" s="232">
        <v>0</v>
      </c>
      <c r="BA130" s="233">
        <v>11</v>
      </c>
      <c r="BB130" s="214">
        <v>53</v>
      </c>
    </row>
    <row r="131" spans="1:54" ht="15.75" x14ac:dyDescent="0.25">
      <c r="A131" s="215">
        <v>45056</v>
      </c>
      <c r="B131" s="223" t="s">
        <v>325</v>
      </c>
      <c r="C131" s="223">
        <v>3</v>
      </c>
      <c r="D131" s="223" t="s">
        <v>291</v>
      </c>
      <c r="E131" s="223">
        <v>88</v>
      </c>
      <c r="F131" s="223">
        <v>91</v>
      </c>
      <c r="G131" s="223">
        <v>81</v>
      </c>
      <c r="H131" s="202">
        <v>172</v>
      </c>
      <c r="I131" s="223">
        <v>108</v>
      </c>
      <c r="J131" s="223">
        <v>62</v>
      </c>
      <c r="K131" s="204">
        <v>170</v>
      </c>
      <c r="L131" s="217">
        <v>430</v>
      </c>
      <c r="M131" s="231">
        <v>127</v>
      </c>
      <c r="N131" s="231">
        <v>18</v>
      </c>
      <c r="O131" s="231">
        <v>45</v>
      </c>
      <c r="P131" s="206">
        <v>190</v>
      </c>
      <c r="Q131" s="207">
        <v>131</v>
      </c>
      <c r="R131" s="207">
        <v>22</v>
      </c>
      <c r="S131" s="207">
        <v>31</v>
      </c>
      <c r="T131" s="207">
        <v>184</v>
      </c>
      <c r="U131" s="208">
        <v>108</v>
      </c>
      <c r="V131" s="208">
        <v>20</v>
      </c>
      <c r="W131" s="208">
        <v>42</v>
      </c>
      <c r="X131" s="208">
        <v>170</v>
      </c>
      <c r="Y131" s="231">
        <v>150</v>
      </c>
      <c r="Z131" s="232">
        <v>20</v>
      </c>
      <c r="AA131" s="233">
        <v>34</v>
      </c>
      <c r="AB131" s="210">
        <v>204</v>
      </c>
      <c r="AC131" s="221">
        <v>45056</v>
      </c>
      <c r="AD131" s="223" t="s">
        <v>325</v>
      </c>
      <c r="AE131" s="223">
        <v>4</v>
      </c>
      <c r="AF131" s="223" t="s">
        <v>298</v>
      </c>
      <c r="AG131" s="223">
        <v>47</v>
      </c>
      <c r="AH131" s="223">
        <v>274</v>
      </c>
      <c r="AI131" s="223">
        <v>161</v>
      </c>
      <c r="AJ131" s="223">
        <v>69</v>
      </c>
      <c r="AK131" s="204">
        <v>230</v>
      </c>
      <c r="AL131" s="222">
        <v>551</v>
      </c>
      <c r="AM131" s="231">
        <v>143</v>
      </c>
      <c r="AN131" s="231">
        <v>9</v>
      </c>
      <c r="AO131" s="231">
        <v>24</v>
      </c>
      <c r="AP131" s="213">
        <v>176</v>
      </c>
      <c r="AQ131" s="207">
        <v>88</v>
      </c>
      <c r="AR131" s="207">
        <v>2</v>
      </c>
      <c r="AS131" s="207">
        <v>24</v>
      </c>
      <c r="AT131" s="207">
        <v>114</v>
      </c>
      <c r="AU131" s="208">
        <v>166</v>
      </c>
      <c r="AV131" s="208">
        <v>11</v>
      </c>
      <c r="AW131" s="208">
        <v>53</v>
      </c>
      <c r="AX131" s="208">
        <v>230</v>
      </c>
      <c r="AY131" s="231">
        <v>65</v>
      </c>
      <c r="AZ131" s="232">
        <v>0</v>
      </c>
      <c r="BA131" s="233">
        <v>-5</v>
      </c>
      <c r="BB131" s="214">
        <v>60</v>
      </c>
    </row>
    <row r="132" spans="1:54" ht="15.75" x14ac:dyDescent="0.25">
      <c r="A132" s="215">
        <v>45057</v>
      </c>
      <c r="B132" s="223" t="s">
        <v>326</v>
      </c>
      <c r="C132" s="223">
        <v>3</v>
      </c>
      <c r="D132" s="223" t="s">
        <v>291</v>
      </c>
      <c r="E132" s="223">
        <v>134</v>
      </c>
      <c r="F132" s="223">
        <v>105</v>
      </c>
      <c r="G132" s="223">
        <v>79</v>
      </c>
      <c r="H132" s="202">
        <v>184</v>
      </c>
      <c r="I132" s="223">
        <v>156</v>
      </c>
      <c r="J132" s="223">
        <v>47</v>
      </c>
      <c r="K132" s="204">
        <v>203</v>
      </c>
      <c r="L132" s="217">
        <v>521</v>
      </c>
      <c r="M132" s="231">
        <v>158</v>
      </c>
      <c r="N132" s="231">
        <v>15</v>
      </c>
      <c r="O132" s="231">
        <v>87</v>
      </c>
      <c r="P132" s="206">
        <v>260</v>
      </c>
      <c r="Q132" s="207">
        <v>100</v>
      </c>
      <c r="R132" s="207">
        <v>6</v>
      </c>
      <c r="S132" s="207">
        <v>29</v>
      </c>
      <c r="T132" s="207">
        <v>135</v>
      </c>
      <c r="U132" s="208">
        <v>112</v>
      </c>
      <c r="V132" s="208">
        <v>16</v>
      </c>
      <c r="W132" s="208">
        <v>75</v>
      </c>
      <c r="X132" s="208">
        <v>203</v>
      </c>
      <c r="Y132" s="231">
        <v>146</v>
      </c>
      <c r="Z132" s="232">
        <v>5</v>
      </c>
      <c r="AA132" s="233">
        <v>41</v>
      </c>
      <c r="AB132" s="210">
        <v>192</v>
      </c>
      <c r="AC132" s="221">
        <v>45057</v>
      </c>
      <c r="AD132" s="223" t="s">
        <v>326</v>
      </c>
      <c r="AE132" s="223">
        <v>4</v>
      </c>
      <c r="AF132" s="223" t="s">
        <v>298</v>
      </c>
      <c r="AG132" s="223">
        <v>68</v>
      </c>
      <c r="AH132" s="223">
        <v>301</v>
      </c>
      <c r="AI132" s="223">
        <v>148</v>
      </c>
      <c r="AJ132" s="223">
        <v>55</v>
      </c>
      <c r="AK132" s="204">
        <v>203</v>
      </c>
      <c r="AL132" s="222">
        <v>572</v>
      </c>
      <c r="AM132" s="231">
        <v>128</v>
      </c>
      <c r="AN132" s="231">
        <v>5</v>
      </c>
      <c r="AO132" s="231">
        <v>62</v>
      </c>
      <c r="AP132" s="213">
        <v>195</v>
      </c>
      <c r="AQ132" s="207">
        <v>74</v>
      </c>
      <c r="AR132" s="207">
        <v>6</v>
      </c>
      <c r="AS132" s="207">
        <v>15</v>
      </c>
      <c r="AT132" s="207">
        <v>95</v>
      </c>
      <c r="AU132" s="208">
        <v>131</v>
      </c>
      <c r="AV132" s="208">
        <v>12</v>
      </c>
      <c r="AW132" s="208">
        <v>60</v>
      </c>
      <c r="AX132" s="208">
        <v>203</v>
      </c>
      <c r="AY132" s="231">
        <v>71</v>
      </c>
      <c r="AZ132" s="232">
        <v>-1</v>
      </c>
      <c r="BA132" s="233">
        <v>17</v>
      </c>
      <c r="BB132" s="214">
        <v>87</v>
      </c>
    </row>
    <row r="133" spans="1:54" ht="15.75" x14ac:dyDescent="0.25">
      <c r="A133" s="215">
        <v>45058</v>
      </c>
      <c r="B133" s="223" t="s">
        <v>327</v>
      </c>
      <c r="C133" s="223">
        <v>2</v>
      </c>
      <c r="D133" s="223" t="s">
        <v>291</v>
      </c>
      <c r="E133" s="223">
        <v>136</v>
      </c>
      <c r="F133" s="223">
        <v>77</v>
      </c>
      <c r="G133" s="223">
        <v>97</v>
      </c>
      <c r="H133" s="202">
        <v>174</v>
      </c>
      <c r="I133" s="223">
        <v>158</v>
      </c>
      <c r="J133" s="223">
        <v>57</v>
      </c>
      <c r="K133" s="204">
        <v>215</v>
      </c>
      <c r="L133" s="217">
        <v>525</v>
      </c>
      <c r="M133" s="231">
        <v>164</v>
      </c>
      <c r="N133" s="231">
        <v>15</v>
      </c>
      <c r="O133" s="231">
        <v>81</v>
      </c>
      <c r="P133" s="206">
        <v>260</v>
      </c>
      <c r="Q133" s="207">
        <v>112</v>
      </c>
      <c r="R133" s="207">
        <v>13</v>
      </c>
      <c r="S133" s="207">
        <v>67</v>
      </c>
      <c r="T133" s="207">
        <v>192</v>
      </c>
      <c r="U133" s="208">
        <v>134</v>
      </c>
      <c r="V133" s="208">
        <v>20</v>
      </c>
      <c r="W133" s="208">
        <v>61</v>
      </c>
      <c r="X133" s="208">
        <v>215</v>
      </c>
      <c r="Y133" s="231">
        <v>142</v>
      </c>
      <c r="Z133" s="232">
        <v>8</v>
      </c>
      <c r="AA133" s="233">
        <v>87</v>
      </c>
      <c r="AB133" s="210">
        <v>237</v>
      </c>
      <c r="AC133" s="221">
        <v>45058</v>
      </c>
      <c r="AD133" s="223" t="s">
        <v>327</v>
      </c>
      <c r="AE133" s="223">
        <v>1</v>
      </c>
      <c r="AF133" s="223" t="s">
        <v>298</v>
      </c>
      <c r="AG133" s="223">
        <v>64</v>
      </c>
      <c r="AH133" s="223">
        <v>225</v>
      </c>
      <c r="AI133" s="223">
        <v>121</v>
      </c>
      <c r="AJ133" s="223">
        <v>42</v>
      </c>
      <c r="AK133" s="204">
        <v>163</v>
      </c>
      <c r="AL133" s="222">
        <v>452</v>
      </c>
      <c r="AM133" s="231">
        <v>117</v>
      </c>
      <c r="AN133" s="231">
        <v>8</v>
      </c>
      <c r="AO133" s="231">
        <v>43</v>
      </c>
      <c r="AP133" s="213">
        <v>168</v>
      </c>
      <c r="AQ133" s="207">
        <v>59</v>
      </c>
      <c r="AR133" s="207">
        <v>8</v>
      </c>
      <c r="AS133" s="207">
        <v>30</v>
      </c>
      <c r="AT133" s="207">
        <v>97</v>
      </c>
      <c r="AU133" s="208">
        <v>102</v>
      </c>
      <c r="AV133" s="208">
        <v>13</v>
      </c>
      <c r="AW133" s="208">
        <v>48</v>
      </c>
      <c r="AX133" s="208">
        <v>163</v>
      </c>
      <c r="AY133" s="231">
        <v>74</v>
      </c>
      <c r="AZ133" s="232">
        <v>3</v>
      </c>
      <c r="BA133" s="233">
        <v>25</v>
      </c>
      <c r="BB133" s="214">
        <v>102</v>
      </c>
    </row>
    <row r="134" spans="1:54" ht="15.75" x14ac:dyDescent="0.25">
      <c r="A134" s="215">
        <v>45059</v>
      </c>
      <c r="B134" s="223" t="s">
        <v>321</v>
      </c>
      <c r="C134" s="223">
        <v>2</v>
      </c>
      <c r="D134" s="223" t="s">
        <v>291</v>
      </c>
      <c r="E134" s="223">
        <v>165</v>
      </c>
      <c r="F134" s="223">
        <v>96</v>
      </c>
      <c r="G134" s="223">
        <v>92</v>
      </c>
      <c r="H134" s="202">
        <v>188</v>
      </c>
      <c r="I134" s="223">
        <v>139</v>
      </c>
      <c r="J134" s="223">
        <v>79</v>
      </c>
      <c r="K134" s="204">
        <v>218</v>
      </c>
      <c r="L134" s="217">
        <v>571</v>
      </c>
      <c r="M134" s="231">
        <v>166</v>
      </c>
      <c r="N134" s="231">
        <v>31</v>
      </c>
      <c r="O134" s="231">
        <v>89</v>
      </c>
      <c r="P134" s="206">
        <v>286</v>
      </c>
      <c r="Q134" s="207">
        <v>135</v>
      </c>
      <c r="R134" s="207">
        <v>17</v>
      </c>
      <c r="S134" s="207">
        <v>78</v>
      </c>
      <c r="T134" s="207">
        <v>230</v>
      </c>
      <c r="U134" s="208">
        <v>118</v>
      </c>
      <c r="V134" s="208">
        <v>20</v>
      </c>
      <c r="W134" s="208">
        <v>80</v>
      </c>
      <c r="X134" s="208">
        <v>218</v>
      </c>
      <c r="Y134" s="231">
        <v>183</v>
      </c>
      <c r="Z134" s="232">
        <v>28</v>
      </c>
      <c r="AA134" s="233">
        <v>87</v>
      </c>
      <c r="AB134" s="210">
        <v>298</v>
      </c>
      <c r="AC134" s="221">
        <v>45059</v>
      </c>
      <c r="AD134" s="223" t="s">
        <v>321</v>
      </c>
      <c r="AE134" s="223">
        <v>1</v>
      </c>
      <c r="AF134" s="223" t="s">
        <v>298</v>
      </c>
      <c r="AG134" s="223">
        <v>57</v>
      </c>
      <c r="AH134" s="223">
        <v>317</v>
      </c>
      <c r="AI134" s="223">
        <v>160</v>
      </c>
      <c r="AJ134" s="223">
        <v>41</v>
      </c>
      <c r="AK134" s="204">
        <v>201</v>
      </c>
      <c r="AL134" s="222">
        <v>575</v>
      </c>
      <c r="AM134" s="231">
        <v>111</v>
      </c>
      <c r="AN134" s="231">
        <v>6</v>
      </c>
      <c r="AO134" s="231">
        <v>43</v>
      </c>
      <c r="AP134" s="213">
        <v>160</v>
      </c>
      <c r="AQ134" s="207">
        <v>93</v>
      </c>
      <c r="AR134" s="207">
        <v>16</v>
      </c>
      <c r="AS134" s="207">
        <v>68</v>
      </c>
      <c r="AT134" s="207">
        <v>177</v>
      </c>
      <c r="AU134" s="208">
        <v>111</v>
      </c>
      <c r="AV134" s="208">
        <v>6</v>
      </c>
      <c r="AW134" s="208">
        <v>43</v>
      </c>
      <c r="AX134" s="208">
        <v>160</v>
      </c>
      <c r="AY134" s="231">
        <v>93</v>
      </c>
      <c r="AZ134" s="232">
        <v>16</v>
      </c>
      <c r="BA134" s="233">
        <v>68</v>
      </c>
      <c r="BB134" s="214">
        <v>177</v>
      </c>
    </row>
    <row r="135" spans="1:54" ht="15.75" x14ac:dyDescent="0.25">
      <c r="A135" s="215">
        <v>45060</v>
      </c>
      <c r="B135" s="223" t="s">
        <v>322</v>
      </c>
      <c r="C135" s="223">
        <v>4</v>
      </c>
      <c r="D135" s="223" t="s">
        <v>291</v>
      </c>
      <c r="E135" s="223">
        <v>189</v>
      </c>
      <c r="F135" s="223">
        <v>105</v>
      </c>
      <c r="G135" s="223">
        <v>98</v>
      </c>
      <c r="H135" s="202">
        <v>203</v>
      </c>
      <c r="I135" s="223">
        <v>151</v>
      </c>
      <c r="J135" s="223">
        <v>54</v>
      </c>
      <c r="K135" s="204">
        <v>205</v>
      </c>
      <c r="L135" s="217">
        <v>597</v>
      </c>
      <c r="M135" s="231">
        <v>185</v>
      </c>
      <c r="N135" s="231">
        <v>25</v>
      </c>
      <c r="O135" s="231">
        <v>52</v>
      </c>
      <c r="P135" s="206">
        <v>262</v>
      </c>
      <c r="Q135" s="207">
        <v>119</v>
      </c>
      <c r="R135" s="207">
        <v>23</v>
      </c>
      <c r="S135" s="207">
        <v>47</v>
      </c>
      <c r="T135" s="207">
        <v>189</v>
      </c>
      <c r="U135" s="208">
        <v>134</v>
      </c>
      <c r="V135" s="208">
        <v>19</v>
      </c>
      <c r="W135" s="208">
        <v>52</v>
      </c>
      <c r="X135" s="208">
        <v>205</v>
      </c>
      <c r="Y135" s="231">
        <v>170</v>
      </c>
      <c r="Z135" s="232">
        <v>29</v>
      </c>
      <c r="AA135" s="233">
        <v>47</v>
      </c>
      <c r="AB135" s="210">
        <v>246</v>
      </c>
      <c r="AC135" s="221">
        <v>45060</v>
      </c>
      <c r="AD135" s="223" t="s">
        <v>322</v>
      </c>
      <c r="AE135" s="223">
        <v>3</v>
      </c>
      <c r="AF135" s="223" t="s">
        <v>298</v>
      </c>
      <c r="AG135" s="223">
        <v>75</v>
      </c>
      <c r="AH135" s="223">
        <v>300</v>
      </c>
      <c r="AI135" s="223">
        <v>147</v>
      </c>
      <c r="AJ135" s="223">
        <v>56</v>
      </c>
      <c r="AK135" s="204">
        <v>203</v>
      </c>
      <c r="AL135" s="222">
        <v>578</v>
      </c>
      <c r="AM135" s="231">
        <v>152</v>
      </c>
      <c r="AN135" s="231">
        <v>17</v>
      </c>
      <c r="AO135" s="231">
        <v>48</v>
      </c>
      <c r="AP135" s="213">
        <v>217</v>
      </c>
      <c r="AQ135" s="207">
        <v>99</v>
      </c>
      <c r="AR135" s="207">
        <v>8</v>
      </c>
      <c r="AS135" s="207">
        <v>30</v>
      </c>
      <c r="AT135" s="207">
        <v>137</v>
      </c>
      <c r="AU135" s="208">
        <v>158</v>
      </c>
      <c r="AV135" s="208">
        <v>13</v>
      </c>
      <c r="AW135" s="208">
        <v>32</v>
      </c>
      <c r="AX135" s="208">
        <v>203</v>
      </c>
      <c r="AY135" s="231">
        <v>93</v>
      </c>
      <c r="AZ135" s="232">
        <v>12</v>
      </c>
      <c r="BA135" s="233">
        <v>46</v>
      </c>
      <c r="BB135" s="214">
        <v>151</v>
      </c>
    </row>
    <row r="136" spans="1:54" ht="15.75" x14ac:dyDescent="0.25">
      <c r="A136" s="215">
        <v>45061</v>
      </c>
      <c r="B136" s="223" t="s">
        <v>323</v>
      </c>
      <c r="C136" s="223">
        <v>4</v>
      </c>
      <c r="D136" s="223" t="s">
        <v>291</v>
      </c>
      <c r="E136" s="223">
        <v>178</v>
      </c>
      <c r="F136" s="223">
        <v>93</v>
      </c>
      <c r="G136" s="223">
        <v>108</v>
      </c>
      <c r="H136" s="202">
        <v>201</v>
      </c>
      <c r="I136" s="223">
        <v>158</v>
      </c>
      <c r="J136" s="223">
        <v>57</v>
      </c>
      <c r="K136" s="204">
        <v>215</v>
      </c>
      <c r="L136" s="217">
        <v>594</v>
      </c>
      <c r="M136" s="231">
        <v>164</v>
      </c>
      <c r="N136" s="231">
        <v>29</v>
      </c>
      <c r="O136" s="231">
        <v>66</v>
      </c>
      <c r="P136" s="206">
        <v>259</v>
      </c>
      <c r="Q136" s="207">
        <v>107</v>
      </c>
      <c r="R136" s="207">
        <v>15</v>
      </c>
      <c r="S136" s="207">
        <v>44</v>
      </c>
      <c r="T136" s="207">
        <v>166</v>
      </c>
      <c r="U136" s="208">
        <v>117</v>
      </c>
      <c r="V136" s="208">
        <v>29</v>
      </c>
      <c r="W136" s="208">
        <v>69</v>
      </c>
      <c r="X136" s="208">
        <v>215</v>
      </c>
      <c r="Y136" s="231">
        <v>154</v>
      </c>
      <c r="Z136" s="232">
        <v>15</v>
      </c>
      <c r="AA136" s="233">
        <v>41</v>
      </c>
      <c r="AB136" s="210">
        <v>210</v>
      </c>
      <c r="AC136" s="221">
        <v>45061</v>
      </c>
      <c r="AD136" s="223" t="s">
        <v>323</v>
      </c>
      <c r="AE136" s="223">
        <v>3</v>
      </c>
      <c r="AF136" s="223" t="s">
        <v>298</v>
      </c>
      <c r="AG136" s="223">
        <v>37</v>
      </c>
      <c r="AH136" s="223">
        <v>255</v>
      </c>
      <c r="AI136" s="223">
        <v>166</v>
      </c>
      <c r="AJ136" s="223">
        <v>93</v>
      </c>
      <c r="AK136" s="204">
        <v>259</v>
      </c>
      <c r="AL136" s="222">
        <v>551</v>
      </c>
      <c r="AM136" s="231">
        <v>141</v>
      </c>
      <c r="AN136" s="231">
        <v>12</v>
      </c>
      <c r="AO136" s="231">
        <v>55</v>
      </c>
      <c r="AP136" s="213">
        <v>208</v>
      </c>
      <c r="AQ136" s="207">
        <v>72</v>
      </c>
      <c r="AR136" s="207">
        <v>5</v>
      </c>
      <c r="AS136" s="207">
        <v>54</v>
      </c>
      <c r="AT136" s="207">
        <v>131</v>
      </c>
      <c r="AU136" s="208">
        <v>168</v>
      </c>
      <c r="AV136" s="208">
        <v>14</v>
      </c>
      <c r="AW136" s="208">
        <v>77</v>
      </c>
      <c r="AX136" s="208">
        <v>259</v>
      </c>
      <c r="AY136" s="231">
        <v>45</v>
      </c>
      <c r="AZ136" s="232">
        <v>3</v>
      </c>
      <c r="BA136" s="233">
        <v>32</v>
      </c>
      <c r="BB136" s="214">
        <v>80</v>
      </c>
    </row>
    <row r="137" spans="1:54" ht="15.75" x14ac:dyDescent="0.25">
      <c r="A137" s="215">
        <v>45062</v>
      </c>
      <c r="B137" s="223" t="s">
        <v>324</v>
      </c>
      <c r="C137" s="223">
        <v>1</v>
      </c>
      <c r="D137" s="223" t="s">
        <v>291</v>
      </c>
      <c r="E137" s="223">
        <v>94</v>
      </c>
      <c r="F137" s="223">
        <v>81</v>
      </c>
      <c r="G137" s="223">
        <v>85</v>
      </c>
      <c r="H137" s="202">
        <v>166</v>
      </c>
      <c r="I137" s="223">
        <v>135</v>
      </c>
      <c r="J137" s="223">
        <v>75</v>
      </c>
      <c r="K137" s="204">
        <v>210</v>
      </c>
      <c r="L137" s="217">
        <v>470</v>
      </c>
      <c r="M137" s="231">
        <v>142</v>
      </c>
      <c r="N137" s="231">
        <v>13</v>
      </c>
      <c r="O137" s="231">
        <v>58</v>
      </c>
      <c r="P137" s="206">
        <v>213</v>
      </c>
      <c r="Q137" s="207">
        <v>109</v>
      </c>
      <c r="R137" s="207">
        <v>19</v>
      </c>
      <c r="S137" s="207">
        <v>55</v>
      </c>
      <c r="T137" s="207">
        <v>183</v>
      </c>
      <c r="U137" s="208">
        <v>122</v>
      </c>
      <c r="V137" s="208">
        <v>15</v>
      </c>
      <c r="W137" s="208">
        <v>73</v>
      </c>
      <c r="X137" s="208">
        <v>210</v>
      </c>
      <c r="Y137" s="231">
        <v>129</v>
      </c>
      <c r="Z137" s="232">
        <v>17</v>
      </c>
      <c r="AA137" s="233">
        <v>40</v>
      </c>
      <c r="AB137" s="210">
        <v>186</v>
      </c>
      <c r="AC137" s="221">
        <v>45062</v>
      </c>
      <c r="AD137" s="223" t="s">
        <v>324</v>
      </c>
      <c r="AE137" s="223">
        <v>2</v>
      </c>
      <c r="AF137" s="223" t="s">
        <v>298</v>
      </c>
      <c r="AG137" s="223">
        <v>35</v>
      </c>
      <c r="AH137" s="223">
        <v>249</v>
      </c>
      <c r="AI137" s="223">
        <v>133</v>
      </c>
      <c r="AJ137" s="223">
        <v>68</v>
      </c>
      <c r="AK137" s="204">
        <v>201</v>
      </c>
      <c r="AL137" s="222">
        <v>485</v>
      </c>
      <c r="AM137" s="234">
        <v>107</v>
      </c>
      <c r="AN137" s="234">
        <v>11</v>
      </c>
      <c r="AO137" s="234">
        <v>55</v>
      </c>
      <c r="AP137" s="213">
        <v>173</v>
      </c>
      <c r="AQ137" s="235">
        <v>64</v>
      </c>
      <c r="AR137" s="235">
        <v>7</v>
      </c>
      <c r="AS137" s="235">
        <v>37</v>
      </c>
      <c r="AT137" s="207">
        <v>108</v>
      </c>
      <c r="AU137" s="208">
        <v>127</v>
      </c>
      <c r="AV137" s="208">
        <v>11</v>
      </c>
      <c r="AW137" s="208">
        <v>63</v>
      </c>
      <c r="AX137" s="208">
        <v>201</v>
      </c>
      <c r="AY137" s="231">
        <v>44</v>
      </c>
      <c r="AZ137" s="232">
        <v>7</v>
      </c>
      <c r="BA137" s="233">
        <v>29</v>
      </c>
      <c r="BB137" s="214">
        <v>80</v>
      </c>
    </row>
    <row r="138" spans="1:54" ht="15.75" x14ac:dyDescent="0.25">
      <c r="A138" s="215">
        <v>45063</v>
      </c>
      <c r="B138" s="223" t="s">
        <v>325</v>
      </c>
      <c r="C138" s="223">
        <v>1</v>
      </c>
      <c r="D138" s="223" t="s">
        <v>291</v>
      </c>
      <c r="E138" s="223">
        <v>117</v>
      </c>
      <c r="F138" s="223">
        <v>92</v>
      </c>
      <c r="G138" s="223">
        <v>80</v>
      </c>
      <c r="H138" s="202">
        <v>172</v>
      </c>
      <c r="I138" s="223">
        <v>149</v>
      </c>
      <c r="J138" s="223">
        <v>75</v>
      </c>
      <c r="K138" s="204">
        <v>224</v>
      </c>
      <c r="L138" s="217">
        <v>513</v>
      </c>
      <c r="M138" s="231">
        <v>182</v>
      </c>
      <c r="N138" s="231">
        <v>29</v>
      </c>
      <c r="O138" s="231">
        <v>79</v>
      </c>
      <c r="P138" s="206">
        <v>290</v>
      </c>
      <c r="Q138" s="207">
        <v>138</v>
      </c>
      <c r="R138" s="207">
        <v>25</v>
      </c>
      <c r="S138" s="207">
        <v>53</v>
      </c>
      <c r="T138" s="207">
        <v>216</v>
      </c>
      <c r="U138" s="208">
        <v>122</v>
      </c>
      <c r="V138" s="208">
        <v>26</v>
      </c>
      <c r="W138" s="208">
        <v>83</v>
      </c>
      <c r="X138" s="208">
        <v>231</v>
      </c>
      <c r="Y138" s="231">
        <v>198</v>
      </c>
      <c r="Z138" s="232">
        <v>28</v>
      </c>
      <c r="AA138" s="233">
        <v>49</v>
      </c>
      <c r="AB138" s="210">
        <v>275</v>
      </c>
      <c r="AC138" s="221">
        <v>45063</v>
      </c>
      <c r="AD138" s="223" t="s">
        <v>325</v>
      </c>
      <c r="AE138" s="223">
        <v>2</v>
      </c>
      <c r="AF138" s="223" t="s">
        <v>298</v>
      </c>
      <c r="AG138" s="223">
        <v>48</v>
      </c>
      <c r="AH138" s="223">
        <v>354</v>
      </c>
      <c r="AI138" s="223">
        <v>177</v>
      </c>
      <c r="AJ138" s="223">
        <v>44</v>
      </c>
      <c r="AK138" s="204">
        <v>221</v>
      </c>
      <c r="AL138" s="222">
        <v>623</v>
      </c>
      <c r="AM138" s="234">
        <v>155</v>
      </c>
      <c r="AN138" s="234">
        <v>15</v>
      </c>
      <c r="AO138" s="234">
        <v>68</v>
      </c>
      <c r="AP138" s="213">
        <v>238</v>
      </c>
      <c r="AQ138" s="235">
        <v>70</v>
      </c>
      <c r="AR138" s="235">
        <v>6</v>
      </c>
      <c r="AS138" s="235">
        <v>42</v>
      </c>
      <c r="AT138" s="207">
        <v>118</v>
      </c>
      <c r="AU138" s="208">
        <v>144</v>
      </c>
      <c r="AV138" s="208">
        <v>12</v>
      </c>
      <c r="AW138" s="208">
        <v>65</v>
      </c>
      <c r="AX138" s="208">
        <v>221</v>
      </c>
      <c r="AY138" s="231">
        <v>81</v>
      </c>
      <c r="AZ138" s="232">
        <v>9</v>
      </c>
      <c r="BA138" s="233">
        <v>45</v>
      </c>
      <c r="BB138" s="214">
        <v>135</v>
      </c>
    </row>
    <row r="139" spans="1:54" ht="15.75" x14ac:dyDescent="0.25">
      <c r="A139" s="215">
        <v>45064</v>
      </c>
      <c r="B139" s="223" t="s">
        <v>326</v>
      </c>
      <c r="C139" s="223">
        <v>3</v>
      </c>
      <c r="D139" s="223" t="s">
        <v>291</v>
      </c>
      <c r="E139" s="223">
        <v>154</v>
      </c>
      <c r="F139" s="223">
        <v>67</v>
      </c>
      <c r="G139" s="223">
        <v>99</v>
      </c>
      <c r="H139" s="202">
        <v>166</v>
      </c>
      <c r="I139" s="223">
        <v>119</v>
      </c>
      <c r="J139" s="223">
        <v>58</v>
      </c>
      <c r="K139" s="204">
        <v>177</v>
      </c>
      <c r="L139" s="217">
        <v>497</v>
      </c>
      <c r="M139" s="231">
        <v>138</v>
      </c>
      <c r="N139" s="231">
        <v>22</v>
      </c>
      <c r="O139" s="231">
        <v>50</v>
      </c>
      <c r="P139" s="206">
        <v>210</v>
      </c>
      <c r="Q139" s="207">
        <v>116</v>
      </c>
      <c r="R139" s="207">
        <v>15</v>
      </c>
      <c r="S139" s="207">
        <v>71</v>
      </c>
      <c r="T139" s="207">
        <v>202</v>
      </c>
      <c r="U139" s="208">
        <v>105</v>
      </c>
      <c r="V139" s="208">
        <v>27</v>
      </c>
      <c r="W139" s="208">
        <v>48</v>
      </c>
      <c r="X139" s="208">
        <v>180</v>
      </c>
      <c r="Y139" s="231">
        <v>149</v>
      </c>
      <c r="Z139" s="232">
        <v>10</v>
      </c>
      <c r="AA139" s="233">
        <v>73</v>
      </c>
      <c r="AB139" s="210">
        <v>232</v>
      </c>
      <c r="AC139" s="221">
        <v>45064</v>
      </c>
      <c r="AD139" s="223" t="s">
        <v>326</v>
      </c>
      <c r="AE139" s="223">
        <v>4</v>
      </c>
      <c r="AF139" s="223" t="s">
        <v>298</v>
      </c>
      <c r="AG139" s="223">
        <v>81</v>
      </c>
      <c r="AH139" s="223">
        <v>301</v>
      </c>
      <c r="AI139" s="223">
        <v>143</v>
      </c>
      <c r="AJ139" s="223">
        <v>72</v>
      </c>
      <c r="AK139" s="204">
        <v>215</v>
      </c>
      <c r="AL139" s="222">
        <v>597</v>
      </c>
      <c r="AM139" s="231">
        <v>128</v>
      </c>
      <c r="AN139" s="231">
        <v>13</v>
      </c>
      <c r="AO139" s="231">
        <v>32</v>
      </c>
      <c r="AP139" s="213">
        <v>173</v>
      </c>
      <c r="AQ139" s="207">
        <v>69</v>
      </c>
      <c r="AR139" s="207">
        <v>5</v>
      </c>
      <c r="AS139" s="207">
        <v>32</v>
      </c>
      <c r="AT139" s="207">
        <v>106</v>
      </c>
      <c r="AU139" s="208">
        <v>132</v>
      </c>
      <c r="AV139" s="208">
        <v>17</v>
      </c>
      <c r="AW139" s="208">
        <v>66</v>
      </c>
      <c r="AX139" s="208">
        <v>215</v>
      </c>
      <c r="AY139" s="231">
        <v>65</v>
      </c>
      <c r="AZ139" s="232">
        <v>1</v>
      </c>
      <c r="BA139" s="233">
        <v>-2</v>
      </c>
      <c r="BB139" s="214">
        <v>64</v>
      </c>
    </row>
    <row r="140" spans="1:54" ht="15.75" x14ac:dyDescent="0.25">
      <c r="A140" s="215">
        <v>45065</v>
      </c>
      <c r="B140" s="223" t="s">
        <v>327</v>
      </c>
      <c r="C140" s="223">
        <v>3</v>
      </c>
      <c r="D140" s="223" t="s">
        <v>291</v>
      </c>
      <c r="E140" s="223">
        <v>144</v>
      </c>
      <c r="F140" s="223">
        <v>99</v>
      </c>
      <c r="G140" s="223">
        <v>100</v>
      </c>
      <c r="H140" s="202">
        <v>199</v>
      </c>
      <c r="I140" s="223">
        <v>124</v>
      </c>
      <c r="J140" s="223">
        <v>66</v>
      </c>
      <c r="K140" s="204">
        <v>190</v>
      </c>
      <c r="L140" s="217">
        <v>533</v>
      </c>
      <c r="M140" s="231">
        <v>138</v>
      </c>
      <c r="N140" s="231">
        <v>17</v>
      </c>
      <c r="O140" s="231">
        <v>56</v>
      </c>
      <c r="P140" s="206">
        <v>211</v>
      </c>
      <c r="Q140" s="207">
        <v>117</v>
      </c>
      <c r="R140" s="207">
        <v>15</v>
      </c>
      <c r="S140" s="207">
        <v>65</v>
      </c>
      <c r="T140" s="207">
        <v>197</v>
      </c>
      <c r="U140" s="208">
        <v>110</v>
      </c>
      <c r="V140" s="208">
        <v>17</v>
      </c>
      <c r="W140" s="208">
        <v>63</v>
      </c>
      <c r="X140" s="208">
        <v>190</v>
      </c>
      <c r="Y140" s="231">
        <v>145</v>
      </c>
      <c r="Z140" s="232">
        <v>15</v>
      </c>
      <c r="AA140" s="233">
        <v>58</v>
      </c>
      <c r="AB140" s="210">
        <v>218</v>
      </c>
      <c r="AC140" s="221">
        <v>45065</v>
      </c>
      <c r="AD140" s="223" t="s">
        <v>327</v>
      </c>
      <c r="AE140" s="223">
        <v>4</v>
      </c>
      <c r="AF140" s="223" t="s">
        <v>298</v>
      </c>
      <c r="AG140" s="223">
        <v>88</v>
      </c>
      <c r="AH140" s="223">
        <v>305</v>
      </c>
      <c r="AI140" s="223">
        <v>135</v>
      </c>
      <c r="AJ140" s="223">
        <v>95</v>
      </c>
      <c r="AK140" s="204">
        <v>230</v>
      </c>
      <c r="AL140" s="222">
        <v>623</v>
      </c>
      <c r="AM140" s="231">
        <v>114</v>
      </c>
      <c r="AN140" s="231">
        <v>14</v>
      </c>
      <c r="AO140" s="231">
        <v>40</v>
      </c>
      <c r="AP140" s="213">
        <v>168</v>
      </c>
      <c r="AQ140" s="207">
        <v>104</v>
      </c>
      <c r="AR140" s="207">
        <v>4</v>
      </c>
      <c r="AS140" s="207">
        <v>39</v>
      </c>
      <c r="AT140" s="207">
        <v>147</v>
      </c>
      <c r="AU140" s="208">
        <v>140</v>
      </c>
      <c r="AV140" s="208">
        <v>15</v>
      </c>
      <c r="AW140" s="208">
        <v>75</v>
      </c>
      <c r="AX140" s="208">
        <v>230</v>
      </c>
      <c r="AY140" s="231">
        <v>78</v>
      </c>
      <c r="AZ140" s="232">
        <v>3</v>
      </c>
      <c r="BA140" s="233">
        <v>4</v>
      </c>
      <c r="BB140" s="214">
        <v>85</v>
      </c>
    </row>
    <row r="141" spans="1:54" ht="15.75" x14ac:dyDescent="0.25">
      <c r="A141" s="215">
        <v>45066</v>
      </c>
      <c r="B141" s="223" t="s">
        <v>321</v>
      </c>
      <c r="C141" s="223">
        <v>2</v>
      </c>
      <c r="D141" s="223" t="s">
        <v>291</v>
      </c>
      <c r="E141" s="223">
        <v>168</v>
      </c>
      <c r="F141" s="223">
        <v>85</v>
      </c>
      <c r="G141" s="223">
        <v>88</v>
      </c>
      <c r="H141" s="202">
        <v>173</v>
      </c>
      <c r="I141" s="223">
        <v>151</v>
      </c>
      <c r="J141" s="223">
        <v>78</v>
      </c>
      <c r="K141" s="204">
        <v>229</v>
      </c>
      <c r="L141" s="217">
        <v>570</v>
      </c>
      <c r="M141" s="231">
        <v>162</v>
      </c>
      <c r="N141" s="231">
        <v>24</v>
      </c>
      <c r="O141" s="231">
        <v>101</v>
      </c>
      <c r="P141" s="206">
        <v>287</v>
      </c>
      <c r="Q141" s="207">
        <v>122</v>
      </c>
      <c r="R141" s="207">
        <v>18</v>
      </c>
      <c r="S141" s="207">
        <v>62</v>
      </c>
      <c r="T141" s="207">
        <v>202</v>
      </c>
      <c r="U141" s="208">
        <v>130</v>
      </c>
      <c r="V141" s="208">
        <v>24</v>
      </c>
      <c r="W141" s="208">
        <v>75</v>
      </c>
      <c r="X141" s="208">
        <v>229</v>
      </c>
      <c r="Y141" s="231">
        <v>154</v>
      </c>
      <c r="Z141" s="232">
        <v>18</v>
      </c>
      <c r="AA141" s="233">
        <v>88</v>
      </c>
      <c r="AB141" s="210">
        <v>260</v>
      </c>
      <c r="AC141" s="221">
        <v>45066</v>
      </c>
      <c r="AD141" s="223" t="s">
        <v>321</v>
      </c>
      <c r="AE141" s="223">
        <v>1</v>
      </c>
      <c r="AF141" s="223" t="s">
        <v>298</v>
      </c>
      <c r="AG141" s="223">
        <v>45</v>
      </c>
      <c r="AH141" s="223">
        <v>247</v>
      </c>
      <c r="AI141" s="223">
        <v>126</v>
      </c>
      <c r="AJ141" s="223">
        <v>49</v>
      </c>
      <c r="AK141" s="204">
        <v>175</v>
      </c>
      <c r="AL141" s="222">
        <v>467</v>
      </c>
      <c r="AM141" s="231">
        <v>131</v>
      </c>
      <c r="AN141" s="231">
        <v>13</v>
      </c>
      <c r="AO141" s="231">
        <v>60</v>
      </c>
      <c r="AP141" s="213">
        <v>204</v>
      </c>
      <c r="AQ141" s="207">
        <v>90</v>
      </c>
      <c r="AR141" s="207">
        <v>10</v>
      </c>
      <c r="AS141" s="207">
        <v>24</v>
      </c>
      <c r="AT141" s="207">
        <v>124</v>
      </c>
      <c r="AU141" s="208">
        <v>122</v>
      </c>
      <c r="AV141" s="208">
        <v>13</v>
      </c>
      <c r="AW141" s="208">
        <v>40</v>
      </c>
      <c r="AX141" s="208">
        <v>175</v>
      </c>
      <c r="AY141" s="231">
        <v>99</v>
      </c>
      <c r="AZ141" s="232">
        <v>10</v>
      </c>
      <c r="BA141" s="233">
        <v>44</v>
      </c>
      <c r="BB141" s="214">
        <v>153</v>
      </c>
    </row>
    <row r="142" spans="1:54" ht="15.75" x14ac:dyDescent="0.25">
      <c r="A142" s="215">
        <v>45067</v>
      </c>
      <c r="B142" s="223" t="s">
        <v>322</v>
      </c>
      <c r="C142" s="223">
        <v>2</v>
      </c>
      <c r="D142" s="223" t="s">
        <v>291</v>
      </c>
      <c r="E142" s="223">
        <v>174</v>
      </c>
      <c r="F142" s="223">
        <v>99</v>
      </c>
      <c r="G142" s="223">
        <v>82</v>
      </c>
      <c r="H142" s="202">
        <v>181</v>
      </c>
      <c r="I142" s="223">
        <v>140</v>
      </c>
      <c r="J142" s="223">
        <v>74</v>
      </c>
      <c r="K142" s="204">
        <v>214</v>
      </c>
      <c r="L142" s="217">
        <v>569</v>
      </c>
      <c r="M142" s="231">
        <v>169</v>
      </c>
      <c r="N142" s="231">
        <v>22</v>
      </c>
      <c r="O142" s="231">
        <v>80</v>
      </c>
      <c r="P142" s="206">
        <v>271</v>
      </c>
      <c r="Q142" s="207">
        <v>118</v>
      </c>
      <c r="R142" s="207">
        <v>11</v>
      </c>
      <c r="S142" s="207">
        <v>80</v>
      </c>
      <c r="T142" s="207">
        <v>209</v>
      </c>
      <c r="U142" s="208">
        <v>127</v>
      </c>
      <c r="V142" s="208">
        <v>14</v>
      </c>
      <c r="W142" s="208">
        <v>73</v>
      </c>
      <c r="X142" s="208">
        <v>214</v>
      </c>
      <c r="Y142" s="231">
        <v>160</v>
      </c>
      <c r="Z142" s="232">
        <v>19</v>
      </c>
      <c r="AA142" s="233">
        <v>87</v>
      </c>
      <c r="AB142" s="210">
        <v>266</v>
      </c>
      <c r="AC142" s="221">
        <v>45067</v>
      </c>
      <c r="AD142" s="223" t="s">
        <v>322</v>
      </c>
      <c r="AE142" s="223">
        <v>1</v>
      </c>
      <c r="AF142" s="223" t="s">
        <v>298</v>
      </c>
      <c r="AG142" s="223">
        <v>61</v>
      </c>
      <c r="AH142" s="223">
        <v>265</v>
      </c>
      <c r="AI142" s="223">
        <v>172</v>
      </c>
      <c r="AJ142" s="223">
        <v>78</v>
      </c>
      <c r="AK142" s="204">
        <v>250</v>
      </c>
      <c r="AL142" s="222">
        <v>576</v>
      </c>
      <c r="AM142" s="231">
        <v>149</v>
      </c>
      <c r="AN142" s="231">
        <v>12</v>
      </c>
      <c r="AO142" s="231">
        <v>72</v>
      </c>
      <c r="AP142" s="213">
        <v>233</v>
      </c>
      <c r="AQ142" s="207">
        <v>94</v>
      </c>
      <c r="AR142" s="207">
        <v>10</v>
      </c>
      <c r="AS142" s="207">
        <v>51</v>
      </c>
      <c r="AT142" s="207">
        <v>155</v>
      </c>
      <c r="AU142" s="208">
        <v>175</v>
      </c>
      <c r="AV142" s="208">
        <v>11</v>
      </c>
      <c r="AW142" s="208">
        <v>64</v>
      </c>
      <c r="AX142" s="208">
        <v>250</v>
      </c>
      <c r="AY142" s="231">
        <v>68</v>
      </c>
      <c r="AZ142" s="232">
        <v>11</v>
      </c>
      <c r="BA142" s="233">
        <v>59</v>
      </c>
      <c r="BB142" s="214">
        <v>138</v>
      </c>
    </row>
    <row r="143" spans="1:54" ht="15.75" x14ac:dyDescent="0.25">
      <c r="A143" s="215">
        <v>45068</v>
      </c>
      <c r="B143" s="223" t="s">
        <v>323</v>
      </c>
      <c r="C143" s="223">
        <v>4</v>
      </c>
      <c r="D143" s="223" t="s">
        <v>291</v>
      </c>
      <c r="E143" s="223">
        <v>187</v>
      </c>
      <c r="F143" s="223">
        <v>80</v>
      </c>
      <c r="G143" s="223">
        <v>84</v>
      </c>
      <c r="H143" s="202">
        <v>164</v>
      </c>
      <c r="I143" s="223">
        <v>148</v>
      </c>
      <c r="J143" s="223">
        <v>57</v>
      </c>
      <c r="K143" s="204">
        <v>205</v>
      </c>
      <c r="L143" s="217">
        <v>556</v>
      </c>
      <c r="M143" s="231">
        <v>156</v>
      </c>
      <c r="N143" s="231">
        <v>29</v>
      </c>
      <c r="O143" s="231">
        <v>71</v>
      </c>
      <c r="P143" s="206">
        <v>256</v>
      </c>
      <c r="Q143" s="207">
        <v>100</v>
      </c>
      <c r="R143" s="207">
        <v>10</v>
      </c>
      <c r="S143" s="207">
        <v>45</v>
      </c>
      <c r="T143" s="207">
        <v>155</v>
      </c>
      <c r="U143" s="208">
        <v>136</v>
      </c>
      <c r="V143" s="208">
        <v>18</v>
      </c>
      <c r="W143" s="208">
        <v>51</v>
      </c>
      <c r="X143" s="208">
        <v>205</v>
      </c>
      <c r="Y143" s="231">
        <v>120</v>
      </c>
      <c r="Z143" s="232">
        <v>21</v>
      </c>
      <c r="AA143" s="233">
        <v>65</v>
      </c>
      <c r="AB143" s="210">
        <v>206</v>
      </c>
      <c r="AC143" s="221">
        <v>45068</v>
      </c>
      <c r="AD143" s="223" t="s">
        <v>323</v>
      </c>
      <c r="AE143" s="223">
        <v>3</v>
      </c>
      <c r="AF143" s="223" t="s">
        <v>298</v>
      </c>
      <c r="AG143" s="223">
        <v>44</v>
      </c>
      <c r="AH143" s="223">
        <v>210</v>
      </c>
      <c r="AI143" s="223">
        <v>133</v>
      </c>
      <c r="AJ143" s="223">
        <v>73</v>
      </c>
      <c r="AK143" s="204">
        <v>206</v>
      </c>
      <c r="AL143" s="222">
        <v>460</v>
      </c>
      <c r="AM143" s="231">
        <v>132</v>
      </c>
      <c r="AN143" s="231">
        <v>8</v>
      </c>
      <c r="AO143" s="231">
        <v>47</v>
      </c>
      <c r="AP143" s="213">
        <v>187</v>
      </c>
      <c r="AQ143" s="207">
        <v>80</v>
      </c>
      <c r="AR143" s="207">
        <v>3</v>
      </c>
      <c r="AS143" s="207">
        <v>38</v>
      </c>
      <c r="AT143" s="207">
        <v>121</v>
      </c>
      <c r="AU143" s="208">
        <v>154</v>
      </c>
      <c r="AV143" s="208">
        <v>8</v>
      </c>
      <c r="AW143" s="208">
        <v>44</v>
      </c>
      <c r="AX143" s="208">
        <v>206</v>
      </c>
      <c r="AY143" s="231">
        <v>58</v>
      </c>
      <c r="AZ143" s="232">
        <v>3</v>
      </c>
      <c r="BA143" s="233">
        <v>41</v>
      </c>
      <c r="BB143" s="214">
        <v>102</v>
      </c>
    </row>
    <row r="144" spans="1:54" ht="15.75" x14ac:dyDescent="0.25">
      <c r="A144" s="215">
        <v>45069</v>
      </c>
      <c r="B144" s="223" t="s">
        <v>324</v>
      </c>
      <c r="C144" s="223">
        <v>4</v>
      </c>
      <c r="D144" s="223" t="s">
        <v>291</v>
      </c>
      <c r="E144" s="223">
        <v>121</v>
      </c>
      <c r="F144" s="223">
        <v>86</v>
      </c>
      <c r="G144" s="223">
        <v>84</v>
      </c>
      <c r="H144" s="202">
        <v>170</v>
      </c>
      <c r="I144" s="223">
        <v>174</v>
      </c>
      <c r="J144" s="223">
        <v>53</v>
      </c>
      <c r="K144" s="204">
        <v>227</v>
      </c>
      <c r="L144" s="217">
        <v>518</v>
      </c>
      <c r="M144" s="227">
        <v>166</v>
      </c>
      <c r="N144" s="227">
        <v>21</v>
      </c>
      <c r="O144" s="227">
        <v>58</v>
      </c>
      <c r="P144" s="206">
        <v>245</v>
      </c>
      <c r="Q144" s="207">
        <v>102</v>
      </c>
      <c r="R144" s="207">
        <v>21</v>
      </c>
      <c r="S144" s="207">
        <v>46</v>
      </c>
      <c r="T144" s="207">
        <v>169</v>
      </c>
      <c r="U144" s="208">
        <v>133</v>
      </c>
      <c r="V144" s="208">
        <v>31</v>
      </c>
      <c r="W144" s="208">
        <v>63</v>
      </c>
      <c r="X144" s="208">
        <v>227</v>
      </c>
      <c r="Y144" s="231">
        <v>135</v>
      </c>
      <c r="Z144" s="232">
        <v>11</v>
      </c>
      <c r="AA144" s="233">
        <v>41</v>
      </c>
      <c r="AB144" s="210">
        <v>187</v>
      </c>
      <c r="AC144" s="221">
        <v>45069</v>
      </c>
      <c r="AD144" s="223" t="s">
        <v>324</v>
      </c>
      <c r="AE144" s="223">
        <v>3</v>
      </c>
      <c r="AF144" s="223" t="s">
        <v>298</v>
      </c>
      <c r="AG144" s="223">
        <v>44</v>
      </c>
      <c r="AH144" s="223">
        <v>204</v>
      </c>
      <c r="AI144" s="223">
        <v>168</v>
      </c>
      <c r="AJ144" s="223">
        <v>65</v>
      </c>
      <c r="AK144" s="204">
        <v>233</v>
      </c>
      <c r="AL144" s="222">
        <v>481</v>
      </c>
      <c r="AM144" s="231">
        <v>144</v>
      </c>
      <c r="AN144" s="231">
        <v>14</v>
      </c>
      <c r="AO144" s="231">
        <v>61</v>
      </c>
      <c r="AP144" s="213">
        <v>219</v>
      </c>
      <c r="AQ144" s="207">
        <v>82</v>
      </c>
      <c r="AR144" s="207">
        <v>9</v>
      </c>
      <c r="AS144" s="207">
        <v>30</v>
      </c>
      <c r="AT144" s="207">
        <v>121</v>
      </c>
      <c r="AU144" s="208">
        <v>158</v>
      </c>
      <c r="AV144" s="208">
        <v>15</v>
      </c>
      <c r="AW144" s="208">
        <v>60</v>
      </c>
      <c r="AX144" s="208">
        <v>233</v>
      </c>
      <c r="AY144" s="231">
        <v>68</v>
      </c>
      <c r="AZ144" s="232">
        <v>8</v>
      </c>
      <c r="BA144" s="233">
        <v>31</v>
      </c>
      <c r="BB144" s="214">
        <v>107</v>
      </c>
    </row>
    <row r="145" spans="1:54" ht="15.75" x14ac:dyDescent="0.25">
      <c r="A145" s="215">
        <v>45070</v>
      </c>
      <c r="B145" s="223" t="s">
        <v>325</v>
      </c>
      <c r="C145" s="223">
        <v>1</v>
      </c>
      <c r="D145" s="223" t="s">
        <v>291</v>
      </c>
      <c r="E145" s="223">
        <v>130</v>
      </c>
      <c r="F145" s="223">
        <v>76</v>
      </c>
      <c r="G145" s="223">
        <v>77</v>
      </c>
      <c r="H145" s="202">
        <v>153</v>
      </c>
      <c r="I145" s="223">
        <v>153</v>
      </c>
      <c r="J145" s="223">
        <v>75</v>
      </c>
      <c r="K145" s="204">
        <v>228</v>
      </c>
      <c r="L145" s="217">
        <v>511</v>
      </c>
      <c r="M145" s="231">
        <v>138</v>
      </c>
      <c r="N145" s="231">
        <v>18</v>
      </c>
      <c r="O145" s="231">
        <v>81</v>
      </c>
      <c r="P145" s="206">
        <v>237</v>
      </c>
      <c r="Q145" s="207">
        <v>123</v>
      </c>
      <c r="R145" s="207">
        <v>25</v>
      </c>
      <c r="S145" s="207">
        <v>52</v>
      </c>
      <c r="T145" s="207">
        <v>200</v>
      </c>
      <c r="U145" s="208">
        <v>121</v>
      </c>
      <c r="V145" s="208">
        <v>26</v>
      </c>
      <c r="W145" s="208">
        <v>81</v>
      </c>
      <c r="X145" s="208">
        <v>228</v>
      </c>
      <c r="Y145" s="231">
        <v>140</v>
      </c>
      <c r="Z145" s="232">
        <v>17</v>
      </c>
      <c r="AA145" s="233">
        <v>52</v>
      </c>
      <c r="AB145" s="210">
        <v>209</v>
      </c>
      <c r="AC145" s="221">
        <v>45070</v>
      </c>
      <c r="AD145" s="223" t="s">
        <v>325</v>
      </c>
      <c r="AE145" s="223">
        <v>2</v>
      </c>
      <c r="AF145" s="223" t="s">
        <v>298</v>
      </c>
      <c r="AG145" s="223">
        <v>48</v>
      </c>
      <c r="AH145" s="223">
        <v>284</v>
      </c>
      <c r="AI145" s="223">
        <v>160</v>
      </c>
      <c r="AJ145" s="223">
        <v>64</v>
      </c>
      <c r="AK145" s="204">
        <v>224</v>
      </c>
      <c r="AL145" s="222">
        <v>556</v>
      </c>
      <c r="AM145" s="231">
        <v>129</v>
      </c>
      <c r="AN145" s="231">
        <v>13</v>
      </c>
      <c r="AO145" s="231">
        <v>53</v>
      </c>
      <c r="AP145" s="213">
        <v>195</v>
      </c>
      <c r="AQ145" s="207">
        <v>78</v>
      </c>
      <c r="AR145" s="207">
        <v>5</v>
      </c>
      <c r="AS145" s="207">
        <v>33</v>
      </c>
      <c r="AT145" s="207">
        <v>116</v>
      </c>
      <c r="AU145" s="208">
        <v>159</v>
      </c>
      <c r="AV145" s="208">
        <v>16</v>
      </c>
      <c r="AW145" s="208">
        <v>49</v>
      </c>
      <c r="AX145" s="208">
        <v>224</v>
      </c>
      <c r="AY145" s="231">
        <v>48</v>
      </c>
      <c r="AZ145" s="232">
        <v>2</v>
      </c>
      <c r="BA145" s="233">
        <v>37</v>
      </c>
      <c r="BB145" s="214">
        <v>87</v>
      </c>
    </row>
    <row r="146" spans="1:54" ht="15.75" x14ac:dyDescent="0.25">
      <c r="A146" s="215">
        <v>45071</v>
      </c>
      <c r="B146" s="223" t="s">
        <v>326</v>
      </c>
      <c r="C146" s="223">
        <v>1</v>
      </c>
      <c r="D146" s="223" t="s">
        <v>291</v>
      </c>
      <c r="E146" s="223">
        <v>148</v>
      </c>
      <c r="F146" s="223">
        <v>107</v>
      </c>
      <c r="G146" s="223">
        <v>90</v>
      </c>
      <c r="H146" s="202">
        <v>197</v>
      </c>
      <c r="I146" s="223">
        <v>145</v>
      </c>
      <c r="J146" s="223">
        <v>65</v>
      </c>
      <c r="K146" s="204">
        <v>210</v>
      </c>
      <c r="L146" s="217">
        <v>555</v>
      </c>
      <c r="M146" s="231">
        <v>160</v>
      </c>
      <c r="N146" s="231">
        <v>11</v>
      </c>
      <c r="O146" s="231">
        <v>65</v>
      </c>
      <c r="P146" s="206">
        <v>236</v>
      </c>
      <c r="Q146" s="207">
        <v>153</v>
      </c>
      <c r="R146" s="207">
        <v>17</v>
      </c>
      <c r="S146" s="207">
        <v>54</v>
      </c>
      <c r="T146" s="207">
        <v>224</v>
      </c>
      <c r="U146" s="208">
        <v>130</v>
      </c>
      <c r="V146" s="208">
        <v>16</v>
      </c>
      <c r="W146" s="208">
        <v>66</v>
      </c>
      <c r="X146" s="208">
        <v>212</v>
      </c>
      <c r="Y146" s="231">
        <v>183</v>
      </c>
      <c r="Z146" s="232">
        <v>12</v>
      </c>
      <c r="AA146" s="233">
        <v>53</v>
      </c>
      <c r="AB146" s="210">
        <v>248</v>
      </c>
      <c r="AC146" s="221">
        <v>45071</v>
      </c>
      <c r="AD146" s="223" t="s">
        <v>326</v>
      </c>
      <c r="AE146" s="223">
        <v>2</v>
      </c>
      <c r="AF146" s="223" t="s">
        <v>298</v>
      </c>
      <c r="AG146" s="223">
        <v>56</v>
      </c>
      <c r="AH146" s="223">
        <v>341</v>
      </c>
      <c r="AI146" s="223">
        <v>122</v>
      </c>
      <c r="AJ146" s="223">
        <v>64</v>
      </c>
      <c r="AK146" s="204">
        <v>186</v>
      </c>
      <c r="AL146" s="222">
        <v>583</v>
      </c>
      <c r="AM146" s="231">
        <v>119</v>
      </c>
      <c r="AN146" s="231">
        <v>5</v>
      </c>
      <c r="AO146" s="231">
        <v>48</v>
      </c>
      <c r="AP146" s="213">
        <v>172</v>
      </c>
      <c r="AQ146" s="207">
        <v>79</v>
      </c>
      <c r="AR146" s="207">
        <v>7</v>
      </c>
      <c r="AS146" s="207">
        <v>48</v>
      </c>
      <c r="AT146" s="207">
        <v>134</v>
      </c>
      <c r="AU146" s="208">
        <v>141</v>
      </c>
      <c r="AV146" s="208">
        <v>8</v>
      </c>
      <c r="AW146" s="208">
        <v>37</v>
      </c>
      <c r="AX146" s="208">
        <v>186</v>
      </c>
      <c r="AY146" s="231">
        <v>57</v>
      </c>
      <c r="AZ146" s="232">
        <v>4</v>
      </c>
      <c r="BA146" s="233">
        <v>59</v>
      </c>
      <c r="BB146" s="214">
        <v>120</v>
      </c>
    </row>
    <row r="147" spans="1:54" ht="15.75" x14ac:dyDescent="0.25">
      <c r="A147" s="215">
        <v>45072</v>
      </c>
      <c r="B147" s="223" t="s">
        <v>327</v>
      </c>
      <c r="C147" s="223">
        <v>3</v>
      </c>
      <c r="D147" s="223" t="s">
        <v>291</v>
      </c>
      <c r="E147" s="223">
        <v>132</v>
      </c>
      <c r="F147" s="223">
        <v>71</v>
      </c>
      <c r="G147" s="223">
        <v>115</v>
      </c>
      <c r="H147" s="202">
        <v>186</v>
      </c>
      <c r="I147" s="223">
        <v>121</v>
      </c>
      <c r="J147" s="223">
        <v>75</v>
      </c>
      <c r="K147" s="204">
        <v>196</v>
      </c>
      <c r="L147" s="217">
        <v>514</v>
      </c>
      <c r="M147" s="231">
        <v>146</v>
      </c>
      <c r="N147" s="231">
        <v>17</v>
      </c>
      <c r="O147" s="231">
        <v>71</v>
      </c>
      <c r="P147" s="206">
        <v>234</v>
      </c>
      <c r="Q147" s="207">
        <v>134</v>
      </c>
      <c r="R147" s="207">
        <v>14</v>
      </c>
      <c r="S147" s="207">
        <v>69</v>
      </c>
      <c r="T147" s="207">
        <v>217</v>
      </c>
      <c r="U147" s="208">
        <v>122</v>
      </c>
      <c r="V147" s="208">
        <v>20</v>
      </c>
      <c r="W147" s="208">
        <v>54</v>
      </c>
      <c r="X147" s="208">
        <v>196</v>
      </c>
      <c r="Y147" s="231">
        <v>158</v>
      </c>
      <c r="Z147" s="232">
        <v>11</v>
      </c>
      <c r="AA147" s="233">
        <v>86</v>
      </c>
      <c r="AB147" s="210">
        <v>255</v>
      </c>
      <c r="AC147" s="221">
        <v>45072</v>
      </c>
      <c r="AD147" s="223" t="s">
        <v>327</v>
      </c>
      <c r="AE147" s="223">
        <v>4</v>
      </c>
      <c r="AF147" s="223" t="s">
        <v>298</v>
      </c>
      <c r="AG147" s="223">
        <v>80</v>
      </c>
      <c r="AH147" s="223">
        <v>326</v>
      </c>
      <c r="AI147" s="223">
        <v>124</v>
      </c>
      <c r="AJ147" s="223">
        <v>57</v>
      </c>
      <c r="AK147" s="204">
        <v>181</v>
      </c>
      <c r="AL147" s="222">
        <v>587</v>
      </c>
      <c r="AM147" s="231">
        <v>127</v>
      </c>
      <c r="AN147" s="231">
        <v>11</v>
      </c>
      <c r="AO147" s="231">
        <v>44</v>
      </c>
      <c r="AP147" s="213">
        <v>182</v>
      </c>
      <c r="AQ147" s="207">
        <v>92</v>
      </c>
      <c r="AR147" s="207">
        <v>7</v>
      </c>
      <c r="AS147" s="207">
        <v>33</v>
      </c>
      <c r="AT147" s="207">
        <v>132</v>
      </c>
      <c r="AU147" s="208">
        <v>128</v>
      </c>
      <c r="AV147" s="208">
        <v>4</v>
      </c>
      <c r="AW147" s="208">
        <v>49</v>
      </c>
      <c r="AX147" s="208">
        <v>181</v>
      </c>
      <c r="AY147" s="231">
        <v>91</v>
      </c>
      <c r="AZ147" s="232">
        <v>14</v>
      </c>
      <c r="BA147" s="233">
        <v>28</v>
      </c>
      <c r="BB147" s="214">
        <v>133</v>
      </c>
    </row>
    <row r="148" spans="1:54" ht="15.75" x14ac:dyDescent="0.25">
      <c r="A148" s="215">
        <v>45073</v>
      </c>
      <c r="B148" s="223" t="s">
        <v>321</v>
      </c>
      <c r="C148" s="223">
        <v>3</v>
      </c>
      <c r="D148" s="223" t="s">
        <v>291</v>
      </c>
      <c r="E148" s="223">
        <v>148</v>
      </c>
      <c r="F148" s="223">
        <v>116</v>
      </c>
      <c r="G148" s="223">
        <v>85</v>
      </c>
      <c r="H148" s="202">
        <v>201</v>
      </c>
      <c r="I148" s="223">
        <v>126</v>
      </c>
      <c r="J148" s="223">
        <v>79</v>
      </c>
      <c r="K148" s="204">
        <v>205</v>
      </c>
      <c r="L148" s="217">
        <v>554</v>
      </c>
      <c r="M148" s="231">
        <v>164</v>
      </c>
      <c r="N148" s="231">
        <v>25</v>
      </c>
      <c r="O148" s="231">
        <v>89</v>
      </c>
      <c r="P148" s="206">
        <v>278</v>
      </c>
      <c r="Q148" s="207">
        <v>128</v>
      </c>
      <c r="R148" s="207">
        <v>24</v>
      </c>
      <c r="S148" s="207">
        <v>65</v>
      </c>
      <c r="T148" s="207">
        <v>217</v>
      </c>
      <c r="U148" s="208">
        <v>104</v>
      </c>
      <c r="V148" s="208">
        <v>21</v>
      </c>
      <c r="W148" s="208">
        <v>80</v>
      </c>
      <c r="X148" s="208">
        <v>205</v>
      </c>
      <c r="Y148" s="231">
        <v>188</v>
      </c>
      <c r="Z148" s="232">
        <v>28</v>
      </c>
      <c r="AA148" s="233">
        <v>74</v>
      </c>
      <c r="AB148" s="210">
        <v>290</v>
      </c>
      <c r="AC148" s="221">
        <v>45073</v>
      </c>
      <c r="AD148" s="223" t="s">
        <v>321</v>
      </c>
      <c r="AE148" s="223">
        <v>4</v>
      </c>
      <c r="AF148" s="223" t="s">
        <v>298</v>
      </c>
      <c r="AG148" s="223">
        <v>96</v>
      </c>
      <c r="AH148" s="223">
        <v>367</v>
      </c>
      <c r="AI148" s="223">
        <v>136</v>
      </c>
      <c r="AJ148" s="223">
        <v>30</v>
      </c>
      <c r="AK148" s="204">
        <v>166</v>
      </c>
      <c r="AL148" s="222">
        <v>629</v>
      </c>
      <c r="AM148" s="231">
        <v>143</v>
      </c>
      <c r="AN148" s="231">
        <v>12</v>
      </c>
      <c r="AO148" s="231">
        <v>58</v>
      </c>
      <c r="AP148" s="213">
        <v>213</v>
      </c>
      <c r="AQ148" s="207">
        <v>85</v>
      </c>
      <c r="AR148" s="207">
        <v>7</v>
      </c>
      <c r="AS148" s="207">
        <v>17</v>
      </c>
      <c r="AT148" s="207">
        <v>109</v>
      </c>
      <c r="AU148" s="208">
        <v>117</v>
      </c>
      <c r="AV148" s="208">
        <v>8</v>
      </c>
      <c r="AW148" s="208">
        <v>41</v>
      </c>
      <c r="AX148" s="208">
        <v>166</v>
      </c>
      <c r="AY148" s="231">
        <v>111</v>
      </c>
      <c r="AZ148" s="232">
        <v>11</v>
      </c>
      <c r="BA148" s="233">
        <v>34</v>
      </c>
      <c r="BB148" s="214">
        <v>156</v>
      </c>
    </row>
    <row r="149" spans="1:54" ht="15.75" x14ac:dyDescent="0.25">
      <c r="A149" s="215">
        <v>45074</v>
      </c>
      <c r="B149" s="223" t="s">
        <v>322</v>
      </c>
      <c r="C149" s="223">
        <v>2</v>
      </c>
      <c r="D149" s="223" t="s">
        <v>291</v>
      </c>
      <c r="E149" s="223">
        <v>195</v>
      </c>
      <c r="F149" s="223">
        <v>108</v>
      </c>
      <c r="G149" s="223">
        <v>93</v>
      </c>
      <c r="H149" s="202">
        <v>201</v>
      </c>
      <c r="I149" s="223">
        <v>134</v>
      </c>
      <c r="J149" s="223">
        <v>96</v>
      </c>
      <c r="K149" s="204">
        <v>230</v>
      </c>
      <c r="L149" s="217">
        <v>626</v>
      </c>
      <c r="M149" s="231">
        <v>179</v>
      </c>
      <c r="N149" s="231">
        <v>28</v>
      </c>
      <c r="O149" s="231">
        <v>114</v>
      </c>
      <c r="P149" s="206">
        <v>321</v>
      </c>
      <c r="Q149" s="207">
        <v>129</v>
      </c>
      <c r="R149" s="207">
        <v>16</v>
      </c>
      <c r="S149" s="207">
        <v>79</v>
      </c>
      <c r="T149" s="207">
        <v>224</v>
      </c>
      <c r="U149" s="208">
        <v>116</v>
      </c>
      <c r="V149" s="208">
        <v>21</v>
      </c>
      <c r="W149" s="208">
        <v>93</v>
      </c>
      <c r="X149" s="208">
        <v>230</v>
      </c>
      <c r="Y149" s="231">
        <v>192</v>
      </c>
      <c r="Z149" s="232">
        <v>23</v>
      </c>
      <c r="AA149" s="233">
        <v>100</v>
      </c>
      <c r="AB149" s="210">
        <v>315</v>
      </c>
      <c r="AC149" s="221">
        <v>45074</v>
      </c>
      <c r="AD149" s="223" t="s">
        <v>322</v>
      </c>
      <c r="AE149" s="223">
        <v>1</v>
      </c>
      <c r="AF149" s="223" t="s">
        <v>298</v>
      </c>
      <c r="AG149" s="223">
        <v>60</v>
      </c>
      <c r="AH149" s="223">
        <v>320</v>
      </c>
      <c r="AI149" s="223">
        <v>159</v>
      </c>
      <c r="AJ149" s="223">
        <v>54</v>
      </c>
      <c r="AK149" s="204">
        <v>213</v>
      </c>
      <c r="AL149" s="222">
        <v>593</v>
      </c>
      <c r="AM149" s="231">
        <v>162</v>
      </c>
      <c r="AN149" s="231">
        <v>16</v>
      </c>
      <c r="AO149" s="231">
        <v>68</v>
      </c>
      <c r="AP149" s="213">
        <v>246</v>
      </c>
      <c r="AQ149" s="207">
        <v>73</v>
      </c>
      <c r="AR149" s="207">
        <v>7</v>
      </c>
      <c r="AS149" s="207">
        <v>37</v>
      </c>
      <c r="AT149" s="207">
        <v>117</v>
      </c>
      <c r="AU149" s="208">
        <v>161</v>
      </c>
      <c r="AV149" s="208">
        <v>7</v>
      </c>
      <c r="AW149" s="208">
        <v>45</v>
      </c>
      <c r="AX149" s="208">
        <v>213</v>
      </c>
      <c r="AY149" s="231">
        <v>74</v>
      </c>
      <c r="AZ149" s="232">
        <v>16</v>
      </c>
      <c r="BA149" s="233">
        <v>60</v>
      </c>
      <c r="BB149" s="214">
        <v>150</v>
      </c>
    </row>
    <row r="150" spans="1:54" ht="15.75" x14ac:dyDescent="0.25">
      <c r="A150" s="215">
        <v>45075</v>
      </c>
      <c r="B150" s="223" t="s">
        <v>323</v>
      </c>
      <c r="C150" s="223">
        <v>2</v>
      </c>
      <c r="D150" s="223" t="s">
        <v>291</v>
      </c>
      <c r="E150" s="223">
        <v>190</v>
      </c>
      <c r="F150" s="223">
        <v>105</v>
      </c>
      <c r="G150" s="223">
        <v>82</v>
      </c>
      <c r="H150" s="202">
        <v>187</v>
      </c>
      <c r="I150" s="223">
        <v>161</v>
      </c>
      <c r="J150" s="223">
        <v>88</v>
      </c>
      <c r="K150" s="204">
        <v>249</v>
      </c>
      <c r="L150" s="217">
        <v>626</v>
      </c>
      <c r="M150" s="231">
        <v>165</v>
      </c>
      <c r="N150" s="231">
        <v>18</v>
      </c>
      <c r="O150" s="231">
        <v>115</v>
      </c>
      <c r="P150" s="206">
        <v>298</v>
      </c>
      <c r="Q150" s="207">
        <v>111</v>
      </c>
      <c r="R150" s="207">
        <v>15</v>
      </c>
      <c r="S150" s="207">
        <v>79</v>
      </c>
      <c r="T150" s="207">
        <v>205</v>
      </c>
      <c r="U150" s="208">
        <v>124</v>
      </c>
      <c r="V150" s="208">
        <v>23</v>
      </c>
      <c r="W150" s="208">
        <v>102</v>
      </c>
      <c r="X150" s="208">
        <v>249</v>
      </c>
      <c r="Y150" s="231">
        <v>152</v>
      </c>
      <c r="Z150" s="232">
        <v>10</v>
      </c>
      <c r="AA150" s="233">
        <v>92</v>
      </c>
      <c r="AB150" s="210">
        <v>254</v>
      </c>
      <c r="AC150" s="221">
        <v>45075</v>
      </c>
      <c r="AD150" s="223" t="s">
        <v>323</v>
      </c>
      <c r="AE150" s="223">
        <v>1</v>
      </c>
      <c r="AF150" s="223" t="s">
        <v>298</v>
      </c>
      <c r="AG150" s="223">
        <v>54</v>
      </c>
      <c r="AH150" s="223">
        <v>268</v>
      </c>
      <c r="AI150" s="223">
        <v>136</v>
      </c>
      <c r="AJ150" s="223">
        <v>54</v>
      </c>
      <c r="AK150" s="204">
        <v>190</v>
      </c>
      <c r="AL150" s="222">
        <v>512</v>
      </c>
      <c r="AM150" s="231">
        <v>130</v>
      </c>
      <c r="AN150" s="231">
        <v>10</v>
      </c>
      <c r="AO150" s="231">
        <v>54</v>
      </c>
      <c r="AP150" s="213">
        <v>194</v>
      </c>
      <c r="AQ150" s="207">
        <v>70</v>
      </c>
      <c r="AR150" s="207">
        <v>7</v>
      </c>
      <c r="AS150" s="207">
        <v>14</v>
      </c>
      <c r="AT150" s="207">
        <v>91</v>
      </c>
      <c r="AU150" s="208">
        <v>130</v>
      </c>
      <c r="AV150" s="208">
        <v>13</v>
      </c>
      <c r="AW150" s="208">
        <v>47</v>
      </c>
      <c r="AX150" s="208">
        <v>190</v>
      </c>
      <c r="AY150" s="231">
        <v>70</v>
      </c>
      <c r="AZ150" s="232">
        <v>4</v>
      </c>
      <c r="BA150" s="233">
        <v>21</v>
      </c>
      <c r="BB150" s="214">
        <v>95</v>
      </c>
    </row>
    <row r="151" spans="1:54" ht="15.75" x14ac:dyDescent="0.25">
      <c r="A151" s="215">
        <v>45076</v>
      </c>
      <c r="B151" s="223" t="s">
        <v>324</v>
      </c>
      <c r="C151" s="223">
        <v>4</v>
      </c>
      <c r="D151" s="223" t="s">
        <v>291</v>
      </c>
      <c r="E151" s="223">
        <v>151</v>
      </c>
      <c r="F151" s="223">
        <v>87</v>
      </c>
      <c r="G151" s="223">
        <v>90</v>
      </c>
      <c r="H151" s="202">
        <v>177</v>
      </c>
      <c r="I151" s="223">
        <v>146</v>
      </c>
      <c r="J151" s="223">
        <v>56</v>
      </c>
      <c r="K151" s="204">
        <v>202</v>
      </c>
      <c r="L151" s="217">
        <v>530</v>
      </c>
      <c r="M151" s="231">
        <v>147</v>
      </c>
      <c r="N151" s="231">
        <v>25</v>
      </c>
      <c r="O151" s="231">
        <v>93</v>
      </c>
      <c r="P151" s="206">
        <v>265</v>
      </c>
      <c r="Q151" s="207">
        <v>96</v>
      </c>
      <c r="R151" s="207">
        <v>13</v>
      </c>
      <c r="S151" s="207">
        <v>50</v>
      </c>
      <c r="T151" s="207">
        <v>159</v>
      </c>
      <c r="U151" s="208">
        <v>105</v>
      </c>
      <c r="V151" s="208">
        <v>13</v>
      </c>
      <c r="W151" s="208">
        <v>84</v>
      </c>
      <c r="X151" s="208">
        <v>202</v>
      </c>
      <c r="Y151" s="231">
        <v>138</v>
      </c>
      <c r="Z151" s="232">
        <v>25</v>
      </c>
      <c r="AA151" s="233">
        <v>59</v>
      </c>
      <c r="AB151" s="210">
        <v>222</v>
      </c>
      <c r="AC151" s="221">
        <v>45076</v>
      </c>
      <c r="AD151" s="223" t="s">
        <v>324</v>
      </c>
      <c r="AE151" s="223">
        <v>3</v>
      </c>
      <c r="AF151" s="223" t="s">
        <v>298</v>
      </c>
      <c r="AG151" s="223">
        <v>55</v>
      </c>
      <c r="AH151" s="223">
        <v>251</v>
      </c>
      <c r="AI151" s="223">
        <v>138</v>
      </c>
      <c r="AJ151" s="223">
        <v>55</v>
      </c>
      <c r="AK151" s="204">
        <v>193</v>
      </c>
      <c r="AL151" s="222">
        <v>499</v>
      </c>
      <c r="AM151" s="231">
        <v>136</v>
      </c>
      <c r="AN151" s="231">
        <v>13</v>
      </c>
      <c r="AO151" s="231">
        <v>48</v>
      </c>
      <c r="AP151" s="213">
        <v>197</v>
      </c>
      <c r="AQ151" s="207">
        <v>53</v>
      </c>
      <c r="AR151" s="207">
        <v>5</v>
      </c>
      <c r="AS151" s="207">
        <v>42</v>
      </c>
      <c r="AT151" s="207">
        <v>100</v>
      </c>
      <c r="AU151" s="208">
        <v>132</v>
      </c>
      <c r="AV151" s="208">
        <v>9</v>
      </c>
      <c r="AW151" s="208">
        <v>52</v>
      </c>
      <c r="AX151" s="208">
        <v>193</v>
      </c>
      <c r="AY151" s="231">
        <v>57</v>
      </c>
      <c r="AZ151" s="232">
        <v>9</v>
      </c>
      <c r="BA151" s="233">
        <v>38</v>
      </c>
      <c r="BB151" s="214">
        <v>104</v>
      </c>
    </row>
    <row r="152" spans="1:54" ht="15.75" x14ac:dyDescent="0.25">
      <c r="A152" s="215">
        <v>45077</v>
      </c>
      <c r="B152" s="223" t="s">
        <v>325</v>
      </c>
      <c r="C152" s="223">
        <v>4</v>
      </c>
      <c r="D152" s="223" t="s">
        <v>291</v>
      </c>
      <c r="E152" s="223">
        <v>128</v>
      </c>
      <c r="F152" s="223">
        <v>103</v>
      </c>
      <c r="G152" s="223">
        <v>106</v>
      </c>
      <c r="H152" s="202">
        <v>209</v>
      </c>
      <c r="I152" s="223">
        <v>146</v>
      </c>
      <c r="J152" s="223">
        <v>64</v>
      </c>
      <c r="K152" s="204">
        <v>210</v>
      </c>
      <c r="L152" s="217">
        <v>547</v>
      </c>
      <c r="M152" s="231">
        <v>145</v>
      </c>
      <c r="N152" s="231">
        <v>18</v>
      </c>
      <c r="O152" s="231">
        <v>90</v>
      </c>
      <c r="P152" s="206">
        <v>253</v>
      </c>
      <c r="Q152" s="207">
        <v>119</v>
      </c>
      <c r="R152" s="207">
        <v>17</v>
      </c>
      <c r="S152" s="207">
        <v>53</v>
      </c>
      <c r="T152" s="207">
        <v>189</v>
      </c>
      <c r="U152" s="208">
        <v>112</v>
      </c>
      <c r="V152" s="208">
        <v>21</v>
      </c>
      <c r="W152" s="208">
        <v>77</v>
      </c>
      <c r="X152" s="208">
        <v>210</v>
      </c>
      <c r="Y152" s="231">
        <v>152</v>
      </c>
      <c r="Z152" s="232">
        <v>14</v>
      </c>
      <c r="AA152" s="233">
        <v>66</v>
      </c>
      <c r="AB152" s="210">
        <v>232</v>
      </c>
      <c r="AC152" s="221">
        <v>45077</v>
      </c>
      <c r="AD152" s="223" t="s">
        <v>325</v>
      </c>
      <c r="AE152" s="223">
        <v>3</v>
      </c>
      <c r="AF152" s="223" t="s">
        <v>298</v>
      </c>
      <c r="AG152" s="223">
        <v>57</v>
      </c>
      <c r="AH152" s="223">
        <v>280</v>
      </c>
      <c r="AI152" s="223">
        <v>129</v>
      </c>
      <c r="AJ152" s="223">
        <v>54</v>
      </c>
      <c r="AK152" s="204">
        <v>183</v>
      </c>
      <c r="AL152" s="222">
        <v>520</v>
      </c>
      <c r="AM152" s="231">
        <v>114</v>
      </c>
      <c r="AN152" s="231">
        <v>12</v>
      </c>
      <c r="AO152" s="231">
        <v>58</v>
      </c>
      <c r="AP152" s="213">
        <v>184</v>
      </c>
      <c r="AQ152" s="207">
        <v>76</v>
      </c>
      <c r="AR152" s="207">
        <v>11</v>
      </c>
      <c r="AS152" s="207">
        <v>27</v>
      </c>
      <c r="AT152" s="207">
        <v>114</v>
      </c>
      <c r="AU152" s="208">
        <v>127</v>
      </c>
      <c r="AV152" s="208">
        <v>13</v>
      </c>
      <c r="AW152" s="208">
        <v>43</v>
      </c>
      <c r="AX152" s="208">
        <v>183</v>
      </c>
      <c r="AY152" s="231">
        <v>63</v>
      </c>
      <c r="AZ152" s="232">
        <v>10</v>
      </c>
      <c r="BA152" s="233">
        <v>42</v>
      </c>
      <c r="BB152" s="214">
        <v>115</v>
      </c>
    </row>
    <row r="153" spans="1:54" ht="15.75" x14ac:dyDescent="0.25">
      <c r="A153" s="215">
        <v>45078</v>
      </c>
      <c r="B153" s="223" t="s">
        <v>326</v>
      </c>
      <c r="C153" s="223">
        <v>1</v>
      </c>
      <c r="D153" s="223" t="s">
        <v>291</v>
      </c>
      <c r="E153" s="223">
        <v>159</v>
      </c>
      <c r="F153" s="223">
        <v>113</v>
      </c>
      <c r="G153" s="223">
        <v>90</v>
      </c>
      <c r="H153" s="202">
        <v>203</v>
      </c>
      <c r="I153" s="223">
        <v>147</v>
      </c>
      <c r="J153" s="223">
        <v>44</v>
      </c>
      <c r="K153" s="204">
        <v>191</v>
      </c>
      <c r="L153" s="217">
        <v>553</v>
      </c>
      <c r="M153" s="231">
        <v>196</v>
      </c>
      <c r="N153" s="231">
        <v>15</v>
      </c>
      <c r="O153" s="231">
        <v>70</v>
      </c>
      <c r="P153" s="206">
        <v>281</v>
      </c>
      <c r="Q153" s="207">
        <v>122</v>
      </c>
      <c r="R153" s="207">
        <v>11</v>
      </c>
      <c r="S153" s="207">
        <v>65</v>
      </c>
      <c r="T153" s="207">
        <v>198</v>
      </c>
      <c r="U153" s="208">
        <v>109</v>
      </c>
      <c r="V153" s="208">
        <v>16</v>
      </c>
      <c r="W153" s="208">
        <v>66</v>
      </c>
      <c r="X153" s="208">
        <v>191</v>
      </c>
      <c r="Y153" s="231">
        <v>209</v>
      </c>
      <c r="Z153" s="232">
        <v>10</v>
      </c>
      <c r="AA153" s="233">
        <v>69</v>
      </c>
      <c r="AB153" s="210">
        <v>288</v>
      </c>
      <c r="AC153" s="221">
        <v>45078</v>
      </c>
      <c r="AD153" s="223" t="s">
        <v>326</v>
      </c>
      <c r="AE153" s="223">
        <v>2</v>
      </c>
      <c r="AF153" s="223" t="s">
        <v>298</v>
      </c>
      <c r="AG153" s="223">
        <v>55</v>
      </c>
      <c r="AH153" s="223">
        <v>356</v>
      </c>
      <c r="AI153" s="223">
        <v>150</v>
      </c>
      <c r="AJ153" s="223">
        <v>45</v>
      </c>
      <c r="AK153" s="204">
        <v>195</v>
      </c>
      <c r="AL153" s="222">
        <v>606</v>
      </c>
      <c r="AM153" s="234">
        <v>127</v>
      </c>
      <c r="AN153" s="234">
        <v>14</v>
      </c>
      <c r="AO153" s="234">
        <v>58</v>
      </c>
      <c r="AP153" s="213">
        <v>199</v>
      </c>
      <c r="AQ153" s="235">
        <v>53</v>
      </c>
      <c r="AR153" s="235">
        <v>6</v>
      </c>
      <c r="AS153" s="235">
        <v>24</v>
      </c>
      <c r="AT153" s="207">
        <v>83</v>
      </c>
      <c r="AU153" s="208">
        <v>149</v>
      </c>
      <c r="AV153" s="208">
        <v>12</v>
      </c>
      <c r="AW153" s="208">
        <v>34</v>
      </c>
      <c r="AX153" s="208">
        <v>195</v>
      </c>
      <c r="AY153" s="231">
        <v>31</v>
      </c>
      <c r="AZ153" s="232">
        <v>8</v>
      </c>
      <c r="BA153" s="233">
        <v>48</v>
      </c>
      <c r="BB153" s="214">
        <v>87</v>
      </c>
    </row>
    <row r="154" spans="1:54" ht="15.75" x14ac:dyDescent="0.25">
      <c r="A154" s="215">
        <v>45079</v>
      </c>
      <c r="B154" s="223" t="s">
        <v>327</v>
      </c>
      <c r="C154" s="223">
        <v>1</v>
      </c>
      <c r="D154" s="223" t="s">
        <v>291</v>
      </c>
      <c r="E154" s="223">
        <v>164</v>
      </c>
      <c r="F154" s="223">
        <v>92</v>
      </c>
      <c r="G154" s="223">
        <v>88</v>
      </c>
      <c r="H154" s="202">
        <v>180</v>
      </c>
      <c r="I154" s="223">
        <v>137</v>
      </c>
      <c r="J154" s="223">
        <v>88</v>
      </c>
      <c r="K154" s="204">
        <v>225</v>
      </c>
      <c r="L154" s="217">
        <v>569</v>
      </c>
      <c r="M154" s="231">
        <v>154</v>
      </c>
      <c r="N154" s="231">
        <v>22</v>
      </c>
      <c r="O154" s="231">
        <v>48</v>
      </c>
      <c r="P154" s="206">
        <v>224</v>
      </c>
      <c r="Q154" s="207">
        <v>135</v>
      </c>
      <c r="R154" s="207">
        <v>23</v>
      </c>
      <c r="S154" s="207">
        <v>56</v>
      </c>
      <c r="T154" s="207">
        <v>214</v>
      </c>
      <c r="U154" s="208">
        <v>136</v>
      </c>
      <c r="V154" s="208">
        <v>26</v>
      </c>
      <c r="W154" s="208">
        <v>66</v>
      </c>
      <c r="X154" s="208">
        <v>228</v>
      </c>
      <c r="Y154" s="231">
        <v>153</v>
      </c>
      <c r="Z154" s="232">
        <v>19</v>
      </c>
      <c r="AA154" s="233">
        <v>38</v>
      </c>
      <c r="AB154" s="210">
        <v>210</v>
      </c>
      <c r="AC154" s="221">
        <v>45079</v>
      </c>
      <c r="AD154" s="223" t="s">
        <v>327</v>
      </c>
      <c r="AE154" s="223">
        <v>2</v>
      </c>
      <c r="AF154" s="223" t="s">
        <v>298</v>
      </c>
      <c r="AG154" s="223">
        <v>70</v>
      </c>
      <c r="AH154" s="223">
        <v>296</v>
      </c>
      <c r="AI154" s="223">
        <v>138</v>
      </c>
      <c r="AJ154" s="223">
        <v>46</v>
      </c>
      <c r="AK154" s="204">
        <v>184</v>
      </c>
      <c r="AL154" s="222">
        <v>550</v>
      </c>
      <c r="AM154" s="234">
        <v>131</v>
      </c>
      <c r="AN154" s="234">
        <v>9</v>
      </c>
      <c r="AO154" s="234">
        <v>53</v>
      </c>
      <c r="AP154" s="213">
        <v>193</v>
      </c>
      <c r="AQ154" s="235">
        <v>92</v>
      </c>
      <c r="AR154" s="235">
        <v>3</v>
      </c>
      <c r="AS154" s="235">
        <v>21</v>
      </c>
      <c r="AT154" s="207">
        <v>116</v>
      </c>
      <c r="AU154" s="208">
        <v>140</v>
      </c>
      <c r="AV154" s="208">
        <v>11</v>
      </c>
      <c r="AW154" s="208">
        <v>33</v>
      </c>
      <c r="AX154" s="208">
        <v>184</v>
      </c>
      <c r="AY154" s="231">
        <v>83</v>
      </c>
      <c r="AZ154" s="232">
        <v>1</v>
      </c>
      <c r="BA154" s="233">
        <v>41</v>
      </c>
      <c r="BB154" s="214">
        <v>125</v>
      </c>
    </row>
    <row r="155" spans="1:54" ht="15.75" x14ac:dyDescent="0.25">
      <c r="A155" s="215">
        <v>45080</v>
      </c>
      <c r="B155" s="223" t="s">
        <v>321</v>
      </c>
      <c r="C155" s="223">
        <v>3</v>
      </c>
      <c r="D155" s="223" t="s">
        <v>291</v>
      </c>
      <c r="E155" s="223">
        <v>157</v>
      </c>
      <c r="F155" s="223">
        <v>97</v>
      </c>
      <c r="G155" s="223">
        <v>102</v>
      </c>
      <c r="H155" s="202">
        <v>199</v>
      </c>
      <c r="I155" s="223">
        <v>131</v>
      </c>
      <c r="J155" s="223">
        <v>68</v>
      </c>
      <c r="K155" s="204">
        <v>199</v>
      </c>
      <c r="L155" s="217">
        <v>555</v>
      </c>
      <c r="M155" s="231">
        <v>163</v>
      </c>
      <c r="N155" s="231">
        <v>19</v>
      </c>
      <c r="O155" s="231">
        <v>56</v>
      </c>
      <c r="P155" s="206">
        <v>238</v>
      </c>
      <c r="Q155" s="207">
        <v>117</v>
      </c>
      <c r="R155" s="207">
        <v>15</v>
      </c>
      <c r="S155" s="207">
        <v>62</v>
      </c>
      <c r="T155" s="207">
        <v>194</v>
      </c>
      <c r="U155" s="208">
        <v>117</v>
      </c>
      <c r="V155" s="208">
        <v>7</v>
      </c>
      <c r="W155" s="208">
        <v>75</v>
      </c>
      <c r="X155" s="208">
        <v>199</v>
      </c>
      <c r="Y155" s="231">
        <v>163</v>
      </c>
      <c r="Z155" s="232">
        <v>27</v>
      </c>
      <c r="AA155" s="233">
        <v>43</v>
      </c>
      <c r="AB155" s="210">
        <v>233</v>
      </c>
      <c r="AC155" s="221">
        <v>45080</v>
      </c>
      <c r="AD155" s="223" t="s">
        <v>321</v>
      </c>
      <c r="AE155" s="223">
        <v>4</v>
      </c>
      <c r="AF155" s="223" t="s">
        <v>298</v>
      </c>
      <c r="AG155" s="223">
        <v>77</v>
      </c>
      <c r="AH155" s="223">
        <v>337</v>
      </c>
      <c r="AI155" s="223">
        <v>155</v>
      </c>
      <c r="AJ155" s="223">
        <v>51</v>
      </c>
      <c r="AK155" s="204">
        <v>206</v>
      </c>
      <c r="AL155" s="222">
        <v>620</v>
      </c>
      <c r="AM155" s="231">
        <v>160</v>
      </c>
      <c r="AN155" s="231">
        <v>19</v>
      </c>
      <c r="AO155" s="231">
        <v>50</v>
      </c>
      <c r="AP155" s="213">
        <v>229</v>
      </c>
      <c r="AQ155" s="207">
        <v>93</v>
      </c>
      <c r="AR155" s="207">
        <v>10</v>
      </c>
      <c r="AS155" s="207">
        <v>34</v>
      </c>
      <c r="AT155" s="207">
        <v>137</v>
      </c>
      <c r="AU155" s="208">
        <v>156</v>
      </c>
      <c r="AV155" s="208">
        <v>16</v>
      </c>
      <c r="AW155" s="208">
        <v>34</v>
      </c>
      <c r="AX155" s="208">
        <v>206</v>
      </c>
      <c r="AY155" s="231">
        <v>97</v>
      </c>
      <c r="AZ155" s="232">
        <v>13</v>
      </c>
      <c r="BA155" s="233">
        <v>50</v>
      </c>
      <c r="BB155" s="214">
        <v>160</v>
      </c>
    </row>
    <row r="156" spans="1:54" ht="15.75" x14ac:dyDescent="0.25">
      <c r="A156" s="215">
        <v>45081</v>
      </c>
      <c r="B156" s="223" t="s">
        <v>322</v>
      </c>
      <c r="C156" s="223">
        <v>3</v>
      </c>
      <c r="D156" s="223" t="s">
        <v>291</v>
      </c>
      <c r="E156" s="223">
        <v>209</v>
      </c>
      <c r="F156" s="223">
        <v>114</v>
      </c>
      <c r="G156" s="223">
        <v>116</v>
      </c>
      <c r="H156" s="202">
        <v>230</v>
      </c>
      <c r="I156" s="223">
        <v>149</v>
      </c>
      <c r="J156" s="223">
        <v>67</v>
      </c>
      <c r="K156" s="204">
        <v>216</v>
      </c>
      <c r="L156" s="217">
        <v>655</v>
      </c>
      <c r="M156" s="231">
        <v>195</v>
      </c>
      <c r="N156" s="231">
        <v>26</v>
      </c>
      <c r="O156" s="231">
        <v>92</v>
      </c>
      <c r="P156" s="206">
        <v>313</v>
      </c>
      <c r="Q156" s="207">
        <v>118</v>
      </c>
      <c r="R156" s="207">
        <v>59</v>
      </c>
      <c r="S156" s="207">
        <v>59</v>
      </c>
      <c r="T156" s="207">
        <v>236</v>
      </c>
      <c r="U156" s="208">
        <v>111</v>
      </c>
      <c r="V156" s="208">
        <v>21</v>
      </c>
      <c r="W156" s="208">
        <v>84</v>
      </c>
      <c r="X156" s="208">
        <v>216</v>
      </c>
      <c r="Y156" s="231">
        <v>202</v>
      </c>
      <c r="Z156" s="232">
        <v>64</v>
      </c>
      <c r="AA156" s="233">
        <v>67</v>
      </c>
      <c r="AB156" s="210">
        <v>333</v>
      </c>
      <c r="AC156" s="221">
        <v>45081</v>
      </c>
      <c r="AD156" s="223" t="s">
        <v>322</v>
      </c>
      <c r="AE156" s="223">
        <v>4</v>
      </c>
      <c r="AF156" s="223" t="s">
        <v>298</v>
      </c>
      <c r="AG156" s="223">
        <v>96</v>
      </c>
      <c r="AH156" s="223">
        <v>387</v>
      </c>
      <c r="AI156" s="223">
        <v>135</v>
      </c>
      <c r="AJ156" s="223">
        <v>30</v>
      </c>
      <c r="AK156" s="204">
        <v>165</v>
      </c>
      <c r="AL156" s="222">
        <v>648</v>
      </c>
      <c r="AM156" s="231">
        <v>132</v>
      </c>
      <c r="AN156" s="231">
        <v>16</v>
      </c>
      <c r="AO156" s="231">
        <v>51</v>
      </c>
      <c r="AP156" s="213">
        <v>199</v>
      </c>
      <c r="AQ156" s="207">
        <v>70</v>
      </c>
      <c r="AR156" s="207">
        <v>5</v>
      </c>
      <c r="AS156" s="207">
        <v>25</v>
      </c>
      <c r="AT156" s="207">
        <v>100</v>
      </c>
      <c r="AU156" s="208">
        <v>126</v>
      </c>
      <c r="AV156" s="208">
        <v>13</v>
      </c>
      <c r="AW156" s="208">
        <v>26</v>
      </c>
      <c r="AX156" s="208">
        <v>165</v>
      </c>
      <c r="AY156" s="231">
        <v>76</v>
      </c>
      <c r="AZ156" s="232">
        <v>8</v>
      </c>
      <c r="BA156" s="233">
        <v>50</v>
      </c>
      <c r="BB156" s="214">
        <v>134</v>
      </c>
    </row>
    <row r="157" spans="1:54" ht="15.75" x14ac:dyDescent="0.25">
      <c r="A157" s="215">
        <v>45082</v>
      </c>
      <c r="B157" s="223" t="s">
        <v>323</v>
      </c>
      <c r="C157" s="223">
        <v>2</v>
      </c>
      <c r="D157" s="223" t="s">
        <v>291</v>
      </c>
      <c r="E157" s="223">
        <v>175</v>
      </c>
      <c r="F157" s="223">
        <v>104</v>
      </c>
      <c r="G157" s="223">
        <v>90</v>
      </c>
      <c r="H157" s="202">
        <v>194</v>
      </c>
      <c r="I157" s="223">
        <v>156</v>
      </c>
      <c r="J157" s="223">
        <v>78</v>
      </c>
      <c r="K157" s="204">
        <v>234</v>
      </c>
      <c r="L157" s="217">
        <v>603</v>
      </c>
      <c r="M157" s="234">
        <v>174</v>
      </c>
      <c r="N157" s="234">
        <v>17</v>
      </c>
      <c r="O157" s="234">
        <v>98</v>
      </c>
      <c r="P157" s="206">
        <v>289</v>
      </c>
      <c r="Q157" s="235">
        <v>111</v>
      </c>
      <c r="R157" s="235">
        <v>18</v>
      </c>
      <c r="S157" s="235">
        <v>92</v>
      </c>
      <c r="T157" s="207">
        <v>221</v>
      </c>
      <c r="U157" s="208">
        <v>129</v>
      </c>
      <c r="V157" s="208">
        <v>21</v>
      </c>
      <c r="W157" s="208">
        <v>84</v>
      </c>
      <c r="X157" s="208">
        <v>234</v>
      </c>
      <c r="Y157" s="231">
        <v>156</v>
      </c>
      <c r="Z157" s="232">
        <v>14</v>
      </c>
      <c r="AA157" s="233">
        <v>106</v>
      </c>
      <c r="AB157" s="210">
        <v>276</v>
      </c>
      <c r="AC157" s="221">
        <v>45082</v>
      </c>
      <c r="AD157" s="223" t="s">
        <v>323</v>
      </c>
      <c r="AE157" s="223">
        <v>1</v>
      </c>
      <c r="AF157" s="223" t="s">
        <v>298</v>
      </c>
      <c r="AG157" s="223">
        <v>48</v>
      </c>
      <c r="AH157" s="223">
        <v>282</v>
      </c>
      <c r="AI157" s="223">
        <v>123</v>
      </c>
      <c r="AJ157" s="223">
        <v>82</v>
      </c>
      <c r="AK157" s="204">
        <v>205</v>
      </c>
      <c r="AL157" s="222">
        <v>535</v>
      </c>
      <c r="AM157" s="231">
        <v>122</v>
      </c>
      <c r="AN157" s="231">
        <v>12</v>
      </c>
      <c r="AO157" s="231">
        <v>44</v>
      </c>
      <c r="AP157" s="213">
        <v>178</v>
      </c>
      <c r="AQ157" s="207">
        <v>101</v>
      </c>
      <c r="AR157" s="207">
        <v>4</v>
      </c>
      <c r="AS157" s="207">
        <v>36</v>
      </c>
      <c r="AT157" s="207">
        <v>141</v>
      </c>
      <c r="AU157" s="208">
        <v>135</v>
      </c>
      <c r="AV157" s="208">
        <v>15</v>
      </c>
      <c r="AW157" s="208">
        <v>55</v>
      </c>
      <c r="AX157" s="208">
        <v>205</v>
      </c>
      <c r="AY157" s="231">
        <v>88</v>
      </c>
      <c r="AZ157" s="232">
        <v>1</v>
      </c>
      <c r="BA157" s="233">
        <v>25</v>
      </c>
      <c r="BB157" s="214">
        <v>114</v>
      </c>
    </row>
    <row r="158" spans="1:54" ht="15.75" x14ac:dyDescent="0.25">
      <c r="A158" s="215">
        <v>45083</v>
      </c>
      <c r="B158" s="223" t="s">
        <v>324</v>
      </c>
      <c r="C158" s="223">
        <v>2</v>
      </c>
      <c r="D158" s="223" t="s">
        <v>291</v>
      </c>
      <c r="E158" s="223">
        <v>178</v>
      </c>
      <c r="F158" s="223">
        <v>99</v>
      </c>
      <c r="G158" s="223">
        <v>92</v>
      </c>
      <c r="H158" s="202">
        <v>191</v>
      </c>
      <c r="I158" s="223">
        <v>163</v>
      </c>
      <c r="J158" s="223">
        <v>54</v>
      </c>
      <c r="K158" s="204">
        <v>217</v>
      </c>
      <c r="L158" s="217">
        <v>586</v>
      </c>
      <c r="M158" s="234">
        <v>139</v>
      </c>
      <c r="N158" s="234">
        <v>32</v>
      </c>
      <c r="O158" s="234">
        <v>82</v>
      </c>
      <c r="P158" s="206">
        <v>253</v>
      </c>
      <c r="Q158" s="235">
        <v>98</v>
      </c>
      <c r="R158" s="235">
        <v>10</v>
      </c>
      <c r="S158" s="235">
        <v>77</v>
      </c>
      <c r="T158" s="207">
        <v>185</v>
      </c>
      <c r="U158" s="208">
        <v>114</v>
      </c>
      <c r="V158" s="208">
        <v>17</v>
      </c>
      <c r="W158" s="208">
        <v>86</v>
      </c>
      <c r="X158" s="208">
        <v>217</v>
      </c>
      <c r="Y158" s="231">
        <v>123</v>
      </c>
      <c r="Z158" s="232">
        <v>25</v>
      </c>
      <c r="AA158" s="233">
        <v>73</v>
      </c>
      <c r="AB158" s="210">
        <v>221</v>
      </c>
      <c r="AC158" s="221">
        <v>45083</v>
      </c>
      <c r="AD158" s="223" t="s">
        <v>324</v>
      </c>
      <c r="AE158" s="223">
        <v>1</v>
      </c>
      <c r="AF158" s="223" t="s">
        <v>298</v>
      </c>
      <c r="AG158" s="223">
        <v>45</v>
      </c>
      <c r="AH158" s="223">
        <v>256</v>
      </c>
      <c r="AI158" s="223">
        <v>138</v>
      </c>
      <c r="AJ158" s="223">
        <v>48</v>
      </c>
      <c r="AK158" s="204">
        <v>186</v>
      </c>
      <c r="AL158" s="222">
        <v>487</v>
      </c>
      <c r="AM158" s="231">
        <v>119</v>
      </c>
      <c r="AN158" s="231">
        <v>11</v>
      </c>
      <c r="AO158" s="231">
        <v>45</v>
      </c>
      <c r="AP158" s="213">
        <v>175</v>
      </c>
      <c r="AQ158" s="207">
        <v>58</v>
      </c>
      <c r="AR158" s="207">
        <v>7</v>
      </c>
      <c r="AS158" s="207">
        <v>24</v>
      </c>
      <c r="AT158" s="207">
        <v>89</v>
      </c>
      <c r="AU158" s="208">
        <v>115</v>
      </c>
      <c r="AV158" s="208">
        <v>18</v>
      </c>
      <c r="AW158" s="208">
        <v>53</v>
      </c>
      <c r="AX158" s="208">
        <v>186</v>
      </c>
      <c r="AY158" s="231">
        <v>62</v>
      </c>
      <c r="AZ158" s="232">
        <v>0</v>
      </c>
      <c r="BA158" s="233">
        <v>16</v>
      </c>
      <c r="BB158" s="214">
        <v>78</v>
      </c>
    </row>
    <row r="159" spans="1:54" ht="15.75" x14ac:dyDescent="0.25">
      <c r="A159" s="215">
        <v>45084</v>
      </c>
      <c r="B159" s="223" t="s">
        <v>325</v>
      </c>
      <c r="C159" s="223">
        <v>4</v>
      </c>
      <c r="D159" s="223" t="s">
        <v>291</v>
      </c>
      <c r="E159" s="223">
        <v>157</v>
      </c>
      <c r="F159" s="223">
        <v>111</v>
      </c>
      <c r="G159" s="223">
        <v>85</v>
      </c>
      <c r="H159" s="202">
        <v>196</v>
      </c>
      <c r="I159" s="223">
        <v>155</v>
      </c>
      <c r="J159" s="223">
        <v>93</v>
      </c>
      <c r="K159" s="204">
        <v>248</v>
      </c>
      <c r="L159" s="217">
        <v>601</v>
      </c>
      <c r="M159" s="231">
        <v>150</v>
      </c>
      <c r="N159" s="231">
        <v>18</v>
      </c>
      <c r="O159" s="231">
        <v>55</v>
      </c>
      <c r="P159" s="206">
        <v>223</v>
      </c>
      <c r="Q159" s="207">
        <v>127</v>
      </c>
      <c r="R159" s="207">
        <v>15</v>
      </c>
      <c r="S159" s="207">
        <v>86</v>
      </c>
      <c r="T159" s="207">
        <v>228</v>
      </c>
      <c r="U159" s="208">
        <v>126</v>
      </c>
      <c r="V159" s="208">
        <v>11</v>
      </c>
      <c r="W159" s="208">
        <v>111</v>
      </c>
      <c r="X159" s="208">
        <v>248</v>
      </c>
      <c r="Y159" s="231">
        <v>151</v>
      </c>
      <c r="Z159" s="232">
        <v>22</v>
      </c>
      <c r="AA159" s="233">
        <v>30</v>
      </c>
      <c r="AB159" s="210">
        <v>203</v>
      </c>
      <c r="AC159" s="221">
        <v>45084</v>
      </c>
      <c r="AD159" s="223" t="s">
        <v>325</v>
      </c>
      <c r="AE159" s="223">
        <v>3</v>
      </c>
      <c r="AF159" s="223" t="s">
        <v>298</v>
      </c>
      <c r="AG159" s="223">
        <v>40</v>
      </c>
      <c r="AH159" s="223">
        <v>271</v>
      </c>
      <c r="AI159" s="223">
        <v>135</v>
      </c>
      <c r="AJ159" s="223">
        <v>78</v>
      </c>
      <c r="AK159" s="204">
        <v>213</v>
      </c>
      <c r="AL159" s="222">
        <v>524</v>
      </c>
      <c r="AM159" s="231">
        <v>109</v>
      </c>
      <c r="AN159" s="231">
        <v>11</v>
      </c>
      <c r="AO159" s="231">
        <v>70</v>
      </c>
      <c r="AP159" s="213">
        <v>190</v>
      </c>
      <c r="AQ159" s="207">
        <v>110</v>
      </c>
      <c r="AR159" s="207">
        <v>6</v>
      </c>
      <c r="AS159" s="207">
        <v>33</v>
      </c>
      <c r="AT159" s="207">
        <v>149</v>
      </c>
      <c r="AU159" s="208">
        <v>137</v>
      </c>
      <c r="AV159" s="208">
        <v>15</v>
      </c>
      <c r="AW159" s="208">
        <v>61</v>
      </c>
      <c r="AX159" s="208">
        <v>213</v>
      </c>
      <c r="AY159" s="231">
        <v>82</v>
      </c>
      <c r="AZ159" s="232">
        <v>2</v>
      </c>
      <c r="BA159" s="233">
        <v>42</v>
      </c>
      <c r="BB159" s="214">
        <v>126</v>
      </c>
    </row>
    <row r="160" spans="1:54" ht="15.75" x14ac:dyDescent="0.25">
      <c r="A160" s="215">
        <v>45085</v>
      </c>
      <c r="B160" s="223" t="s">
        <v>326</v>
      </c>
      <c r="C160" s="223">
        <v>4</v>
      </c>
      <c r="D160" s="223" t="s">
        <v>291</v>
      </c>
      <c r="E160" s="223">
        <v>174</v>
      </c>
      <c r="F160" s="223">
        <v>126</v>
      </c>
      <c r="G160" s="223">
        <v>86</v>
      </c>
      <c r="H160" s="202">
        <v>212</v>
      </c>
      <c r="I160" s="223">
        <v>152</v>
      </c>
      <c r="J160" s="223">
        <v>76</v>
      </c>
      <c r="K160" s="204">
        <v>228</v>
      </c>
      <c r="L160" s="217">
        <v>614</v>
      </c>
      <c r="M160" s="231">
        <v>153</v>
      </c>
      <c r="N160" s="231">
        <v>24</v>
      </c>
      <c r="O160" s="231">
        <v>74</v>
      </c>
      <c r="P160" s="206">
        <v>251</v>
      </c>
      <c r="Q160" s="207">
        <v>106</v>
      </c>
      <c r="R160" s="207">
        <v>13</v>
      </c>
      <c r="S160" s="207">
        <v>76</v>
      </c>
      <c r="T160" s="207">
        <v>195</v>
      </c>
      <c r="U160" s="208">
        <v>114</v>
      </c>
      <c r="V160" s="208">
        <v>19</v>
      </c>
      <c r="W160" s="208">
        <v>95</v>
      </c>
      <c r="X160" s="208">
        <v>228</v>
      </c>
      <c r="Y160" s="231">
        <v>145</v>
      </c>
      <c r="Z160" s="232">
        <v>18</v>
      </c>
      <c r="AA160" s="233">
        <v>55</v>
      </c>
      <c r="AB160" s="210">
        <v>218</v>
      </c>
      <c r="AC160" s="221">
        <v>45085</v>
      </c>
      <c r="AD160" s="223" t="s">
        <v>326</v>
      </c>
      <c r="AE160" s="223">
        <v>3</v>
      </c>
      <c r="AF160" s="223" t="s">
        <v>298</v>
      </c>
      <c r="AG160" s="223">
        <v>62</v>
      </c>
      <c r="AH160" s="223">
        <v>265</v>
      </c>
      <c r="AI160" s="223">
        <v>129</v>
      </c>
      <c r="AJ160" s="223">
        <v>57</v>
      </c>
      <c r="AK160" s="204">
        <v>186</v>
      </c>
      <c r="AL160" s="222">
        <v>513</v>
      </c>
      <c r="AM160" s="231">
        <v>113</v>
      </c>
      <c r="AN160" s="231">
        <v>15</v>
      </c>
      <c r="AO160" s="231">
        <v>51</v>
      </c>
      <c r="AP160" s="213">
        <v>179</v>
      </c>
      <c r="AQ160" s="207">
        <v>80</v>
      </c>
      <c r="AR160" s="207">
        <v>15</v>
      </c>
      <c r="AS160" s="207">
        <v>30</v>
      </c>
      <c r="AT160" s="207">
        <v>125</v>
      </c>
      <c r="AU160" s="208">
        <v>124</v>
      </c>
      <c r="AV160" s="208">
        <v>17</v>
      </c>
      <c r="AW160" s="208">
        <v>45</v>
      </c>
      <c r="AX160" s="208">
        <v>186</v>
      </c>
      <c r="AY160" s="231">
        <v>69</v>
      </c>
      <c r="AZ160" s="232">
        <v>13</v>
      </c>
      <c r="BA160" s="233">
        <v>36</v>
      </c>
      <c r="BB160" s="214">
        <v>118</v>
      </c>
    </row>
    <row r="161" spans="1:54" ht="15.75" x14ac:dyDescent="0.25">
      <c r="A161" s="215">
        <v>45086</v>
      </c>
      <c r="B161" s="223" t="s">
        <v>327</v>
      </c>
      <c r="C161" s="223">
        <v>1</v>
      </c>
      <c r="D161" s="223" t="s">
        <v>291</v>
      </c>
      <c r="E161" s="223">
        <v>146</v>
      </c>
      <c r="F161" s="223">
        <v>110</v>
      </c>
      <c r="G161" s="223">
        <v>85</v>
      </c>
      <c r="H161" s="202">
        <v>195</v>
      </c>
      <c r="I161" s="223">
        <v>124</v>
      </c>
      <c r="J161" s="223">
        <v>75</v>
      </c>
      <c r="K161" s="204">
        <v>199</v>
      </c>
      <c r="L161" s="217">
        <v>540</v>
      </c>
      <c r="M161" s="231">
        <v>151</v>
      </c>
      <c r="N161" s="231">
        <v>10</v>
      </c>
      <c r="O161" s="231">
        <v>67</v>
      </c>
      <c r="P161" s="206">
        <v>228</v>
      </c>
      <c r="Q161" s="207">
        <v>133</v>
      </c>
      <c r="R161" s="207">
        <v>18</v>
      </c>
      <c r="S161" s="207">
        <v>35</v>
      </c>
      <c r="T161" s="207">
        <v>186</v>
      </c>
      <c r="U161" s="208">
        <v>113</v>
      </c>
      <c r="V161" s="208">
        <v>19</v>
      </c>
      <c r="W161" s="208">
        <v>70</v>
      </c>
      <c r="X161" s="208">
        <v>202</v>
      </c>
      <c r="Y161" s="231">
        <v>171</v>
      </c>
      <c r="Z161" s="232">
        <v>9</v>
      </c>
      <c r="AA161" s="233">
        <v>32</v>
      </c>
      <c r="AB161" s="210">
        <v>212</v>
      </c>
      <c r="AC161" s="221">
        <v>45086</v>
      </c>
      <c r="AD161" s="223" t="s">
        <v>327</v>
      </c>
      <c r="AE161" s="223">
        <v>2</v>
      </c>
      <c r="AF161" s="223" t="s">
        <v>298</v>
      </c>
      <c r="AG161" s="223">
        <v>54</v>
      </c>
      <c r="AH161" s="223">
        <v>295</v>
      </c>
      <c r="AI161" s="223">
        <v>122</v>
      </c>
      <c r="AJ161" s="223">
        <v>82</v>
      </c>
      <c r="AK161" s="204">
        <v>204</v>
      </c>
      <c r="AL161" s="222">
        <v>553</v>
      </c>
      <c r="AM161" s="234">
        <v>96</v>
      </c>
      <c r="AN161" s="234">
        <v>16</v>
      </c>
      <c r="AO161" s="234">
        <v>34</v>
      </c>
      <c r="AP161" s="213">
        <v>146</v>
      </c>
      <c r="AQ161" s="235">
        <v>75</v>
      </c>
      <c r="AR161" s="235">
        <v>4</v>
      </c>
      <c r="AS161" s="235">
        <v>43</v>
      </c>
      <c r="AT161" s="207">
        <v>122</v>
      </c>
      <c r="AU161" s="208">
        <v>119</v>
      </c>
      <c r="AV161" s="208">
        <v>14</v>
      </c>
      <c r="AW161" s="208">
        <v>71</v>
      </c>
      <c r="AX161" s="208">
        <v>204</v>
      </c>
      <c r="AY161" s="231">
        <v>52</v>
      </c>
      <c r="AZ161" s="232">
        <v>6</v>
      </c>
      <c r="BA161" s="233">
        <v>6</v>
      </c>
      <c r="BB161" s="214">
        <v>64</v>
      </c>
    </row>
    <row r="162" spans="1:54" ht="15.75" x14ac:dyDescent="0.25">
      <c r="A162" s="215">
        <v>45087</v>
      </c>
      <c r="B162" s="223" t="s">
        <v>321</v>
      </c>
      <c r="C162" s="223">
        <v>1</v>
      </c>
      <c r="D162" s="223" t="s">
        <v>291</v>
      </c>
      <c r="E162" s="223">
        <v>130</v>
      </c>
      <c r="F162" s="223">
        <v>97</v>
      </c>
      <c r="G162" s="223">
        <v>75</v>
      </c>
      <c r="H162" s="202">
        <v>172</v>
      </c>
      <c r="I162" s="223">
        <v>145</v>
      </c>
      <c r="J162" s="223">
        <v>83</v>
      </c>
      <c r="K162" s="204">
        <v>228</v>
      </c>
      <c r="L162" s="217">
        <v>530</v>
      </c>
      <c r="M162" s="231">
        <v>138</v>
      </c>
      <c r="N162" s="231">
        <v>21</v>
      </c>
      <c r="O162" s="231">
        <v>85</v>
      </c>
      <c r="P162" s="206">
        <v>244</v>
      </c>
      <c r="Q162" s="207">
        <v>125</v>
      </c>
      <c r="R162" s="207">
        <v>18</v>
      </c>
      <c r="S162" s="207">
        <v>55</v>
      </c>
      <c r="T162" s="207">
        <v>198</v>
      </c>
      <c r="U162" s="208">
        <v>120</v>
      </c>
      <c r="V162" s="208">
        <v>19</v>
      </c>
      <c r="W162" s="208">
        <v>89</v>
      </c>
      <c r="X162" s="208">
        <v>228</v>
      </c>
      <c r="Y162" s="231">
        <v>143</v>
      </c>
      <c r="Z162" s="232">
        <v>20</v>
      </c>
      <c r="AA162" s="233">
        <v>51</v>
      </c>
      <c r="AB162" s="210">
        <v>214</v>
      </c>
      <c r="AC162" s="221">
        <v>45087</v>
      </c>
      <c r="AD162" s="223" t="s">
        <v>321</v>
      </c>
      <c r="AE162" s="223">
        <v>2</v>
      </c>
      <c r="AF162" s="223" t="s">
        <v>298</v>
      </c>
      <c r="AG162" s="223">
        <v>52</v>
      </c>
      <c r="AH162" s="223">
        <v>299</v>
      </c>
      <c r="AI162" s="223">
        <v>151</v>
      </c>
      <c r="AJ162" s="223">
        <v>59</v>
      </c>
      <c r="AK162" s="204">
        <v>210</v>
      </c>
      <c r="AL162" s="222">
        <v>561</v>
      </c>
      <c r="AM162" s="234">
        <v>128</v>
      </c>
      <c r="AN162" s="234">
        <v>16</v>
      </c>
      <c r="AO162" s="234">
        <v>40</v>
      </c>
      <c r="AP162" s="213">
        <v>184</v>
      </c>
      <c r="AQ162" s="235">
        <v>75</v>
      </c>
      <c r="AR162" s="235">
        <v>8</v>
      </c>
      <c r="AS162" s="235">
        <v>44</v>
      </c>
      <c r="AT162" s="207">
        <v>127</v>
      </c>
      <c r="AU162" s="208">
        <v>137</v>
      </c>
      <c r="AV162" s="208">
        <v>20</v>
      </c>
      <c r="AW162" s="208">
        <v>53</v>
      </c>
      <c r="AX162" s="208">
        <v>210</v>
      </c>
      <c r="AY162" s="231">
        <v>66</v>
      </c>
      <c r="AZ162" s="232">
        <v>4</v>
      </c>
      <c r="BA162" s="233">
        <v>31</v>
      </c>
      <c r="BB162" s="214">
        <v>101</v>
      </c>
    </row>
    <row r="163" spans="1:54" ht="15.75" x14ac:dyDescent="0.25">
      <c r="A163" s="215">
        <v>45088</v>
      </c>
      <c r="B163" s="223" t="s">
        <v>322</v>
      </c>
      <c r="C163" s="223">
        <v>3</v>
      </c>
      <c r="D163" s="223" t="s">
        <v>291</v>
      </c>
      <c r="E163" s="223">
        <v>121</v>
      </c>
      <c r="F163" s="223">
        <v>93</v>
      </c>
      <c r="G163" s="223">
        <v>93</v>
      </c>
      <c r="H163" s="202">
        <v>186</v>
      </c>
      <c r="I163" s="223">
        <v>130</v>
      </c>
      <c r="J163" s="223">
        <v>60</v>
      </c>
      <c r="K163" s="204">
        <v>190</v>
      </c>
      <c r="L163" s="217">
        <v>497</v>
      </c>
      <c r="M163" s="231">
        <v>189</v>
      </c>
      <c r="N163" s="231">
        <v>22</v>
      </c>
      <c r="O163" s="231">
        <v>75</v>
      </c>
      <c r="P163" s="206">
        <v>286</v>
      </c>
      <c r="Q163" s="207">
        <v>97</v>
      </c>
      <c r="R163" s="207">
        <v>14</v>
      </c>
      <c r="S163" s="207">
        <v>54</v>
      </c>
      <c r="T163" s="207">
        <v>165</v>
      </c>
      <c r="U163" s="208">
        <v>99</v>
      </c>
      <c r="V163" s="208">
        <v>19</v>
      </c>
      <c r="W163" s="208">
        <v>72</v>
      </c>
      <c r="X163" s="208">
        <v>190</v>
      </c>
      <c r="Y163" s="231">
        <v>187</v>
      </c>
      <c r="Z163" s="232">
        <v>17</v>
      </c>
      <c r="AA163" s="233">
        <v>57</v>
      </c>
      <c r="AB163" s="210">
        <v>261</v>
      </c>
      <c r="AC163" s="221">
        <v>45088</v>
      </c>
      <c r="AD163" s="223" t="s">
        <v>322</v>
      </c>
      <c r="AE163" s="223">
        <v>4</v>
      </c>
      <c r="AF163" s="223" t="s">
        <v>298</v>
      </c>
      <c r="AG163" s="223">
        <v>63</v>
      </c>
      <c r="AH163" s="223">
        <v>347</v>
      </c>
      <c r="AI163" s="223">
        <v>162</v>
      </c>
      <c r="AJ163" s="223">
        <v>53</v>
      </c>
      <c r="AK163" s="204">
        <v>215</v>
      </c>
      <c r="AL163" s="222">
        <v>625</v>
      </c>
      <c r="AM163" s="231">
        <v>146</v>
      </c>
      <c r="AN163" s="231">
        <v>17</v>
      </c>
      <c r="AO163" s="231">
        <v>56</v>
      </c>
      <c r="AP163" s="213">
        <v>219</v>
      </c>
      <c r="AQ163" s="207">
        <v>85</v>
      </c>
      <c r="AR163" s="207">
        <v>6</v>
      </c>
      <c r="AS163" s="207">
        <v>22</v>
      </c>
      <c r="AT163" s="207">
        <v>113</v>
      </c>
      <c r="AU163" s="208">
        <v>151</v>
      </c>
      <c r="AV163" s="208">
        <v>18</v>
      </c>
      <c r="AW163" s="208">
        <v>46</v>
      </c>
      <c r="AX163" s="208">
        <v>215</v>
      </c>
      <c r="AY163" s="231">
        <v>80</v>
      </c>
      <c r="AZ163" s="232">
        <v>5</v>
      </c>
      <c r="BA163" s="233">
        <v>32</v>
      </c>
      <c r="BB163" s="214">
        <v>117</v>
      </c>
    </row>
    <row r="164" spans="1:54" ht="15.75" x14ac:dyDescent="0.25">
      <c r="A164" s="215">
        <v>45089</v>
      </c>
      <c r="B164" s="223" t="s">
        <v>323</v>
      </c>
      <c r="C164" s="223">
        <v>3</v>
      </c>
      <c r="D164" s="223" t="s">
        <v>291</v>
      </c>
      <c r="E164" s="223">
        <v>157</v>
      </c>
      <c r="F164" s="223">
        <v>94</v>
      </c>
      <c r="G164" s="223">
        <v>89</v>
      </c>
      <c r="H164" s="202">
        <v>183</v>
      </c>
      <c r="I164" s="223">
        <v>125</v>
      </c>
      <c r="J164" s="223">
        <v>89</v>
      </c>
      <c r="K164" s="204">
        <v>214</v>
      </c>
      <c r="L164" s="217">
        <v>554</v>
      </c>
      <c r="M164" s="231">
        <v>137</v>
      </c>
      <c r="N164" s="231">
        <v>25</v>
      </c>
      <c r="O164" s="231">
        <v>60</v>
      </c>
      <c r="P164" s="206">
        <v>222</v>
      </c>
      <c r="Q164" s="207">
        <v>107</v>
      </c>
      <c r="R164" s="207">
        <v>14</v>
      </c>
      <c r="S164" s="207">
        <v>50</v>
      </c>
      <c r="T164" s="207">
        <v>171</v>
      </c>
      <c r="U164" s="208">
        <v>113</v>
      </c>
      <c r="V164" s="208">
        <v>18</v>
      </c>
      <c r="W164" s="208">
        <v>83</v>
      </c>
      <c r="X164" s="208">
        <v>214</v>
      </c>
      <c r="Y164" s="231">
        <v>131</v>
      </c>
      <c r="Z164" s="232">
        <v>21</v>
      </c>
      <c r="AA164" s="233">
        <v>27</v>
      </c>
      <c r="AB164" s="210">
        <v>179</v>
      </c>
      <c r="AC164" s="221">
        <v>45089</v>
      </c>
      <c r="AD164" s="223" t="s">
        <v>323</v>
      </c>
      <c r="AE164" s="223">
        <v>4</v>
      </c>
      <c r="AF164" s="223" t="s">
        <v>298</v>
      </c>
      <c r="AG164" s="223">
        <v>65</v>
      </c>
      <c r="AH164" s="223">
        <v>264</v>
      </c>
      <c r="AI164" s="223">
        <v>155</v>
      </c>
      <c r="AJ164" s="223">
        <v>54</v>
      </c>
      <c r="AK164" s="204">
        <v>209</v>
      </c>
      <c r="AL164" s="222">
        <v>538</v>
      </c>
      <c r="AM164" s="231">
        <v>144</v>
      </c>
      <c r="AN164" s="231">
        <v>12</v>
      </c>
      <c r="AO164" s="231">
        <v>47</v>
      </c>
      <c r="AP164" s="213">
        <v>203</v>
      </c>
      <c r="AQ164" s="207">
        <v>99</v>
      </c>
      <c r="AR164" s="207">
        <v>1</v>
      </c>
      <c r="AS164" s="207">
        <v>11</v>
      </c>
      <c r="AT164" s="207">
        <v>111</v>
      </c>
      <c r="AU164" s="208">
        <v>144</v>
      </c>
      <c r="AV164" s="208">
        <v>10</v>
      </c>
      <c r="AW164" s="208">
        <v>55</v>
      </c>
      <c r="AX164" s="208">
        <v>209</v>
      </c>
      <c r="AY164" s="231">
        <v>99</v>
      </c>
      <c r="AZ164" s="232">
        <v>3</v>
      </c>
      <c r="BA164" s="233">
        <v>3</v>
      </c>
      <c r="BB164" s="214">
        <v>105</v>
      </c>
    </row>
    <row r="165" spans="1:54" ht="15.75" x14ac:dyDescent="0.25">
      <c r="A165" s="215">
        <v>45090</v>
      </c>
      <c r="B165" s="223" t="s">
        <v>324</v>
      </c>
      <c r="C165" s="223">
        <v>2</v>
      </c>
      <c r="D165" s="223" t="s">
        <v>291</v>
      </c>
      <c r="E165" s="223">
        <v>118</v>
      </c>
      <c r="F165" s="223">
        <v>90</v>
      </c>
      <c r="G165" s="223">
        <v>90</v>
      </c>
      <c r="H165" s="202">
        <v>180</v>
      </c>
      <c r="I165" s="223">
        <v>144</v>
      </c>
      <c r="J165" s="223">
        <v>58</v>
      </c>
      <c r="K165" s="204">
        <v>202</v>
      </c>
      <c r="L165" s="217">
        <v>500</v>
      </c>
      <c r="M165" s="231">
        <v>131</v>
      </c>
      <c r="N165" s="231">
        <v>22</v>
      </c>
      <c r="O165" s="231">
        <v>78</v>
      </c>
      <c r="P165" s="206">
        <v>231</v>
      </c>
      <c r="Q165" s="207">
        <v>93</v>
      </c>
      <c r="R165" s="207">
        <v>21</v>
      </c>
      <c r="S165" s="207">
        <v>37</v>
      </c>
      <c r="T165" s="207">
        <v>151</v>
      </c>
      <c r="U165" s="208">
        <v>97</v>
      </c>
      <c r="V165" s="208">
        <v>21</v>
      </c>
      <c r="W165" s="208">
        <v>84</v>
      </c>
      <c r="X165" s="208">
        <v>202</v>
      </c>
      <c r="Y165" s="231">
        <v>127</v>
      </c>
      <c r="Z165" s="232">
        <v>22</v>
      </c>
      <c r="AA165" s="233">
        <v>31</v>
      </c>
      <c r="AB165" s="210">
        <v>180</v>
      </c>
      <c r="AC165" s="221">
        <v>45090</v>
      </c>
      <c r="AD165" s="223" t="s">
        <v>324</v>
      </c>
      <c r="AE165" s="223">
        <v>1</v>
      </c>
      <c r="AF165" s="223" t="s">
        <v>298</v>
      </c>
      <c r="AG165" s="223">
        <v>44</v>
      </c>
      <c r="AH165" s="223">
        <v>219</v>
      </c>
      <c r="AI165" s="223">
        <v>100</v>
      </c>
      <c r="AJ165" s="223">
        <v>54</v>
      </c>
      <c r="AK165" s="204">
        <v>154</v>
      </c>
      <c r="AL165" s="222">
        <v>417</v>
      </c>
      <c r="AM165" s="231">
        <v>88</v>
      </c>
      <c r="AN165" s="231">
        <v>14</v>
      </c>
      <c r="AO165" s="231">
        <v>48</v>
      </c>
      <c r="AP165" s="213">
        <v>150</v>
      </c>
      <c r="AQ165" s="207">
        <v>78</v>
      </c>
      <c r="AR165" s="207">
        <v>7</v>
      </c>
      <c r="AS165" s="207">
        <v>33</v>
      </c>
      <c r="AT165" s="207">
        <v>118</v>
      </c>
      <c r="AU165" s="208">
        <v>84</v>
      </c>
      <c r="AV165" s="208">
        <v>14</v>
      </c>
      <c r="AW165" s="208">
        <v>56</v>
      </c>
      <c r="AX165" s="208">
        <v>154</v>
      </c>
      <c r="AY165" s="231">
        <v>82</v>
      </c>
      <c r="AZ165" s="232">
        <v>7</v>
      </c>
      <c r="BA165" s="233">
        <v>25</v>
      </c>
      <c r="BB165" s="214">
        <v>114</v>
      </c>
    </row>
    <row r="166" spans="1:54" ht="15.75" x14ac:dyDescent="0.25">
      <c r="A166" s="215">
        <v>45091</v>
      </c>
      <c r="B166" s="223" t="s">
        <v>325</v>
      </c>
      <c r="C166" s="223">
        <v>2</v>
      </c>
      <c r="D166" s="223" t="s">
        <v>291</v>
      </c>
      <c r="E166" s="223">
        <v>137</v>
      </c>
      <c r="F166" s="223">
        <v>72</v>
      </c>
      <c r="G166" s="223">
        <v>79</v>
      </c>
      <c r="H166" s="202">
        <v>151</v>
      </c>
      <c r="I166" s="223">
        <v>152</v>
      </c>
      <c r="J166" s="223">
        <v>66</v>
      </c>
      <c r="K166" s="204">
        <v>218</v>
      </c>
      <c r="L166" s="217">
        <v>506</v>
      </c>
      <c r="M166" s="231">
        <v>132</v>
      </c>
      <c r="N166" s="231">
        <v>18</v>
      </c>
      <c r="O166" s="231">
        <v>60</v>
      </c>
      <c r="P166" s="206">
        <v>210</v>
      </c>
      <c r="Q166" s="207">
        <v>108</v>
      </c>
      <c r="R166" s="207">
        <v>16</v>
      </c>
      <c r="S166" s="207">
        <v>65</v>
      </c>
      <c r="T166" s="207">
        <v>189</v>
      </c>
      <c r="U166" s="208">
        <v>110</v>
      </c>
      <c r="V166" s="208">
        <v>21</v>
      </c>
      <c r="W166" s="208">
        <v>87</v>
      </c>
      <c r="X166" s="208">
        <v>218</v>
      </c>
      <c r="Y166" s="231">
        <v>130</v>
      </c>
      <c r="Z166" s="232">
        <v>13</v>
      </c>
      <c r="AA166" s="233">
        <v>38</v>
      </c>
      <c r="AB166" s="210">
        <v>181</v>
      </c>
      <c r="AC166" s="221">
        <v>45091</v>
      </c>
      <c r="AD166" s="223" t="s">
        <v>325</v>
      </c>
      <c r="AE166" s="223">
        <v>1</v>
      </c>
      <c r="AF166" s="223" t="s">
        <v>298</v>
      </c>
      <c r="AG166" s="223">
        <v>53</v>
      </c>
      <c r="AH166" s="223">
        <v>267</v>
      </c>
      <c r="AI166" s="223">
        <v>129</v>
      </c>
      <c r="AJ166" s="223">
        <v>42</v>
      </c>
      <c r="AK166" s="204">
        <v>171</v>
      </c>
      <c r="AL166" s="222">
        <v>491</v>
      </c>
      <c r="AM166" s="231">
        <v>120</v>
      </c>
      <c r="AN166" s="231">
        <v>21</v>
      </c>
      <c r="AO166" s="231">
        <v>58</v>
      </c>
      <c r="AP166" s="213">
        <v>199</v>
      </c>
      <c r="AQ166" s="207">
        <v>84</v>
      </c>
      <c r="AR166" s="207">
        <v>14</v>
      </c>
      <c r="AS166" s="207">
        <v>23</v>
      </c>
      <c r="AT166" s="207">
        <v>121</v>
      </c>
      <c r="AU166" s="208">
        <v>112</v>
      </c>
      <c r="AV166" s="208">
        <v>10</v>
      </c>
      <c r="AW166" s="208">
        <v>49</v>
      </c>
      <c r="AX166" s="208">
        <v>171</v>
      </c>
      <c r="AY166" s="231">
        <v>92</v>
      </c>
      <c r="AZ166" s="232">
        <v>25</v>
      </c>
      <c r="BA166" s="233">
        <v>32</v>
      </c>
      <c r="BB166" s="214">
        <v>149</v>
      </c>
    </row>
    <row r="167" spans="1:54" ht="15.75" x14ac:dyDescent="0.25">
      <c r="A167" s="215">
        <v>45092</v>
      </c>
      <c r="B167" s="223" t="s">
        <v>326</v>
      </c>
      <c r="C167" s="223">
        <v>4</v>
      </c>
      <c r="D167" s="223" t="s">
        <v>291</v>
      </c>
      <c r="E167" s="223">
        <v>202</v>
      </c>
      <c r="F167" s="223">
        <v>86</v>
      </c>
      <c r="G167" s="223">
        <v>98</v>
      </c>
      <c r="H167" s="202">
        <v>184</v>
      </c>
      <c r="I167" s="223">
        <v>142</v>
      </c>
      <c r="J167" s="223">
        <v>48</v>
      </c>
      <c r="K167" s="204">
        <v>190</v>
      </c>
      <c r="L167" s="217">
        <v>576</v>
      </c>
      <c r="M167" s="231">
        <v>146</v>
      </c>
      <c r="N167" s="231">
        <v>23</v>
      </c>
      <c r="O167" s="231">
        <v>75</v>
      </c>
      <c r="P167" s="206">
        <v>244</v>
      </c>
      <c r="Q167" s="207">
        <v>96</v>
      </c>
      <c r="R167" s="207">
        <v>22</v>
      </c>
      <c r="S167" s="207">
        <v>53</v>
      </c>
      <c r="T167" s="207">
        <v>171</v>
      </c>
      <c r="U167" s="208">
        <v>104</v>
      </c>
      <c r="V167" s="208">
        <v>20</v>
      </c>
      <c r="W167" s="208">
        <v>66</v>
      </c>
      <c r="X167" s="208">
        <v>190</v>
      </c>
      <c r="Y167" s="231">
        <v>138</v>
      </c>
      <c r="Z167" s="232">
        <v>25</v>
      </c>
      <c r="AA167" s="233">
        <v>62</v>
      </c>
      <c r="AB167" s="210">
        <v>225</v>
      </c>
      <c r="AC167" s="221">
        <v>45092</v>
      </c>
      <c r="AD167" s="223" t="s">
        <v>326</v>
      </c>
      <c r="AE167" s="223">
        <v>3</v>
      </c>
      <c r="AF167" s="223" t="s">
        <v>298</v>
      </c>
      <c r="AG167" s="223">
        <v>72</v>
      </c>
      <c r="AH167" s="223">
        <v>280</v>
      </c>
      <c r="AI167" s="223">
        <v>115</v>
      </c>
      <c r="AJ167" s="223">
        <v>63</v>
      </c>
      <c r="AK167" s="204">
        <v>178</v>
      </c>
      <c r="AL167" s="222">
        <v>530</v>
      </c>
      <c r="AM167" s="231">
        <v>108</v>
      </c>
      <c r="AN167" s="231">
        <v>19</v>
      </c>
      <c r="AO167" s="231">
        <v>36</v>
      </c>
      <c r="AP167" s="213">
        <v>163</v>
      </c>
      <c r="AQ167" s="207">
        <v>83</v>
      </c>
      <c r="AR167" s="207">
        <v>6</v>
      </c>
      <c r="AS167" s="207">
        <v>35</v>
      </c>
      <c r="AT167" s="207">
        <v>124</v>
      </c>
      <c r="AU167" s="208">
        <v>121</v>
      </c>
      <c r="AV167" s="208">
        <v>13</v>
      </c>
      <c r="AW167" s="208">
        <v>44</v>
      </c>
      <c r="AX167" s="208">
        <v>178</v>
      </c>
      <c r="AY167" s="231">
        <v>70</v>
      </c>
      <c r="AZ167" s="232">
        <v>12</v>
      </c>
      <c r="BA167" s="233">
        <v>27</v>
      </c>
      <c r="BB167" s="214">
        <v>109</v>
      </c>
    </row>
    <row r="168" spans="1:54" ht="15.75" x14ac:dyDescent="0.25">
      <c r="A168" s="215">
        <v>45093</v>
      </c>
      <c r="B168" s="223" t="s">
        <v>327</v>
      </c>
      <c r="C168" s="223">
        <v>4</v>
      </c>
      <c r="D168" s="223" t="s">
        <v>291</v>
      </c>
      <c r="E168" s="223">
        <v>171</v>
      </c>
      <c r="F168" s="223">
        <v>99</v>
      </c>
      <c r="G168" s="223">
        <v>97</v>
      </c>
      <c r="H168" s="202">
        <v>196</v>
      </c>
      <c r="I168" s="223">
        <v>166</v>
      </c>
      <c r="J168" s="223">
        <v>59</v>
      </c>
      <c r="K168" s="204">
        <v>225</v>
      </c>
      <c r="L168" s="217">
        <v>592</v>
      </c>
      <c r="M168" s="231">
        <v>141</v>
      </c>
      <c r="N168" s="231">
        <v>24</v>
      </c>
      <c r="O168" s="231">
        <v>69</v>
      </c>
      <c r="P168" s="206">
        <v>234</v>
      </c>
      <c r="Q168" s="207">
        <v>128</v>
      </c>
      <c r="R168" s="207">
        <v>14</v>
      </c>
      <c r="S168" s="207">
        <v>50</v>
      </c>
      <c r="T168" s="207">
        <v>192</v>
      </c>
      <c r="U168" s="208">
        <v>121</v>
      </c>
      <c r="V168" s="208">
        <v>23</v>
      </c>
      <c r="W168" s="208">
        <v>81</v>
      </c>
      <c r="X168" s="208">
        <v>225</v>
      </c>
      <c r="Y168" s="231">
        <v>148</v>
      </c>
      <c r="Z168" s="232">
        <v>15</v>
      </c>
      <c r="AA168" s="233">
        <v>38</v>
      </c>
      <c r="AB168" s="210">
        <v>201</v>
      </c>
      <c r="AC168" s="221">
        <v>45093</v>
      </c>
      <c r="AD168" s="223" t="s">
        <v>327</v>
      </c>
      <c r="AE168" s="223">
        <v>3</v>
      </c>
      <c r="AF168" s="223" t="s">
        <v>298</v>
      </c>
      <c r="AG168" s="223">
        <v>68</v>
      </c>
      <c r="AH168" s="223">
        <v>258</v>
      </c>
      <c r="AI168" s="223">
        <v>137</v>
      </c>
      <c r="AJ168" s="223">
        <v>61</v>
      </c>
      <c r="AK168" s="204">
        <v>198</v>
      </c>
      <c r="AL168" s="222">
        <v>524</v>
      </c>
      <c r="AM168" s="231">
        <v>117</v>
      </c>
      <c r="AN168" s="231">
        <v>19</v>
      </c>
      <c r="AO168" s="231">
        <v>55</v>
      </c>
      <c r="AP168" s="213">
        <v>191</v>
      </c>
      <c r="AQ168" s="207">
        <v>77</v>
      </c>
      <c r="AR168" s="207">
        <v>7</v>
      </c>
      <c r="AS168" s="207">
        <v>36</v>
      </c>
      <c r="AT168" s="207">
        <v>120</v>
      </c>
      <c r="AU168" s="208">
        <v>126</v>
      </c>
      <c r="AV168" s="208">
        <v>21</v>
      </c>
      <c r="AW168" s="208">
        <v>51</v>
      </c>
      <c r="AX168" s="208">
        <v>198</v>
      </c>
      <c r="AY168" s="231">
        <v>68</v>
      </c>
      <c r="AZ168" s="232">
        <v>5</v>
      </c>
      <c r="BA168" s="233">
        <v>40</v>
      </c>
      <c r="BB168" s="214">
        <v>113</v>
      </c>
    </row>
    <row r="169" spans="1:54" ht="15.75" x14ac:dyDescent="0.25">
      <c r="A169" s="215">
        <v>45094</v>
      </c>
      <c r="B169" s="223" t="s">
        <v>321</v>
      </c>
      <c r="C169" s="223">
        <v>1</v>
      </c>
      <c r="D169" s="223" t="s">
        <v>291</v>
      </c>
      <c r="E169" s="223">
        <v>142</v>
      </c>
      <c r="F169" s="223">
        <v>111</v>
      </c>
      <c r="G169" s="223">
        <v>65</v>
      </c>
      <c r="H169" s="202">
        <v>176</v>
      </c>
      <c r="I169" s="223">
        <v>124</v>
      </c>
      <c r="J169" s="223">
        <v>64</v>
      </c>
      <c r="K169" s="204">
        <v>188</v>
      </c>
      <c r="L169" s="217">
        <v>506</v>
      </c>
      <c r="M169" s="231">
        <v>132</v>
      </c>
      <c r="N169" s="231">
        <v>16</v>
      </c>
      <c r="O169" s="231">
        <v>64</v>
      </c>
      <c r="P169" s="206">
        <v>212</v>
      </c>
      <c r="Q169" s="207">
        <v>134</v>
      </c>
      <c r="R169" s="207">
        <v>17</v>
      </c>
      <c r="S169" s="207">
        <v>52</v>
      </c>
      <c r="T169" s="207">
        <v>203</v>
      </c>
      <c r="U169" s="208">
        <v>93</v>
      </c>
      <c r="V169" s="208">
        <v>19</v>
      </c>
      <c r="W169" s="208">
        <v>76</v>
      </c>
      <c r="X169" s="208">
        <v>188</v>
      </c>
      <c r="Y169" s="231">
        <v>173</v>
      </c>
      <c r="Z169" s="232">
        <v>14</v>
      </c>
      <c r="AA169" s="233">
        <v>40</v>
      </c>
      <c r="AB169" s="210">
        <v>227</v>
      </c>
      <c r="AC169" s="221">
        <v>45094</v>
      </c>
      <c r="AD169" s="223" t="s">
        <v>321</v>
      </c>
      <c r="AE169" s="223">
        <v>2</v>
      </c>
      <c r="AF169" s="223" t="s">
        <v>298</v>
      </c>
      <c r="AG169" s="223">
        <v>52</v>
      </c>
      <c r="AH169" s="223">
        <v>280</v>
      </c>
      <c r="AI169" s="223">
        <v>130</v>
      </c>
      <c r="AJ169" s="223">
        <v>64</v>
      </c>
      <c r="AK169" s="204">
        <v>194</v>
      </c>
      <c r="AL169" s="222">
        <v>526</v>
      </c>
      <c r="AM169" s="231">
        <v>117</v>
      </c>
      <c r="AN169" s="231">
        <v>8</v>
      </c>
      <c r="AO169" s="231">
        <v>50</v>
      </c>
      <c r="AP169" s="213">
        <v>175</v>
      </c>
      <c r="AQ169" s="207">
        <v>84</v>
      </c>
      <c r="AR169" s="207">
        <v>7</v>
      </c>
      <c r="AS169" s="207">
        <v>33</v>
      </c>
      <c r="AT169" s="207">
        <v>124</v>
      </c>
      <c r="AU169" s="208">
        <v>128</v>
      </c>
      <c r="AV169" s="208">
        <v>14</v>
      </c>
      <c r="AW169" s="208">
        <v>52</v>
      </c>
      <c r="AX169" s="208">
        <v>194</v>
      </c>
      <c r="AY169" s="231">
        <v>73</v>
      </c>
      <c r="AZ169" s="232">
        <v>1</v>
      </c>
      <c r="BA169" s="233">
        <v>31</v>
      </c>
      <c r="BB169" s="214">
        <v>105</v>
      </c>
    </row>
    <row r="170" spans="1:54" ht="15.75" x14ac:dyDescent="0.25">
      <c r="A170" s="215">
        <v>45095</v>
      </c>
      <c r="B170" s="223" t="s">
        <v>322</v>
      </c>
      <c r="C170" s="223">
        <v>1</v>
      </c>
      <c r="D170" s="223" t="s">
        <v>291</v>
      </c>
      <c r="E170" s="223">
        <v>179</v>
      </c>
      <c r="F170" s="223">
        <v>120</v>
      </c>
      <c r="G170" s="223">
        <v>80</v>
      </c>
      <c r="H170" s="202">
        <v>200</v>
      </c>
      <c r="I170" s="223">
        <v>145</v>
      </c>
      <c r="J170" s="223">
        <v>74</v>
      </c>
      <c r="K170" s="204">
        <v>219</v>
      </c>
      <c r="L170" s="217">
        <v>598</v>
      </c>
      <c r="M170" s="231">
        <v>153</v>
      </c>
      <c r="N170" s="231">
        <v>11</v>
      </c>
      <c r="O170" s="231">
        <v>69</v>
      </c>
      <c r="P170" s="206">
        <v>233</v>
      </c>
      <c r="Q170" s="207">
        <v>124</v>
      </c>
      <c r="R170" s="207">
        <v>13</v>
      </c>
      <c r="S170" s="207">
        <v>52</v>
      </c>
      <c r="T170" s="207">
        <v>189</v>
      </c>
      <c r="U170" s="208">
        <v>108</v>
      </c>
      <c r="V170" s="208">
        <v>21</v>
      </c>
      <c r="W170" s="208">
        <v>90</v>
      </c>
      <c r="X170" s="208">
        <v>219</v>
      </c>
      <c r="Y170" s="231">
        <v>169</v>
      </c>
      <c r="Z170" s="232">
        <v>3</v>
      </c>
      <c r="AA170" s="233">
        <v>31</v>
      </c>
      <c r="AB170" s="210">
        <v>203</v>
      </c>
      <c r="AC170" s="221">
        <v>45095</v>
      </c>
      <c r="AD170" s="223" t="s">
        <v>322</v>
      </c>
      <c r="AE170" s="223">
        <v>2</v>
      </c>
      <c r="AF170" s="223" t="s">
        <v>298</v>
      </c>
      <c r="AG170" s="223">
        <v>45</v>
      </c>
      <c r="AH170" s="223">
        <v>262</v>
      </c>
      <c r="AI170" s="223">
        <v>143</v>
      </c>
      <c r="AJ170" s="223">
        <v>80</v>
      </c>
      <c r="AK170" s="204">
        <v>223</v>
      </c>
      <c r="AL170" s="222">
        <v>530</v>
      </c>
      <c r="AM170" s="231">
        <v>150</v>
      </c>
      <c r="AN170" s="231">
        <v>11</v>
      </c>
      <c r="AO170" s="231">
        <v>40</v>
      </c>
      <c r="AP170" s="213">
        <v>201</v>
      </c>
      <c r="AQ170" s="207">
        <v>84</v>
      </c>
      <c r="AR170" s="207">
        <v>3</v>
      </c>
      <c r="AS170" s="207">
        <v>39</v>
      </c>
      <c r="AT170" s="207">
        <v>126</v>
      </c>
      <c r="AU170" s="208">
        <v>158</v>
      </c>
      <c r="AV170" s="208">
        <v>11</v>
      </c>
      <c r="AW170" s="208">
        <v>54</v>
      </c>
      <c r="AX170" s="208">
        <v>223</v>
      </c>
      <c r="AY170" s="231">
        <v>76</v>
      </c>
      <c r="AZ170" s="232">
        <v>3</v>
      </c>
      <c r="BA170" s="233">
        <v>25</v>
      </c>
      <c r="BB170" s="214">
        <v>104</v>
      </c>
    </row>
    <row r="171" spans="1:54" ht="15.75" x14ac:dyDescent="0.25">
      <c r="A171" s="215">
        <v>45096</v>
      </c>
      <c r="B171" s="223" t="s">
        <v>323</v>
      </c>
      <c r="C171" s="223">
        <v>3</v>
      </c>
      <c r="D171" s="223" t="s">
        <v>291</v>
      </c>
      <c r="E171" s="223">
        <v>126</v>
      </c>
      <c r="F171" s="223">
        <v>94</v>
      </c>
      <c r="G171" s="223">
        <v>91</v>
      </c>
      <c r="H171" s="202">
        <v>185</v>
      </c>
      <c r="I171" s="223">
        <v>152</v>
      </c>
      <c r="J171" s="223">
        <v>73</v>
      </c>
      <c r="K171" s="204">
        <v>225</v>
      </c>
      <c r="L171" s="217">
        <v>536</v>
      </c>
      <c r="M171" s="231">
        <v>179</v>
      </c>
      <c r="N171" s="231">
        <v>25</v>
      </c>
      <c r="O171" s="231">
        <v>73</v>
      </c>
      <c r="P171" s="206">
        <v>277</v>
      </c>
      <c r="Q171" s="207">
        <v>106</v>
      </c>
      <c r="R171" s="207">
        <v>20</v>
      </c>
      <c r="S171" s="207">
        <v>41</v>
      </c>
      <c r="T171" s="207">
        <v>167</v>
      </c>
      <c r="U171" s="208">
        <v>131</v>
      </c>
      <c r="V171" s="208">
        <v>19</v>
      </c>
      <c r="W171" s="208">
        <v>75</v>
      </c>
      <c r="X171" s="208">
        <v>225</v>
      </c>
      <c r="Y171" s="231">
        <v>154</v>
      </c>
      <c r="Z171" s="232">
        <v>26</v>
      </c>
      <c r="AA171" s="233">
        <v>39</v>
      </c>
      <c r="AB171" s="210">
        <v>219</v>
      </c>
      <c r="AC171" s="221">
        <v>45096</v>
      </c>
      <c r="AD171" s="223" t="s">
        <v>323</v>
      </c>
      <c r="AE171" s="223">
        <v>4</v>
      </c>
      <c r="AF171" s="223" t="s">
        <v>298</v>
      </c>
      <c r="AG171" s="223">
        <v>65</v>
      </c>
      <c r="AH171" s="223">
        <v>320</v>
      </c>
      <c r="AI171" s="223">
        <v>147</v>
      </c>
      <c r="AJ171" s="223">
        <v>73</v>
      </c>
      <c r="AK171" s="204">
        <v>220</v>
      </c>
      <c r="AL171" s="222">
        <v>605</v>
      </c>
      <c r="AM171" s="231">
        <v>129</v>
      </c>
      <c r="AN171" s="231">
        <v>13</v>
      </c>
      <c r="AO171" s="231">
        <v>43</v>
      </c>
      <c r="AP171" s="213">
        <v>185</v>
      </c>
      <c r="AQ171" s="207">
        <v>77</v>
      </c>
      <c r="AR171" s="207">
        <v>8</v>
      </c>
      <c r="AS171" s="207">
        <v>20</v>
      </c>
      <c r="AT171" s="207">
        <v>105</v>
      </c>
      <c r="AU171" s="208">
        <v>159</v>
      </c>
      <c r="AV171" s="208">
        <v>14</v>
      </c>
      <c r="AW171" s="208">
        <v>47</v>
      </c>
      <c r="AX171" s="208">
        <v>220</v>
      </c>
      <c r="AY171" s="231">
        <v>47</v>
      </c>
      <c r="AZ171" s="232">
        <v>7</v>
      </c>
      <c r="BA171" s="233">
        <v>16</v>
      </c>
      <c r="BB171" s="214">
        <v>70</v>
      </c>
    </row>
    <row r="172" spans="1:54" ht="15.75" x14ac:dyDescent="0.25">
      <c r="A172" s="215">
        <v>45097</v>
      </c>
      <c r="B172" s="223" t="s">
        <v>324</v>
      </c>
      <c r="C172" s="223">
        <v>3</v>
      </c>
      <c r="D172" s="223" t="s">
        <v>291</v>
      </c>
      <c r="E172" s="223">
        <v>146</v>
      </c>
      <c r="F172" s="223">
        <v>72</v>
      </c>
      <c r="G172" s="223">
        <v>95</v>
      </c>
      <c r="H172" s="202">
        <v>167</v>
      </c>
      <c r="I172" s="223">
        <v>146</v>
      </c>
      <c r="J172" s="223">
        <v>75</v>
      </c>
      <c r="K172" s="204">
        <v>221</v>
      </c>
      <c r="L172" s="217">
        <v>534</v>
      </c>
      <c r="M172" s="231">
        <v>157</v>
      </c>
      <c r="N172" s="231">
        <v>20</v>
      </c>
      <c r="O172" s="231">
        <v>77</v>
      </c>
      <c r="P172" s="206">
        <v>254</v>
      </c>
      <c r="Q172" s="207">
        <v>97</v>
      </c>
      <c r="R172" s="207">
        <v>16</v>
      </c>
      <c r="S172" s="207">
        <v>61</v>
      </c>
      <c r="T172" s="207">
        <v>174</v>
      </c>
      <c r="U172" s="208">
        <v>124</v>
      </c>
      <c r="V172" s="208">
        <v>14</v>
      </c>
      <c r="W172" s="208">
        <v>83</v>
      </c>
      <c r="X172" s="208">
        <v>221</v>
      </c>
      <c r="Y172" s="231">
        <v>130</v>
      </c>
      <c r="Z172" s="232">
        <v>22</v>
      </c>
      <c r="AA172" s="233">
        <v>55</v>
      </c>
      <c r="AB172" s="210">
        <v>207</v>
      </c>
      <c r="AC172" s="221">
        <v>45097</v>
      </c>
      <c r="AD172" s="223" t="s">
        <v>324</v>
      </c>
      <c r="AE172" s="223">
        <v>4</v>
      </c>
      <c r="AF172" s="223" t="s">
        <v>298</v>
      </c>
      <c r="AG172" s="223">
        <v>65</v>
      </c>
      <c r="AH172" s="223">
        <v>261</v>
      </c>
      <c r="AI172" s="223">
        <v>122</v>
      </c>
      <c r="AJ172" s="223">
        <v>69</v>
      </c>
      <c r="AK172" s="204">
        <v>191</v>
      </c>
      <c r="AL172" s="222">
        <v>517</v>
      </c>
      <c r="AM172" s="231">
        <v>115</v>
      </c>
      <c r="AN172" s="231">
        <v>8</v>
      </c>
      <c r="AO172" s="231">
        <v>32</v>
      </c>
      <c r="AP172" s="213">
        <v>155</v>
      </c>
      <c r="AQ172" s="207">
        <v>72</v>
      </c>
      <c r="AR172" s="207">
        <v>8</v>
      </c>
      <c r="AS172" s="207">
        <v>26</v>
      </c>
      <c r="AT172" s="207">
        <v>106</v>
      </c>
      <c r="AU172" s="208">
        <v>129</v>
      </c>
      <c r="AV172" s="208">
        <v>18</v>
      </c>
      <c r="AW172" s="208">
        <v>44</v>
      </c>
      <c r="AX172" s="208">
        <v>191</v>
      </c>
      <c r="AY172" s="231">
        <v>58</v>
      </c>
      <c r="AZ172" s="232">
        <v>-2</v>
      </c>
      <c r="BA172" s="233">
        <v>14</v>
      </c>
      <c r="BB172" s="214">
        <v>70</v>
      </c>
    </row>
    <row r="173" spans="1:54" ht="15.75" x14ac:dyDescent="0.25">
      <c r="A173" s="215">
        <v>45098</v>
      </c>
      <c r="B173" s="223" t="s">
        <v>325</v>
      </c>
      <c r="C173" s="223">
        <v>2</v>
      </c>
      <c r="D173" s="223" t="s">
        <v>291</v>
      </c>
      <c r="E173" s="223">
        <v>134</v>
      </c>
      <c r="F173" s="223">
        <v>100</v>
      </c>
      <c r="G173" s="223">
        <v>56</v>
      </c>
      <c r="H173" s="202">
        <v>156</v>
      </c>
      <c r="I173" s="223">
        <v>146</v>
      </c>
      <c r="J173" s="223">
        <v>73</v>
      </c>
      <c r="K173" s="204">
        <v>219</v>
      </c>
      <c r="L173" s="217">
        <v>509</v>
      </c>
      <c r="M173" s="231">
        <v>131</v>
      </c>
      <c r="N173" s="231">
        <v>18</v>
      </c>
      <c r="O173" s="231">
        <v>80</v>
      </c>
      <c r="P173" s="206">
        <v>229</v>
      </c>
      <c r="Q173" s="207">
        <v>117</v>
      </c>
      <c r="R173" s="207">
        <v>18</v>
      </c>
      <c r="S173" s="207">
        <v>72</v>
      </c>
      <c r="T173" s="207">
        <v>207</v>
      </c>
      <c r="U173" s="208">
        <v>109</v>
      </c>
      <c r="V173" s="208">
        <v>26</v>
      </c>
      <c r="W173" s="208">
        <v>84</v>
      </c>
      <c r="X173" s="208">
        <v>219</v>
      </c>
      <c r="Y173" s="231">
        <v>139</v>
      </c>
      <c r="Z173" s="232">
        <v>10</v>
      </c>
      <c r="AA173" s="233">
        <v>68</v>
      </c>
      <c r="AB173" s="210">
        <v>217</v>
      </c>
      <c r="AC173" s="221">
        <v>45098</v>
      </c>
      <c r="AD173" s="223" t="s">
        <v>325</v>
      </c>
      <c r="AE173" s="223">
        <v>1</v>
      </c>
      <c r="AF173" s="223" t="s">
        <v>298</v>
      </c>
      <c r="AG173" s="223">
        <v>48</v>
      </c>
      <c r="AH173" s="223">
        <v>268</v>
      </c>
      <c r="AI173" s="223">
        <v>139</v>
      </c>
      <c r="AJ173" s="223">
        <v>32</v>
      </c>
      <c r="AK173" s="204">
        <v>171</v>
      </c>
      <c r="AL173" s="222">
        <v>487</v>
      </c>
      <c r="AM173" s="231">
        <v>141</v>
      </c>
      <c r="AN173" s="231">
        <v>12</v>
      </c>
      <c r="AO173" s="231">
        <v>65</v>
      </c>
      <c r="AP173" s="213">
        <v>218</v>
      </c>
      <c r="AQ173" s="207">
        <v>90</v>
      </c>
      <c r="AR173" s="207">
        <v>6</v>
      </c>
      <c r="AS173" s="207">
        <v>38</v>
      </c>
      <c r="AT173" s="207">
        <v>134</v>
      </c>
      <c r="AU173" s="208">
        <v>126</v>
      </c>
      <c r="AV173" s="208">
        <v>8</v>
      </c>
      <c r="AW173" s="208">
        <v>37</v>
      </c>
      <c r="AX173" s="208">
        <v>171</v>
      </c>
      <c r="AY173" s="231">
        <v>105</v>
      </c>
      <c r="AZ173" s="232">
        <v>10</v>
      </c>
      <c r="BA173" s="233">
        <v>66</v>
      </c>
      <c r="BB173" s="214">
        <v>181</v>
      </c>
    </row>
    <row r="174" spans="1:54" ht="15.75" x14ac:dyDescent="0.25">
      <c r="A174" s="215">
        <v>45099</v>
      </c>
      <c r="B174" s="223" t="s">
        <v>326</v>
      </c>
      <c r="C174" s="223">
        <v>2</v>
      </c>
      <c r="D174" s="223" t="s">
        <v>291</v>
      </c>
      <c r="E174" s="223">
        <v>206</v>
      </c>
      <c r="F174" s="223">
        <v>111</v>
      </c>
      <c r="G174" s="223">
        <v>84</v>
      </c>
      <c r="H174" s="202">
        <v>195</v>
      </c>
      <c r="I174" s="223">
        <v>160</v>
      </c>
      <c r="J174" s="223">
        <v>51</v>
      </c>
      <c r="K174" s="204">
        <v>211</v>
      </c>
      <c r="L174" s="217">
        <v>612</v>
      </c>
      <c r="M174" s="231">
        <v>170</v>
      </c>
      <c r="N174" s="231">
        <v>25</v>
      </c>
      <c r="O174" s="231">
        <v>61</v>
      </c>
      <c r="P174" s="206">
        <v>256</v>
      </c>
      <c r="Q174" s="207">
        <v>119</v>
      </c>
      <c r="R174" s="207">
        <v>21</v>
      </c>
      <c r="S174" s="207">
        <v>55</v>
      </c>
      <c r="T174" s="207">
        <v>195</v>
      </c>
      <c r="U174" s="208">
        <v>115</v>
      </c>
      <c r="V174" s="208">
        <v>11</v>
      </c>
      <c r="W174" s="208">
        <v>85</v>
      </c>
      <c r="X174" s="208">
        <v>211</v>
      </c>
      <c r="Y174" s="231">
        <v>174</v>
      </c>
      <c r="Z174" s="232">
        <v>35</v>
      </c>
      <c r="AA174" s="233">
        <v>31</v>
      </c>
      <c r="AB174" s="210">
        <v>240</v>
      </c>
      <c r="AC174" s="221">
        <v>45099</v>
      </c>
      <c r="AD174" s="223" t="s">
        <v>326</v>
      </c>
      <c r="AE174" s="223">
        <v>1</v>
      </c>
      <c r="AF174" s="223" t="s">
        <v>298</v>
      </c>
      <c r="AG174" s="223">
        <v>79</v>
      </c>
      <c r="AH174" s="223">
        <v>302</v>
      </c>
      <c r="AI174" s="223">
        <v>136</v>
      </c>
      <c r="AJ174" s="223">
        <v>29</v>
      </c>
      <c r="AK174" s="204">
        <v>165</v>
      </c>
      <c r="AL174" s="222">
        <v>546</v>
      </c>
      <c r="AM174" s="231">
        <v>122</v>
      </c>
      <c r="AN174" s="231">
        <v>11</v>
      </c>
      <c r="AO174" s="231">
        <v>47</v>
      </c>
      <c r="AP174" s="213">
        <v>180</v>
      </c>
      <c r="AQ174" s="207">
        <v>94</v>
      </c>
      <c r="AR174" s="207">
        <v>9</v>
      </c>
      <c r="AS174" s="207">
        <v>25</v>
      </c>
      <c r="AT174" s="207">
        <v>128</v>
      </c>
      <c r="AU174" s="208">
        <v>115</v>
      </c>
      <c r="AV174" s="208">
        <v>13</v>
      </c>
      <c r="AW174" s="208">
        <v>37</v>
      </c>
      <c r="AX174" s="208">
        <v>165</v>
      </c>
      <c r="AY174" s="231">
        <v>101</v>
      </c>
      <c r="AZ174" s="232">
        <v>7</v>
      </c>
      <c r="BA174" s="233">
        <v>35</v>
      </c>
      <c r="BB174" s="214">
        <v>143</v>
      </c>
    </row>
    <row r="175" spans="1:54" ht="15.75" x14ac:dyDescent="0.25">
      <c r="A175" s="215">
        <v>45100</v>
      </c>
      <c r="B175" s="223" t="s">
        <v>327</v>
      </c>
      <c r="C175" s="223">
        <v>4</v>
      </c>
      <c r="D175" s="223" t="s">
        <v>291</v>
      </c>
      <c r="E175" s="223">
        <v>201</v>
      </c>
      <c r="F175" s="223">
        <v>86</v>
      </c>
      <c r="G175" s="223">
        <v>89</v>
      </c>
      <c r="H175" s="202">
        <v>175</v>
      </c>
      <c r="I175" s="223">
        <v>146</v>
      </c>
      <c r="J175" s="223">
        <v>55</v>
      </c>
      <c r="K175" s="204">
        <v>201</v>
      </c>
      <c r="L175" s="217">
        <v>577</v>
      </c>
      <c r="M175" s="231">
        <v>188</v>
      </c>
      <c r="N175" s="231">
        <v>34</v>
      </c>
      <c r="O175" s="231">
        <v>76</v>
      </c>
      <c r="P175" s="206">
        <v>298</v>
      </c>
      <c r="Q175" s="207">
        <v>130</v>
      </c>
      <c r="R175" s="207">
        <v>18</v>
      </c>
      <c r="S175" s="207">
        <v>50</v>
      </c>
      <c r="T175" s="207">
        <v>198</v>
      </c>
      <c r="U175" s="208">
        <v>126</v>
      </c>
      <c r="V175" s="208">
        <v>19</v>
      </c>
      <c r="W175" s="208">
        <v>56</v>
      </c>
      <c r="X175" s="208">
        <v>201</v>
      </c>
      <c r="Y175" s="231">
        <v>192</v>
      </c>
      <c r="Z175" s="232">
        <v>33</v>
      </c>
      <c r="AA175" s="233">
        <v>70</v>
      </c>
      <c r="AB175" s="210">
        <v>295</v>
      </c>
      <c r="AC175" s="221">
        <v>45100</v>
      </c>
      <c r="AD175" s="223" t="s">
        <v>327</v>
      </c>
      <c r="AE175" s="223">
        <v>3</v>
      </c>
      <c r="AF175" s="223" t="s">
        <v>298</v>
      </c>
      <c r="AG175" s="223">
        <v>75</v>
      </c>
      <c r="AH175" s="223">
        <v>348</v>
      </c>
      <c r="AI175" s="223">
        <v>131</v>
      </c>
      <c r="AJ175" s="223">
        <v>50</v>
      </c>
      <c r="AK175" s="204">
        <v>181</v>
      </c>
      <c r="AL175" s="222">
        <v>604</v>
      </c>
      <c r="AM175" s="231">
        <v>130</v>
      </c>
      <c r="AN175" s="231">
        <v>16</v>
      </c>
      <c r="AO175" s="231">
        <v>62</v>
      </c>
      <c r="AP175" s="213">
        <v>208</v>
      </c>
      <c r="AQ175" s="207">
        <v>98</v>
      </c>
      <c r="AR175" s="207">
        <v>6</v>
      </c>
      <c r="AS175" s="207">
        <v>27</v>
      </c>
      <c r="AT175" s="207">
        <v>131</v>
      </c>
      <c r="AU175" s="208">
        <v>131</v>
      </c>
      <c r="AV175" s="208">
        <v>12</v>
      </c>
      <c r="AW175" s="208">
        <v>38</v>
      </c>
      <c r="AX175" s="208">
        <v>181</v>
      </c>
      <c r="AY175" s="231">
        <v>97</v>
      </c>
      <c r="AZ175" s="232">
        <v>10</v>
      </c>
      <c r="BA175" s="233">
        <v>51</v>
      </c>
      <c r="BB175" s="214">
        <v>158</v>
      </c>
    </row>
    <row r="176" spans="1:54" ht="15.75" x14ac:dyDescent="0.25">
      <c r="A176" s="215">
        <v>45101</v>
      </c>
      <c r="B176" s="223" t="s">
        <v>321</v>
      </c>
      <c r="C176" s="223">
        <v>4</v>
      </c>
      <c r="D176" s="223" t="s">
        <v>291</v>
      </c>
      <c r="E176" s="223">
        <v>201</v>
      </c>
      <c r="F176" s="223">
        <v>104</v>
      </c>
      <c r="G176" s="223">
        <v>107</v>
      </c>
      <c r="H176" s="202">
        <v>211</v>
      </c>
      <c r="I176" s="223">
        <v>167</v>
      </c>
      <c r="J176" s="223">
        <v>56</v>
      </c>
      <c r="K176" s="204">
        <v>223</v>
      </c>
      <c r="L176" s="217">
        <v>635</v>
      </c>
      <c r="M176" s="231">
        <v>188</v>
      </c>
      <c r="N176" s="231">
        <v>23</v>
      </c>
      <c r="O176" s="231">
        <v>74</v>
      </c>
      <c r="P176" s="206">
        <v>285</v>
      </c>
      <c r="Q176" s="207">
        <v>129</v>
      </c>
      <c r="R176" s="207">
        <v>19</v>
      </c>
      <c r="S176" s="207">
        <v>58</v>
      </c>
      <c r="T176" s="207">
        <v>206</v>
      </c>
      <c r="U176" s="208">
        <v>148</v>
      </c>
      <c r="V176" s="208">
        <v>13</v>
      </c>
      <c r="W176" s="208">
        <v>62</v>
      </c>
      <c r="X176" s="208">
        <v>223</v>
      </c>
      <c r="Y176" s="231">
        <v>169</v>
      </c>
      <c r="Z176" s="232">
        <v>29</v>
      </c>
      <c r="AA176" s="233">
        <v>70</v>
      </c>
      <c r="AB176" s="210">
        <v>268</v>
      </c>
      <c r="AC176" s="221">
        <v>45101</v>
      </c>
      <c r="AD176" s="223" t="s">
        <v>321</v>
      </c>
      <c r="AE176" s="223">
        <v>3</v>
      </c>
      <c r="AF176" s="223" t="s">
        <v>298</v>
      </c>
      <c r="AG176" s="223">
        <v>42</v>
      </c>
      <c r="AH176" s="223">
        <v>318</v>
      </c>
      <c r="AI176" s="223">
        <v>131</v>
      </c>
      <c r="AJ176" s="223">
        <v>55</v>
      </c>
      <c r="AK176" s="204">
        <v>186</v>
      </c>
      <c r="AL176" s="222">
        <v>546</v>
      </c>
      <c r="AM176" s="231">
        <v>127</v>
      </c>
      <c r="AN176" s="231">
        <v>14</v>
      </c>
      <c r="AO176" s="231">
        <v>52</v>
      </c>
      <c r="AP176" s="213">
        <v>193</v>
      </c>
      <c r="AQ176" s="207">
        <v>81</v>
      </c>
      <c r="AR176" s="207">
        <v>11</v>
      </c>
      <c r="AS176" s="207">
        <v>31</v>
      </c>
      <c r="AT176" s="207">
        <v>123</v>
      </c>
      <c r="AU176" s="208">
        <v>142</v>
      </c>
      <c r="AV176" s="208">
        <v>8</v>
      </c>
      <c r="AW176" s="208">
        <v>36</v>
      </c>
      <c r="AX176" s="208">
        <v>186</v>
      </c>
      <c r="AY176" s="231">
        <v>66</v>
      </c>
      <c r="AZ176" s="232">
        <v>17</v>
      </c>
      <c r="BA176" s="233">
        <v>47</v>
      </c>
      <c r="BB176" s="214">
        <v>130</v>
      </c>
    </row>
    <row r="177" spans="1:54" ht="15.75" x14ac:dyDescent="0.25">
      <c r="A177" s="215">
        <v>45102</v>
      </c>
      <c r="B177" s="223" t="s">
        <v>322</v>
      </c>
      <c r="C177" s="223">
        <v>1</v>
      </c>
      <c r="D177" s="223" t="s">
        <v>291</v>
      </c>
      <c r="E177" s="223">
        <v>163</v>
      </c>
      <c r="F177" s="223">
        <v>104</v>
      </c>
      <c r="G177" s="223">
        <v>80</v>
      </c>
      <c r="H177" s="202">
        <v>184</v>
      </c>
      <c r="I177" s="223">
        <v>146</v>
      </c>
      <c r="J177" s="223">
        <v>45</v>
      </c>
      <c r="K177" s="204">
        <v>191</v>
      </c>
      <c r="L177" s="217">
        <v>538</v>
      </c>
      <c r="M177" s="231">
        <v>191</v>
      </c>
      <c r="N177" s="231">
        <v>31</v>
      </c>
      <c r="O177" s="231">
        <v>37</v>
      </c>
      <c r="P177" s="206">
        <v>259</v>
      </c>
      <c r="Q177" s="207">
        <v>114</v>
      </c>
      <c r="R177" s="207">
        <v>23</v>
      </c>
      <c r="S177" s="207">
        <v>35</v>
      </c>
      <c r="T177" s="207">
        <v>172</v>
      </c>
      <c r="U177" s="208">
        <v>131</v>
      </c>
      <c r="V177" s="208">
        <v>14</v>
      </c>
      <c r="W177" s="208">
        <v>46</v>
      </c>
      <c r="X177" s="208">
        <v>191</v>
      </c>
      <c r="Y177" s="231">
        <v>174</v>
      </c>
      <c r="Z177" s="232">
        <v>40</v>
      </c>
      <c r="AA177" s="233">
        <v>26</v>
      </c>
      <c r="AB177" s="210">
        <v>240</v>
      </c>
      <c r="AC177" s="221">
        <v>45102</v>
      </c>
      <c r="AD177" s="223" t="s">
        <v>322</v>
      </c>
      <c r="AE177" s="223">
        <v>2</v>
      </c>
      <c r="AF177" s="223" t="s">
        <v>298</v>
      </c>
      <c r="AG177" s="223">
        <v>37</v>
      </c>
      <c r="AH177" s="223">
        <v>289</v>
      </c>
      <c r="AI177" s="223">
        <v>146</v>
      </c>
      <c r="AJ177" s="223">
        <v>57</v>
      </c>
      <c r="AK177" s="204">
        <v>203</v>
      </c>
      <c r="AL177" s="222">
        <v>529</v>
      </c>
      <c r="AM177" s="231">
        <v>135</v>
      </c>
      <c r="AN177" s="231">
        <v>16</v>
      </c>
      <c r="AO177" s="231">
        <v>30</v>
      </c>
      <c r="AP177" s="213">
        <v>181</v>
      </c>
      <c r="AQ177" s="207">
        <v>90</v>
      </c>
      <c r="AR177" s="207">
        <v>10</v>
      </c>
      <c r="AS177" s="207">
        <v>19</v>
      </c>
      <c r="AT177" s="207">
        <v>119</v>
      </c>
      <c r="AU177" s="208">
        <v>136</v>
      </c>
      <c r="AV177" s="208">
        <v>30</v>
      </c>
      <c r="AW177" s="208">
        <v>37</v>
      </c>
      <c r="AX177" s="208">
        <v>203</v>
      </c>
      <c r="AY177" s="231">
        <v>89</v>
      </c>
      <c r="AZ177" s="232">
        <v>-4</v>
      </c>
      <c r="BA177" s="233">
        <v>12</v>
      </c>
      <c r="BB177" s="214">
        <v>97</v>
      </c>
    </row>
    <row r="178" spans="1:54" ht="15.75" x14ac:dyDescent="0.25">
      <c r="A178" s="215">
        <v>45103</v>
      </c>
      <c r="B178" s="223" t="s">
        <v>323</v>
      </c>
      <c r="C178" s="223">
        <v>1</v>
      </c>
      <c r="D178" s="223" t="s">
        <v>291</v>
      </c>
      <c r="E178" s="223">
        <v>130</v>
      </c>
      <c r="F178" s="223">
        <v>69</v>
      </c>
      <c r="G178" s="223">
        <v>74</v>
      </c>
      <c r="H178" s="202">
        <v>143</v>
      </c>
      <c r="I178" s="223">
        <v>148</v>
      </c>
      <c r="J178" s="223">
        <v>74</v>
      </c>
      <c r="K178" s="204">
        <v>222</v>
      </c>
      <c r="L178" s="217">
        <v>495</v>
      </c>
      <c r="M178" s="231">
        <v>162</v>
      </c>
      <c r="N178" s="231">
        <v>17</v>
      </c>
      <c r="O178" s="231">
        <v>44</v>
      </c>
      <c r="P178" s="206">
        <v>223</v>
      </c>
      <c r="Q178" s="207">
        <v>113</v>
      </c>
      <c r="R178" s="207">
        <v>33</v>
      </c>
      <c r="S178" s="207">
        <v>25</v>
      </c>
      <c r="T178" s="207">
        <v>171</v>
      </c>
      <c r="U178" s="208">
        <v>141</v>
      </c>
      <c r="V178" s="208">
        <v>19</v>
      </c>
      <c r="W178" s="208">
        <v>62</v>
      </c>
      <c r="X178" s="208">
        <v>222</v>
      </c>
      <c r="Y178" s="231">
        <v>134</v>
      </c>
      <c r="Z178" s="232">
        <v>31</v>
      </c>
      <c r="AA178" s="233">
        <v>7</v>
      </c>
      <c r="AB178" s="210">
        <v>172</v>
      </c>
      <c r="AC178" s="221">
        <v>45103</v>
      </c>
      <c r="AD178" s="223" t="s">
        <v>323</v>
      </c>
      <c r="AE178" s="223">
        <v>2</v>
      </c>
      <c r="AF178" s="223" t="s">
        <v>298</v>
      </c>
      <c r="AG178" s="223">
        <v>44</v>
      </c>
      <c r="AH178" s="223">
        <v>231</v>
      </c>
      <c r="AI178" s="223">
        <v>169</v>
      </c>
      <c r="AJ178" s="223">
        <v>60</v>
      </c>
      <c r="AK178" s="204">
        <v>229</v>
      </c>
      <c r="AL178" s="222">
        <v>504</v>
      </c>
      <c r="AM178" s="231">
        <v>155</v>
      </c>
      <c r="AN178" s="231">
        <v>19</v>
      </c>
      <c r="AO178" s="231">
        <v>33</v>
      </c>
      <c r="AP178" s="213">
        <v>207</v>
      </c>
      <c r="AQ178" s="207">
        <v>72</v>
      </c>
      <c r="AR178" s="207">
        <v>10</v>
      </c>
      <c r="AS178" s="207">
        <v>22</v>
      </c>
      <c r="AT178" s="207">
        <v>104</v>
      </c>
      <c r="AU178" s="208">
        <v>156</v>
      </c>
      <c r="AV178" s="208">
        <v>29</v>
      </c>
      <c r="AW178" s="208">
        <v>44</v>
      </c>
      <c r="AX178" s="208">
        <v>229</v>
      </c>
      <c r="AY178" s="231">
        <v>71</v>
      </c>
      <c r="AZ178" s="232">
        <v>0</v>
      </c>
      <c r="BA178" s="233">
        <v>11</v>
      </c>
      <c r="BB178" s="214">
        <v>82</v>
      </c>
    </row>
    <row r="179" spans="1:54" ht="15.75" x14ac:dyDescent="0.25">
      <c r="A179" s="215">
        <v>45104</v>
      </c>
      <c r="B179" s="223" t="s">
        <v>324</v>
      </c>
      <c r="C179" s="223">
        <v>3</v>
      </c>
      <c r="D179" s="223" t="s">
        <v>291</v>
      </c>
      <c r="E179" s="223">
        <v>103</v>
      </c>
      <c r="F179" s="223">
        <v>81</v>
      </c>
      <c r="G179" s="223">
        <v>83</v>
      </c>
      <c r="H179" s="202">
        <v>164</v>
      </c>
      <c r="I179" s="223">
        <v>143</v>
      </c>
      <c r="J179" s="223">
        <v>70</v>
      </c>
      <c r="K179" s="204">
        <v>213</v>
      </c>
      <c r="L179" s="217">
        <v>480</v>
      </c>
      <c r="M179" s="231">
        <v>150</v>
      </c>
      <c r="N179" s="231">
        <v>23</v>
      </c>
      <c r="O179" s="231">
        <v>51</v>
      </c>
      <c r="P179" s="206">
        <v>224</v>
      </c>
      <c r="Q179" s="207">
        <v>95</v>
      </c>
      <c r="R179" s="207">
        <v>18</v>
      </c>
      <c r="S179" s="207">
        <v>47</v>
      </c>
      <c r="T179" s="207">
        <v>160</v>
      </c>
      <c r="U179" s="208">
        <v>123</v>
      </c>
      <c r="V179" s="208">
        <v>23</v>
      </c>
      <c r="W179" s="208">
        <v>67</v>
      </c>
      <c r="X179" s="208">
        <v>213</v>
      </c>
      <c r="Y179" s="231">
        <v>122</v>
      </c>
      <c r="Z179" s="232">
        <v>18</v>
      </c>
      <c r="AA179" s="233">
        <v>31</v>
      </c>
      <c r="AB179" s="210">
        <v>171</v>
      </c>
      <c r="AC179" s="221">
        <v>45104</v>
      </c>
      <c r="AD179" s="223" t="s">
        <v>324</v>
      </c>
      <c r="AE179" s="223">
        <v>4</v>
      </c>
      <c r="AF179" s="223" t="s">
        <v>298</v>
      </c>
      <c r="AG179" s="223">
        <v>37</v>
      </c>
      <c r="AH179" s="223">
        <v>249</v>
      </c>
      <c r="AI179" s="223">
        <v>144</v>
      </c>
      <c r="AJ179" s="223">
        <v>59</v>
      </c>
      <c r="AK179" s="204">
        <v>203</v>
      </c>
      <c r="AL179" s="222">
        <v>489</v>
      </c>
      <c r="AM179" s="231">
        <v>132</v>
      </c>
      <c r="AN179" s="231">
        <v>15</v>
      </c>
      <c r="AO179" s="231">
        <v>33</v>
      </c>
      <c r="AP179" s="213">
        <v>180</v>
      </c>
      <c r="AQ179" s="207">
        <v>57</v>
      </c>
      <c r="AR179" s="207">
        <v>8</v>
      </c>
      <c r="AS179" s="207">
        <v>23</v>
      </c>
      <c r="AT179" s="207">
        <v>88</v>
      </c>
      <c r="AU179" s="208">
        <v>140</v>
      </c>
      <c r="AV179" s="208">
        <v>18</v>
      </c>
      <c r="AW179" s="208">
        <v>45</v>
      </c>
      <c r="AX179" s="208">
        <v>203</v>
      </c>
      <c r="AY179" s="231">
        <v>49</v>
      </c>
      <c r="AZ179" s="232">
        <v>5</v>
      </c>
      <c r="BA179" s="233">
        <v>11</v>
      </c>
      <c r="BB179" s="214">
        <v>65</v>
      </c>
    </row>
    <row r="180" spans="1:54" ht="15.75" x14ac:dyDescent="0.25">
      <c r="A180" s="215">
        <v>45105</v>
      </c>
      <c r="B180" s="223" t="s">
        <v>325</v>
      </c>
      <c r="C180" s="223">
        <v>3</v>
      </c>
      <c r="D180" s="223" t="s">
        <v>291</v>
      </c>
      <c r="E180" s="223">
        <v>113</v>
      </c>
      <c r="F180" s="223">
        <v>90</v>
      </c>
      <c r="G180" s="223">
        <v>77</v>
      </c>
      <c r="H180" s="202">
        <v>167</v>
      </c>
      <c r="I180" s="223">
        <v>135</v>
      </c>
      <c r="J180" s="223">
        <v>84</v>
      </c>
      <c r="K180" s="204">
        <v>219</v>
      </c>
      <c r="L180" s="217">
        <v>499</v>
      </c>
      <c r="M180" s="231">
        <v>161</v>
      </c>
      <c r="N180" s="231">
        <v>22</v>
      </c>
      <c r="O180" s="231">
        <v>60</v>
      </c>
      <c r="P180" s="206">
        <v>243</v>
      </c>
      <c r="Q180" s="207">
        <v>120</v>
      </c>
      <c r="R180" s="207">
        <v>15</v>
      </c>
      <c r="S180" s="207">
        <v>55</v>
      </c>
      <c r="T180" s="207">
        <v>190</v>
      </c>
      <c r="U180" s="208">
        <v>114</v>
      </c>
      <c r="V180" s="208">
        <v>23</v>
      </c>
      <c r="W180" s="208">
        <v>82</v>
      </c>
      <c r="X180" s="208">
        <v>219</v>
      </c>
      <c r="Y180" s="231">
        <v>167</v>
      </c>
      <c r="Z180" s="232">
        <v>14</v>
      </c>
      <c r="AA180" s="233">
        <v>33</v>
      </c>
      <c r="AB180" s="210">
        <v>214</v>
      </c>
      <c r="AC180" s="221">
        <v>45105</v>
      </c>
      <c r="AD180" s="223" t="s">
        <v>325</v>
      </c>
      <c r="AE180" s="223">
        <v>4</v>
      </c>
      <c r="AF180" s="223" t="s">
        <v>298</v>
      </c>
      <c r="AG180" s="223">
        <v>38</v>
      </c>
      <c r="AH180" s="223">
        <v>270</v>
      </c>
      <c r="AI180" s="223">
        <v>168</v>
      </c>
      <c r="AJ180" s="223">
        <v>52</v>
      </c>
      <c r="AK180" s="204">
        <v>220</v>
      </c>
      <c r="AL180" s="222">
        <v>528</v>
      </c>
      <c r="AM180" s="231">
        <v>130</v>
      </c>
      <c r="AN180" s="231">
        <v>9</v>
      </c>
      <c r="AO180" s="231">
        <v>49</v>
      </c>
      <c r="AP180" s="213">
        <v>188</v>
      </c>
      <c r="AQ180" s="207">
        <v>69</v>
      </c>
      <c r="AR180" s="207">
        <v>5</v>
      </c>
      <c r="AS180" s="207">
        <v>16</v>
      </c>
      <c r="AT180" s="207">
        <v>90</v>
      </c>
      <c r="AU180" s="208">
        <v>154</v>
      </c>
      <c r="AV180" s="208">
        <v>12</v>
      </c>
      <c r="AW180" s="208">
        <v>54</v>
      </c>
      <c r="AX180" s="208">
        <v>220</v>
      </c>
      <c r="AY180" s="231">
        <v>45</v>
      </c>
      <c r="AZ180" s="232">
        <v>2</v>
      </c>
      <c r="BA180" s="233">
        <v>11</v>
      </c>
      <c r="BB180" s="214">
        <v>58</v>
      </c>
    </row>
    <row r="181" spans="1:54" ht="15.75" x14ac:dyDescent="0.25">
      <c r="A181" s="215">
        <v>45106</v>
      </c>
      <c r="B181" s="223" t="s">
        <v>326</v>
      </c>
      <c r="C181" s="223">
        <v>2</v>
      </c>
      <c r="D181" s="223" t="s">
        <v>291</v>
      </c>
      <c r="E181" s="223">
        <v>142</v>
      </c>
      <c r="F181" s="223">
        <v>137</v>
      </c>
      <c r="G181" s="223">
        <v>88</v>
      </c>
      <c r="H181" s="202">
        <v>225</v>
      </c>
      <c r="I181" s="223">
        <v>195</v>
      </c>
      <c r="J181" s="223">
        <v>50</v>
      </c>
      <c r="K181" s="204">
        <v>245</v>
      </c>
      <c r="L181" s="217">
        <v>612</v>
      </c>
      <c r="M181" s="231">
        <v>191</v>
      </c>
      <c r="N181" s="231">
        <v>22</v>
      </c>
      <c r="O181" s="231">
        <v>85</v>
      </c>
      <c r="P181" s="206">
        <v>298</v>
      </c>
      <c r="Q181" s="207">
        <v>137</v>
      </c>
      <c r="R181" s="207">
        <v>16</v>
      </c>
      <c r="S181" s="207">
        <v>55</v>
      </c>
      <c r="T181" s="207">
        <v>208</v>
      </c>
      <c r="U181" s="208">
        <v>148</v>
      </c>
      <c r="V181" s="208">
        <v>19</v>
      </c>
      <c r="W181" s="208">
        <v>78</v>
      </c>
      <c r="X181" s="208">
        <v>245</v>
      </c>
      <c r="Y181" s="231">
        <v>180</v>
      </c>
      <c r="Z181" s="236">
        <v>19</v>
      </c>
      <c r="AA181" s="237">
        <v>62</v>
      </c>
      <c r="AB181" s="238">
        <v>261</v>
      </c>
      <c r="AC181" s="221">
        <v>45106</v>
      </c>
      <c r="AD181" s="223" t="s">
        <v>326</v>
      </c>
      <c r="AE181" s="223">
        <v>1</v>
      </c>
      <c r="AF181" s="223" t="s">
        <v>298</v>
      </c>
      <c r="AG181" s="223">
        <v>48</v>
      </c>
      <c r="AH181" s="223">
        <v>320</v>
      </c>
      <c r="AI181" s="223">
        <v>166</v>
      </c>
      <c r="AJ181" s="223">
        <v>42</v>
      </c>
      <c r="AK181" s="204">
        <v>208</v>
      </c>
      <c r="AL181" s="222">
        <v>576</v>
      </c>
      <c r="AM181" s="231">
        <v>143</v>
      </c>
      <c r="AN181" s="231">
        <v>6</v>
      </c>
      <c r="AO181" s="231">
        <v>61</v>
      </c>
      <c r="AP181" s="213">
        <v>210</v>
      </c>
      <c r="AQ181" s="207">
        <v>69</v>
      </c>
      <c r="AR181" s="207">
        <v>5</v>
      </c>
      <c r="AS181" s="207">
        <v>24</v>
      </c>
      <c r="AT181" s="207">
        <v>98</v>
      </c>
      <c r="AU181" s="208">
        <v>128</v>
      </c>
      <c r="AV181" s="208">
        <v>4</v>
      </c>
      <c r="AW181" s="208">
        <v>76</v>
      </c>
      <c r="AX181" s="208">
        <v>208</v>
      </c>
      <c r="AY181" s="231">
        <v>84</v>
      </c>
      <c r="AZ181" s="232">
        <v>7</v>
      </c>
      <c r="BA181" s="233">
        <v>9</v>
      </c>
      <c r="BB181" s="214">
        <v>100</v>
      </c>
    </row>
    <row r="182" spans="1:54" ht="15.75" x14ac:dyDescent="0.25">
      <c r="A182" s="215">
        <v>45107</v>
      </c>
      <c r="B182" s="223" t="s">
        <v>327</v>
      </c>
      <c r="C182" s="223">
        <v>2</v>
      </c>
      <c r="D182" s="223" t="s">
        <v>291</v>
      </c>
      <c r="E182" s="223">
        <v>106</v>
      </c>
      <c r="F182" s="223">
        <v>74</v>
      </c>
      <c r="G182" s="223">
        <v>74</v>
      </c>
      <c r="H182" s="202">
        <v>148</v>
      </c>
      <c r="I182" s="223">
        <v>156</v>
      </c>
      <c r="J182" s="223">
        <v>81</v>
      </c>
      <c r="K182" s="204">
        <v>237</v>
      </c>
      <c r="L182" s="217">
        <v>491</v>
      </c>
      <c r="M182" s="231">
        <v>166</v>
      </c>
      <c r="N182" s="231">
        <v>17</v>
      </c>
      <c r="O182" s="231">
        <v>60</v>
      </c>
      <c r="P182" s="206">
        <v>243</v>
      </c>
      <c r="Q182" s="207">
        <v>115</v>
      </c>
      <c r="R182" s="207">
        <v>15</v>
      </c>
      <c r="S182" s="207">
        <v>60</v>
      </c>
      <c r="T182" s="207">
        <v>190</v>
      </c>
      <c r="U182" s="208">
        <v>144</v>
      </c>
      <c r="V182" s="208">
        <v>16</v>
      </c>
      <c r="W182" s="208">
        <v>77</v>
      </c>
      <c r="X182" s="208">
        <v>237</v>
      </c>
      <c r="Y182" s="232">
        <v>137</v>
      </c>
      <c r="Z182" s="233">
        <v>16</v>
      </c>
      <c r="AA182" s="233">
        <v>43</v>
      </c>
      <c r="AB182" s="210">
        <v>196</v>
      </c>
      <c r="AC182" s="221">
        <v>45107</v>
      </c>
      <c r="AD182" s="223" t="s">
        <v>327</v>
      </c>
      <c r="AE182" s="223">
        <v>1</v>
      </c>
      <c r="AF182" s="223" t="s">
        <v>298</v>
      </c>
      <c r="AG182" s="223">
        <v>43</v>
      </c>
      <c r="AH182" s="223">
        <v>247</v>
      </c>
      <c r="AI182" s="223">
        <v>148</v>
      </c>
      <c r="AJ182" s="223">
        <v>44</v>
      </c>
      <c r="AK182" s="204">
        <v>192</v>
      </c>
      <c r="AL182" s="222">
        <v>482</v>
      </c>
      <c r="AM182" s="231">
        <v>125</v>
      </c>
      <c r="AN182" s="231">
        <v>20</v>
      </c>
      <c r="AO182" s="231">
        <v>39</v>
      </c>
      <c r="AP182" s="213">
        <v>184</v>
      </c>
      <c r="AQ182" s="207">
        <v>83</v>
      </c>
      <c r="AR182" s="207">
        <v>7</v>
      </c>
      <c r="AS182" s="207">
        <v>18</v>
      </c>
      <c r="AT182" s="207">
        <v>108</v>
      </c>
      <c r="AU182" s="208">
        <v>131</v>
      </c>
      <c r="AV182" s="208">
        <v>16</v>
      </c>
      <c r="AW182" s="208">
        <v>45</v>
      </c>
      <c r="AX182" s="208">
        <v>192</v>
      </c>
      <c r="AY182" s="231">
        <v>77</v>
      </c>
      <c r="AZ182" s="232">
        <v>11</v>
      </c>
      <c r="BA182" s="233">
        <v>12</v>
      </c>
      <c r="BB182" s="214">
        <v>100</v>
      </c>
    </row>
  </sheetData>
  <sheetProtection algorithmName="SHA-512" hashValue="/AD9J6QqHc4JDPoPiNajV7WP5gayJQzkDlanIH85yfZOguFyxFXtePlsYvFU360/s6d/u9feqW2kRfGajpZfpQ==" saltValue="3dPOHf4Hp0qvDiWJNoBqIw==" spinCount="100000" sheet="1" objects="1" scenarios="1" selectLockedCells="1" selectUnlockedCells="1"/>
  <pageMargins left="0.7" right="0.7" top="0.75" bottom="0.75" header="0.3" footer="0.3"/>
  <pageSetup paperSize="9" orientation="portrait" r:id="rId1"/>
  <headerFooter>
    <oddFooter>&amp;L&amp;1#&amp;"Calibri"&amp;6&amp;K737373BUSINESS DOCUMENT  This document is intended for business use and should be distributed to intended recipients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3"/>
  <sheetViews>
    <sheetView workbookViewId="0">
      <selection activeCell="G13" sqref="G13"/>
    </sheetView>
  </sheetViews>
  <sheetFormatPr defaultRowHeight="12.75" x14ac:dyDescent="0.2"/>
  <cols>
    <col min="1" max="1" width="13" style="93" customWidth="1"/>
    <col min="2" max="2" width="6.7109375" style="93" bestFit="1" customWidth="1"/>
    <col min="3" max="3" width="10" style="93" customWidth="1"/>
    <col min="4" max="4" width="13.5703125" style="93" customWidth="1"/>
    <col min="5" max="5" width="9" style="93" bestFit="1" customWidth="1"/>
    <col min="6" max="6" width="5.7109375" style="93" bestFit="1" customWidth="1"/>
    <col min="7" max="7" width="8.85546875" style="93" bestFit="1" customWidth="1"/>
    <col min="8" max="8" width="10.28515625" style="93" customWidth="1"/>
    <col min="9" max="9" width="10.42578125" style="93" customWidth="1"/>
    <col min="10" max="10" width="12.140625" style="93" bestFit="1" customWidth="1"/>
    <col min="11" max="12" width="8.7109375" style="93" bestFit="1" customWidth="1"/>
    <col min="13" max="13" width="9" style="93" bestFit="1" customWidth="1"/>
    <col min="14" max="14" width="5.7109375" style="93" bestFit="1" customWidth="1"/>
    <col min="15" max="15" width="8.85546875" style="93" customWidth="1"/>
    <col min="16" max="16" width="10.7109375" style="93" customWidth="1"/>
    <col min="17" max="17" width="9.85546875" style="93" customWidth="1"/>
    <col min="18" max="18" width="21.7109375" style="93" customWidth="1"/>
    <col min="19" max="19" width="9.140625" style="93"/>
    <col min="20" max="20" width="10.28515625" style="93" bestFit="1" customWidth="1"/>
    <col min="21" max="21" width="17" style="93" bestFit="1" customWidth="1"/>
    <col min="22" max="16384" width="9.140625" style="93"/>
  </cols>
  <sheetData>
    <row r="1" spans="1:21" ht="17.25" x14ac:dyDescent="0.25">
      <c r="A1" s="614" t="s">
        <v>193</v>
      </c>
      <c r="B1" s="621" t="s">
        <v>192</v>
      </c>
      <c r="C1" s="618" t="s">
        <v>193</v>
      </c>
      <c r="D1" s="618"/>
      <c r="E1" s="618"/>
      <c r="F1" s="618"/>
      <c r="G1" s="618"/>
      <c r="H1" s="618"/>
      <c r="I1" s="618"/>
      <c r="J1" s="618"/>
      <c r="K1" s="619" t="s">
        <v>328</v>
      </c>
      <c r="L1" s="619"/>
      <c r="M1" s="619"/>
      <c r="N1" s="619"/>
      <c r="O1" s="619"/>
      <c r="P1" s="619"/>
      <c r="Q1" s="619"/>
      <c r="R1" s="620"/>
      <c r="T1" s="617" t="s">
        <v>329</v>
      </c>
      <c r="U1" s="617"/>
    </row>
    <row r="2" spans="1:21" ht="47.25" x14ac:dyDescent="0.2">
      <c r="A2" s="615"/>
      <c r="B2" s="622"/>
      <c r="C2" s="153" t="s">
        <v>261</v>
      </c>
      <c r="D2" s="153" t="s">
        <v>330</v>
      </c>
      <c r="E2" s="153" t="s">
        <v>264</v>
      </c>
      <c r="F2" s="153" t="s">
        <v>19</v>
      </c>
      <c r="G2" s="153" t="s">
        <v>124</v>
      </c>
      <c r="H2" s="153" t="s">
        <v>331</v>
      </c>
      <c r="I2" s="153" t="s">
        <v>332</v>
      </c>
      <c r="J2" s="153" t="s">
        <v>333</v>
      </c>
      <c r="K2" s="153" t="s">
        <v>330</v>
      </c>
      <c r="L2" s="153" t="s">
        <v>150</v>
      </c>
      <c r="M2" s="153" t="s">
        <v>264</v>
      </c>
      <c r="N2" s="153" t="s">
        <v>19</v>
      </c>
      <c r="O2" s="153" t="s">
        <v>124</v>
      </c>
      <c r="P2" s="153" t="s">
        <v>334</v>
      </c>
      <c r="Q2" s="153" t="s">
        <v>332</v>
      </c>
      <c r="R2" s="158" t="s">
        <v>335</v>
      </c>
      <c r="T2" s="616" t="s">
        <v>125</v>
      </c>
      <c r="U2" s="616"/>
    </row>
    <row r="3" spans="1:21" ht="15" x14ac:dyDescent="0.2">
      <c r="A3" s="159" t="s">
        <v>319</v>
      </c>
      <c r="B3" s="155">
        <v>45078</v>
      </c>
      <c r="C3" s="154">
        <v>159</v>
      </c>
      <c r="D3" s="154">
        <v>203</v>
      </c>
      <c r="E3" s="154">
        <v>200</v>
      </c>
      <c r="F3" s="154">
        <f t="shared" ref="F3:F17" si="0">SUM(C3:E3)</f>
        <v>562</v>
      </c>
      <c r="G3" s="154">
        <v>191</v>
      </c>
      <c r="H3" s="154">
        <v>1.68</v>
      </c>
      <c r="I3" s="156">
        <f>H3*12</f>
        <v>20.16</v>
      </c>
      <c r="J3" s="156">
        <f t="shared" ref="J3:J17" si="1">F3/I3</f>
        <v>27.876984126984127</v>
      </c>
      <c r="K3" s="154">
        <v>33</v>
      </c>
      <c r="L3" s="154">
        <v>378</v>
      </c>
      <c r="M3" s="154">
        <v>200</v>
      </c>
      <c r="N3" s="154">
        <f t="shared" ref="N3:N17" si="2">SUM(K3:M3)</f>
        <v>611</v>
      </c>
      <c r="O3" s="154">
        <v>195</v>
      </c>
      <c r="P3" s="157">
        <v>1.45</v>
      </c>
      <c r="Q3" s="156">
        <f>P3*12</f>
        <v>17.399999999999999</v>
      </c>
      <c r="R3" s="160">
        <f>N3/Q3</f>
        <v>35.114942528735632</v>
      </c>
      <c r="T3" s="247" t="s">
        <v>228</v>
      </c>
      <c r="U3" s="248" t="s">
        <v>336</v>
      </c>
    </row>
    <row r="4" spans="1:21" ht="15" x14ac:dyDescent="0.2">
      <c r="A4" s="159" t="s">
        <v>285</v>
      </c>
      <c r="B4" s="155">
        <v>45079</v>
      </c>
      <c r="C4" s="154">
        <v>161</v>
      </c>
      <c r="D4" s="154">
        <v>180</v>
      </c>
      <c r="E4" s="154">
        <v>200</v>
      </c>
      <c r="F4" s="154">
        <f t="shared" si="0"/>
        <v>541</v>
      </c>
      <c r="G4" s="154">
        <v>228</v>
      </c>
      <c r="H4" s="154">
        <v>1.68</v>
      </c>
      <c r="I4" s="156">
        <f t="shared" ref="I4:I17" si="3">H4*12</f>
        <v>20.16</v>
      </c>
      <c r="J4" s="156">
        <f t="shared" si="1"/>
        <v>26.835317460317459</v>
      </c>
      <c r="K4" s="154">
        <v>45</v>
      </c>
      <c r="L4" s="154">
        <v>321</v>
      </c>
      <c r="M4" s="154">
        <v>200</v>
      </c>
      <c r="N4" s="154">
        <f t="shared" si="2"/>
        <v>566</v>
      </c>
      <c r="O4" s="154">
        <v>184</v>
      </c>
      <c r="P4" s="157">
        <v>1.45</v>
      </c>
      <c r="Q4" s="156">
        <f t="shared" ref="Q4:Q17" si="4">P4*12</f>
        <v>17.399999999999999</v>
      </c>
      <c r="R4" s="160">
        <f t="shared" ref="R4:R17" si="5">N4/Q4</f>
        <v>32.52873563218391</v>
      </c>
      <c r="T4" s="247" t="s">
        <v>280</v>
      </c>
      <c r="U4" s="249"/>
    </row>
    <row r="5" spans="1:21" ht="15" x14ac:dyDescent="0.2">
      <c r="A5" s="159" t="s">
        <v>320</v>
      </c>
      <c r="B5" s="155">
        <v>45080</v>
      </c>
      <c r="C5" s="154">
        <v>157</v>
      </c>
      <c r="D5" s="154">
        <v>199</v>
      </c>
      <c r="E5" s="154">
        <v>200</v>
      </c>
      <c r="F5" s="154">
        <f t="shared" si="0"/>
        <v>556</v>
      </c>
      <c r="G5" s="154">
        <v>199</v>
      </c>
      <c r="H5" s="154">
        <v>1.68</v>
      </c>
      <c r="I5" s="156">
        <f t="shared" si="3"/>
        <v>20.16</v>
      </c>
      <c r="J5" s="156">
        <f t="shared" si="1"/>
        <v>27.579365079365079</v>
      </c>
      <c r="K5" s="154">
        <v>46</v>
      </c>
      <c r="L5" s="154">
        <v>368</v>
      </c>
      <c r="M5" s="154">
        <v>200</v>
      </c>
      <c r="N5" s="154">
        <f t="shared" si="2"/>
        <v>614</v>
      </c>
      <c r="O5" s="154">
        <v>206</v>
      </c>
      <c r="P5" s="157">
        <v>1.45</v>
      </c>
      <c r="Q5" s="156">
        <f t="shared" si="4"/>
        <v>17.399999999999999</v>
      </c>
      <c r="R5" s="160">
        <f t="shared" si="5"/>
        <v>35.287356321839084</v>
      </c>
      <c r="T5" s="247" t="s">
        <v>19</v>
      </c>
      <c r="U5" s="248" t="s">
        <v>337</v>
      </c>
    </row>
    <row r="6" spans="1:21" ht="17.25" x14ac:dyDescent="0.2">
      <c r="A6" s="159" t="s">
        <v>293</v>
      </c>
      <c r="B6" s="155">
        <v>45081</v>
      </c>
      <c r="C6" s="154">
        <v>209</v>
      </c>
      <c r="D6" s="154">
        <v>230</v>
      </c>
      <c r="E6" s="154">
        <v>200</v>
      </c>
      <c r="F6" s="154">
        <f t="shared" si="0"/>
        <v>639</v>
      </c>
      <c r="G6" s="154">
        <v>216</v>
      </c>
      <c r="H6" s="154">
        <v>1.68</v>
      </c>
      <c r="I6" s="156">
        <f t="shared" si="3"/>
        <v>20.16</v>
      </c>
      <c r="J6" s="156">
        <f t="shared" si="1"/>
        <v>31.696428571428573</v>
      </c>
      <c r="K6" s="154">
        <v>63</v>
      </c>
      <c r="L6" s="154">
        <v>420</v>
      </c>
      <c r="M6" s="154">
        <v>200</v>
      </c>
      <c r="N6" s="154">
        <f t="shared" si="2"/>
        <v>683</v>
      </c>
      <c r="O6" s="154">
        <v>165</v>
      </c>
      <c r="P6" s="157">
        <v>1.45</v>
      </c>
      <c r="Q6" s="156">
        <f t="shared" si="4"/>
        <v>17.399999999999999</v>
      </c>
      <c r="R6" s="160">
        <f t="shared" si="5"/>
        <v>39.252873563218394</v>
      </c>
      <c r="T6" s="617" t="s">
        <v>338</v>
      </c>
      <c r="U6" s="617"/>
    </row>
    <row r="7" spans="1:21" ht="15" x14ac:dyDescent="0.2">
      <c r="A7" s="159" t="s">
        <v>316</v>
      </c>
      <c r="B7" s="155">
        <v>45082</v>
      </c>
      <c r="C7" s="154">
        <v>175</v>
      </c>
      <c r="D7" s="154">
        <v>194</v>
      </c>
      <c r="E7" s="154">
        <v>200</v>
      </c>
      <c r="F7" s="154">
        <f t="shared" si="0"/>
        <v>569</v>
      </c>
      <c r="G7" s="154">
        <v>234</v>
      </c>
      <c r="H7" s="154">
        <v>1.68</v>
      </c>
      <c r="I7" s="156">
        <f t="shared" si="3"/>
        <v>20.16</v>
      </c>
      <c r="J7" s="156">
        <f t="shared" si="1"/>
        <v>28.224206349206348</v>
      </c>
      <c r="K7" s="154">
        <v>32</v>
      </c>
      <c r="L7" s="154">
        <v>298</v>
      </c>
      <c r="M7" s="154">
        <v>200</v>
      </c>
      <c r="N7" s="154">
        <f t="shared" si="2"/>
        <v>530</v>
      </c>
      <c r="O7" s="154">
        <v>205</v>
      </c>
      <c r="P7" s="157">
        <v>1.45</v>
      </c>
      <c r="Q7" s="156">
        <f t="shared" si="4"/>
        <v>17.399999999999999</v>
      </c>
      <c r="R7" s="160">
        <f t="shared" si="5"/>
        <v>30.459770114942533</v>
      </c>
      <c r="T7" s="616" t="s">
        <v>125</v>
      </c>
      <c r="U7" s="616"/>
    </row>
    <row r="8" spans="1:21" ht="15" x14ac:dyDescent="0.2">
      <c r="A8" s="159" t="s">
        <v>317</v>
      </c>
      <c r="B8" s="155">
        <v>45083</v>
      </c>
      <c r="C8" s="154">
        <v>178</v>
      </c>
      <c r="D8" s="154">
        <v>191</v>
      </c>
      <c r="E8" s="154">
        <v>200</v>
      </c>
      <c r="F8" s="154">
        <f t="shared" si="0"/>
        <v>569</v>
      </c>
      <c r="G8" s="154">
        <v>217</v>
      </c>
      <c r="H8" s="154">
        <v>1.68</v>
      </c>
      <c r="I8" s="156">
        <f t="shared" si="3"/>
        <v>20.16</v>
      </c>
      <c r="J8" s="156">
        <f t="shared" si="1"/>
        <v>28.224206349206348</v>
      </c>
      <c r="K8" s="154">
        <v>27</v>
      </c>
      <c r="L8" s="154">
        <v>274</v>
      </c>
      <c r="M8" s="154">
        <v>200</v>
      </c>
      <c r="N8" s="154">
        <f t="shared" si="2"/>
        <v>501</v>
      </c>
      <c r="O8" s="154">
        <v>186</v>
      </c>
      <c r="P8" s="157">
        <v>1.45</v>
      </c>
      <c r="Q8" s="156">
        <f t="shared" si="4"/>
        <v>17.399999999999999</v>
      </c>
      <c r="R8" s="160">
        <f t="shared" si="5"/>
        <v>28.793103448275865</v>
      </c>
      <c r="T8" s="247" t="s">
        <v>228</v>
      </c>
      <c r="U8" s="248" t="s">
        <v>339</v>
      </c>
    </row>
    <row r="9" spans="1:21" ht="15" x14ac:dyDescent="0.2">
      <c r="A9" s="159" t="s">
        <v>318</v>
      </c>
      <c r="B9" s="155">
        <v>45084</v>
      </c>
      <c r="C9" s="154">
        <v>157</v>
      </c>
      <c r="D9" s="154">
        <v>196</v>
      </c>
      <c r="E9" s="154">
        <v>200</v>
      </c>
      <c r="F9" s="154">
        <f t="shared" si="0"/>
        <v>553</v>
      </c>
      <c r="G9" s="154">
        <v>248</v>
      </c>
      <c r="H9" s="154">
        <v>1.68</v>
      </c>
      <c r="I9" s="156">
        <f t="shared" si="3"/>
        <v>20.16</v>
      </c>
      <c r="J9" s="156">
        <f t="shared" si="1"/>
        <v>27.430555555555557</v>
      </c>
      <c r="K9" s="154">
        <v>56</v>
      </c>
      <c r="L9" s="154">
        <v>255</v>
      </c>
      <c r="M9" s="154">
        <v>200</v>
      </c>
      <c r="N9" s="154">
        <f t="shared" si="2"/>
        <v>511</v>
      </c>
      <c r="O9" s="154">
        <v>213</v>
      </c>
      <c r="P9" s="157">
        <v>1.45</v>
      </c>
      <c r="Q9" s="156">
        <f t="shared" si="4"/>
        <v>17.399999999999999</v>
      </c>
      <c r="R9" s="160">
        <f t="shared" si="5"/>
        <v>29.367816091954026</v>
      </c>
      <c r="T9" s="247" t="s">
        <v>280</v>
      </c>
      <c r="U9" s="249"/>
    </row>
    <row r="10" spans="1:21" ht="15" x14ac:dyDescent="0.2">
      <c r="A10" s="159" t="s">
        <v>319</v>
      </c>
      <c r="B10" s="155">
        <v>45085</v>
      </c>
      <c r="C10" s="154">
        <v>174</v>
      </c>
      <c r="D10" s="154">
        <v>212</v>
      </c>
      <c r="E10" s="154">
        <v>200</v>
      </c>
      <c r="F10" s="154">
        <f t="shared" si="0"/>
        <v>586</v>
      </c>
      <c r="G10" s="154">
        <v>228</v>
      </c>
      <c r="H10" s="154">
        <v>1.68</v>
      </c>
      <c r="I10" s="156">
        <f t="shared" si="3"/>
        <v>20.16</v>
      </c>
      <c r="J10" s="156">
        <f t="shared" si="1"/>
        <v>29.067460317460316</v>
      </c>
      <c r="K10" s="154">
        <v>48</v>
      </c>
      <c r="L10" s="154">
        <v>279</v>
      </c>
      <c r="M10" s="154">
        <v>200</v>
      </c>
      <c r="N10" s="154">
        <f t="shared" si="2"/>
        <v>527</v>
      </c>
      <c r="O10" s="154">
        <v>186</v>
      </c>
      <c r="P10" s="157">
        <v>1.45</v>
      </c>
      <c r="Q10" s="156">
        <f t="shared" si="4"/>
        <v>17.399999999999999</v>
      </c>
      <c r="R10" s="160">
        <f t="shared" si="5"/>
        <v>30.287356321839084</v>
      </c>
      <c r="T10" s="247" t="s">
        <v>19</v>
      </c>
      <c r="U10" s="248" t="s">
        <v>340</v>
      </c>
    </row>
    <row r="11" spans="1:21" ht="15" x14ac:dyDescent="0.2">
      <c r="A11" s="159" t="s">
        <v>285</v>
      </c>
      <c r="B11" s="155">
        <v>45086</v>
      </c>
      <c r="C11" s="154">
        <v>143</v>
      </c>
      <c r="D11" s="154">
        <v>195</v>
      </c>
      <c r="E11" s="154">
        <v>200</v>
      </c>
      <c r="F11" s="154">
        <f t="shared" si="0"/>
        <v>538</v>
      </c>
      <c r="G11" s="154">
        <v>202</v>
      </c>
      <c r="H11" s="154">
        <v>1.68</v>
      </c>
      <c r="I11" s="156">
        <f t="shared" si="3"/>
        <v>20.16</v>
      </c>
      <c r="J11" s="156">
        <f t="shared" si="1"/>
        <v>26.686507936507937</v>
      </c>
      <c r="K11" s="154">
        <v>34</v>
      </c>
      <c r="L11" s="154">
        <v>315</v>
      </c>
      <c r="M11" s="154">
        <v>200</v>
      </c>
      <c r="N11" s="154">
        <f t="shared" si="2"/>
        <v>549</v>
      </c>
      <c r="O11" s="154">
        <v>204</v>
      </c>
      <c r="P11" s="157">
        <v>1.45</v>
      </c>
      <c r="Q11" s="156">
        <f t="shared" si="4"/>
        <v>17.399999999999999</v>
      </c>
      <c r="R11" s="160">
        <f t="shared" si="5"/>
        <v>31.551724137931036</v>
      </c>
    </row>
    <row r="12" spans="1:21" ht="15" x14ac:dyDescent="0.2">
      <c r="A12" s="159" t="s">
        <v>320</v>
      </c>
      <c r="B12" s="155">
        <v>45087</v>
      </c>
      <c r="C12" s="154">
        <v>130</v>
      </c>
      <c r="D12" s="154">
        <v>172</v>
      </c>
      <c r="E12" s="154">
        <v>200</v>
      </c>
      <c r="F12" s="154">
        <f t="shared" si="0"/>
        <v>502</v>
      </c>
      <c r="G12" s="154">
        <v>228</v>
      </c>
      <c r="H12" s="154">
        <v>1.68</v>
      </c>
      <c r="I12" s="156">
        <f t="shared" si="3"/>
        <v>20.16</v>
      </c>
      <c r="J12" s="156">
        <f t="shared" si="1"/>
        <v>24.900793650793652</v>
      </c>
      <c r="K12" s="154">
        <v>31</v>
      </c>
      <c r="L12" s="154">
        <v>320</v>
      </c>
      <c r="M12" s="154">
        <v>200</v>
      </c>
      <c r="N12" s="154">
        <f t="shared" si="2"/>
        <v>551</v>
      </c>
      <c r="O12" s="154">
        <v>210</v>
      </c>
      <c r="P12" s="157">
        <v>1.45</v>
      </c>
      <c r="Q12" s="156">
        <f t="shared" si="4"/>
        <v>17.399999999999999</v>
      </c>
      <c r="R12" s="160">
        <f t="shared" si="5"/>
        <v>31.666666666666668</v>
      </c>
    </row>
    <row r="13" spans="1:21" ht="15" x14ac:dyDescent="0.2">
      <c r="A13" s="159" t="s">
        <v>293</v>
      </c>
      <c r="B13" s="155">
        <v>45088</v>
      </c>
      <c r="C13" s="154">
        <v>121</v>
      </c>
      <c r="D13" s="154">
        <v>186</v>
      </c>
      <c r="E13" s="154">
        <v>200</v>
      </c>
      <c r="F13" s="154">
        <f t="shared" si="0"/>
        <v>507</v>
      </c>
      <c r="G13" s="154">
        <v>190</v>
      </c>
      <c r="H13" s="154">
        <v>1.68</v>
      </c>
      <c r="I13" s="156">
        <f t="shared" si="3"/>
        <v>20.16</v>
      </c>
      <c r="J13" s="156">
        <f t="shared" si="1"/>
        <v>25.148809523809522</v>
      </c>
      <c r="K13" s="154">
        <v>40</v>
      </c>
      <c r="L13" s="154">
        <v>370</v>
      </c>
      <c r="M13" s="154">
        <v>200</v>
      </c>
      <c r="N13" s="154">
        <f t="shared" si="2"/>
        <v>610</v>
      </c>
      <c r="O13" s="154">
        <v>215</v>
      </c>
      <c r="P13" s="157">
        <v>1.45</v>
      </c>
      <c r="Q13" s="156">
        <f t="shared" si="4"/>
        <v>17.399999999999999</v>
      </c>
      <c r="R13" s="160">
        <f t="shared" si="5"/>
        <v>35.05747126436782</v>
      </c>
    </row>
    <row r="14" spans="1:21" ht="15" x14ac:dyDescent="0.2">
      <c r="A14" s="159" t="s">
        <v>316</v>
      </c>
      <c r="B14" s="155">
        <v>45089</v>
      </c>
      <c r="C14" s="154">
        <v>157</v>
      </c>
      <c r="D14" s="154">
        <v>183</v>
      </c>
      <c r="E14" s="154">
        <v>200</v>
      </c>
      <c r="F14" s="154">
        <f t="shared" si="0"/>
        <v>540</v>
      </c>
      <c r="G14" s="154">
        <v>214</v>
      </c>
      <c r="H14" s="154">
        <v>1.68</v>
      </c>
      <c r="I14" s="156">
        <f t="shared" si="3"/>
        <v>20.16</v>
      </c>
      <c r="J14" s="156">
        <f t="shared" si="1"/>
        <v>26.785714285714285</v>
      </c>
      <c r="K14" s="154">
        <v>51</v>
      </c>
      <c r="L14" s="154">
        <v>278</v>
      </c>
      <c r="M14" s="154">
        <v>200</v>
      </c>
      <c r="N14" s="154">
        <f t="shared" si="2"/>
        <v>529</v>
      </c>
      <c r="O14" s="154">
        <v>209</v>
      </c>
      <c r="P14" s="157">
        <v>1.45</v>
      </c>
      <c r="Q14" s="156">
        <f t="shared" si="4"/>
        <v>17.399999999999999</v>
      </c>
      <c r="R14" s="160">
        <f t="shared" si="5"/>
        <v>30.402298850574716</v>
      </c>
    </row>
    <row r="15" spans="1:21" ht="15" x14ac:dyDescent="0.2">
      <c r="A15" s="159" t="s">
        <v>317</v>
      </c>
      <c r="B15" s="155">
        <v>45090</v>
      </c>
      <c r="C15" s="154">
        <v>118</v>
      </c>
      <c r="D15" s="154">
        <v>180</v>
      </c>
      <c r="E15" s="154">
        <v>200</v>
      </c>
      <c r="F15" s="154">
        <f t="shared" si="0"/>
        <v>498</v>
      </c>
      <c r="G15" s="154">
        <v>202</v>
      </c>
      <c r="H15" s="154">
        <v>1.68</v>
      </c>
      <c r="I15" s="156">
        <f t="shared" si="3"/>
        <v>20.16</v>
      </c>
      <c r="J15" s="156">
        <f t="shared" si="1"/>
        <v>24.702380952380953</v>
      </c>
      <c r="K15" s="154">
        <v>40</v>
      </c>
      <c r="L15" s="154">
        <v>223</v>
      </c>
      <c r="M15" s="154">
        <v>200</v>
      </c>
      <c r="N15" s="154">
        <f t="shared" si="2"/>
        <v>463</v>
      </c>
      <c r="O15" s="154">
        <v>154</v>
      </c>
      <c r="P15" s="157">
        <v>1.45</v>
      </c>
      <c r="Q15" s="156">
        <f t="shared" si="4"/>
        <v>17.399999999999999</v>
      </c>
      <c r="R15" s="160">
        <f t="shared" si="5"/>
        <v>26.609195402298852</v>
      </c>
    </row>
    <row r="16" spans="1:21" ht="15" x14ac:dyDescent="0.2">
      <c r="A16" s="159" t="s">
        <v>318</v>
      </c>
      <c r="B16" s="155">
        <v>45091</v>
      </c>
      <c r="C16" s="154">
        <v>137</v>
      </c>
      <c r="D16" s="154">
        <v>151</v>
      </c>
      <c r="E16" s="154">
        <v>200</v>
      </c>
      <c r="F16" s="154">
        <f t="shared" si="0"/>
        <v>488</v>
      </c>
      <c r="G16" s="154">
        <v>218</v>
      </c>
      <c r="H16" s="154">
        <v>1.68</v>
      </c>
      <c r="I16" s="156">
        <f t="shared" si="3"/>
        <v>20.16</v>
      </c>
      <c r="J16" s="156">
        <f t="shared" si="1"/>
        <v>24.206349206349206</v>
      </c>
      <c r="K16" s="154">
        <v>44</v>
      </c>
      <c r="L16" s="154">
        <v>276</v>
      </c>
      <c r="M16" s="154">
        <v>200</v>
      </c>
      <c r="N16" s="154">
        <f t="shared" si="2"/>
        <v>520</v>
      </c>
      <c r="O16" s="154">
        <v>171</v>
      </c>
      <c r="P16" s="157">
        <v>1.45</v>
      </c>
      <c r="Q16" s="156">
        <f t="shared" si="4"/>
        <v>17.399999999999999</v>
      </c>
      <c r="R16" s="160">
        <f t="shared" si="5"/>
        <v>29.885057471264371</v>
      </c>
    </row>
    <row r="17" spans="1:18" ht="15.75" thickBot="1" x14ac:dyDescent="0.25">
      <c r="A17" s="161" t="s">
        <v>319</v>
      </c>
      <c r="B17" s="162">
        <v>45092</v>
      </c>
      <c r="C17" s="163">
        <v>202</v>
      </c>
      <c r="D17" s="163">
        <v>184</v>
      </c>
      <c r="E17" s="163">
        <v>200</v>
      </c>
      <c r="F17" s="163">
        <f t="shared" si="0"/>
        <v>586</v>
      </c>
      <c r="G17" s="163">
        <v>190</v>
      </c>
      <c r="H17" s="163">
        <v>1.68</v>
      </c>
      <c r="I17" s="164">
        <f t="shared" si="3"/>
        <v>20.16</v>
      </c>
      <c r="J17" s="164">
        <f t="shared" si="1"/>
        <v>29.067460317460316</v>
      </c>
      <c r="K17" s="163">
        <v>59</v>
      </c>
      <c r="L17" s="163">
        <v>293</v>
      </c>
      <c r="M17" s="163">
        <v>200</v>
      </c>
      <c r="N17" s="163">
        <f t="shared" si="2"/>
        <v>552</v>
      </c>
      <c r="O17" s="163">
        <v>178</v>
      </c>
      <c r="P17" s="165">
        <v>1.45</v>
      </c>
      <c r="Q17" s="164">
        <f t="shared" si="4"/>
        <v>17.399999999999999</v>
      </c>
      <c r="R17" s="166">
        <f t="shared" si="5"/>
        <v>31.724137931034484</v>
      </c>
    </row>
    <row r="18" spans="1:18" x14ac:dyDescent="0.2">
      <c r="B18" s="167"/>
    </row>
    <row r="19" spans="1:18" ht="19.5" x14ac:dyDescent="0.35">
      <c r="A19" s="635" t="s">
        <v>341</v>
      </c>
      <c r="B19" s="635"/>
      <c r="C19" s="635"/>
      <c r="D19" s="635"/>
      <c r="E19" s="635"/>
      <c r="F19" s="635"/>
      <c r="H19" s="625" t="s">
        <v>342</v>
      </c>
      <c r="I19" s="626"/>
      <c r="J19" s="626"/>
      <c r="K19" s="626"/>
      <c r="L19" s="626"/>
      <c r="M19" s="626"/>
      <c r="N19" s="626"/>
      <c r="O19" s="626"/>
      <c r="P19" s="626"/>
      <c r="Q19" s="626"/>
      <c r="R19" s="627"/>
    </row>
    <row r="20" spans="1:18" ht="48" customHeight="1" x14ac:dyDescent="0.2">
      <c r="A20" s="168" t="s">
        <v>227</v>
      </c>
      <c r="B20" s="624" t="s">
        <v>343</v>
      </c>
      <c r="C20" s="624"/>
      <c r="D20" s="168" t="s">
        <v>230</v>
      </c>
      <c r="E20" s="624" t="s">
        <v>343</v>
      </c>
      <c r="F20" s="624"/>
      <c r="H20" s="628" t="s">
        <v>344</v>
      </c>
      <c r="I20" s="629"/>
      <c r="J20" s="629"/>
      <c r="K20" s="629"/>
      <c r="L20" s="629"/>
      <c r="M20" s="629"/>
      <c r="N20" s="629"/>
      <c r="O20" s="629"/>
      <c r="P20" s="629"/>
      <c r="Q20" s="629"/>
      <c r="R20" s="630"/>
    </row>
    <row r="21" spans="1:18" ht="61.5" customHeight="1" x14ac:dyDescent="0.2">
      <c r="A21" s="245" t="s">
        <v>232</v>
      </c>
      <c r="B21" s="623" t="s">
        <v>345</v>
      </c>
      <c r="C21" s="623"/>
      <c r="D21" s="246" t="s">
        <v>233</v>
      </c>
      <c r="E21" s="623" t="s">
        <v>346</v>
      </c>
      <c r="F21" s="623"/>
      <c r="H21" s="628" t="s">
        <v>347</v>
      </c>
      <c r="I21" s="631"/>
      <c r="J21" s="631"/>
      <c r="K21" s="631"/>
      <c r="L21" s="631"/>
      <c r="M21" s="631"/>
      <c r="N21" s="631"/>
      <c r="O21" s="631"/>
      <c r="P21" s="631"/>
      <c r="Q21" s="631"/>
      <c r="R21" s="632"/>
    </row>
    <row r="22" spans="1:18" ht="63" customHeight="1" x14ac:dyDescent="0.2">
      <c r="A22" s="245" t="s">
        <v>236</v>
      </c>
      <c r="B22" s="623" t="s">
        <v>348</v>
      </c>
      <c r="C22" s="623"/>
      <c r="D22" s="246" t="s">
        <v>237</v>
      </c>
      <c r="E22" s="623" t="s">
        <v>349</v>
      </c>
      <c r="F22" s="623"/>
      <c r="H22" s="628" t="s">
        <v>350</v>
      </c>
      <c r="I22" s="633"/>
      <c r="J22" s="633"/>
      <c r="K22" s="633"/>
      <c r="L22" s="633"/>
      <c r="M22" s="633"/>
      <c r="N22" s="633"/>
      <c r="O22" s="633"/>
      <c r="P22" s="633"/>
      <c r="Q22" s="633"/>
      <c r="R22" s="634"/>
    </row>
    <row r="23" spans="1:18" ht="45" customHeight="1" x14ac:dyDescent="0.2">
      <c r="A23" s="245" t="s">
        <v>241</v>
      </c>
      <c r="B23" s="623" t="s">
        <v>351</v>
      </c>
      <c r="C23" s="623"/>
      <c r="D23" s="246" t="s">
        <v>242</v>
      </c>
      <c r="E23" s="623" t="s">
        <v>352</v>
      </c>
      <c r="F23" s="623"/>
      <c r="H23" s="244"/>
      <c r="I23" s="244"/>
      <c r="J23" s="244"/>
      <c r="K23" s="244"/>
      <c r="L23" s="244"/>
      <c r="M23" s="244"/>
      <c r="N23" s="244"/>
      <c r="O23" s="244"/>
      <c r="P23" s="244"/>
      <c r="Q23" s="244"/>
      <c r="R23" s="244"/>
    </row>
  </sheetData>
  <sheetProtection algorithmName="SHA-512" hashValue="DC64XDrq/AiwB/xDcd6VAV7jC8fW3cjastZbWtmecrFui08g1mMYEU1bkpxzNoUamqQcPum2Dkq7XlKzM/RY/g==" saltValue="VdXmlIukPSsmedlemjnmmA==" spinCount="100000" sheet="1" objects="1" scenarios="1"/>
  <mergeCells count="21">
    <mergeCell ref="H19:R19"/>
    <mergeCell ref="H20:R20"/>
    <mergeCell ref="H21:R21"/>
    <mergeCell ref="H22:R22"/>
    <mergeCell ref="E20:F20"/>
    <mergeCell ref="A19:F19"/>
    <mergeCell ref="E21:F21"/>
    <mergeCell ref="E22:F22"/>
    <mergeCell ref="E23:F23"/>
    <mergeCell ref="B20:C20"/>
    <mergeCell ref="B21:C21"/>
    <mergeCell ref="B22:C22"/>
    <mergeCell ref="B23:C23"/>
    <mergeCell ref="A1:A2"/>
    <mergeCell ref="T2:U2"/>
    <mergeCell ref="T1:U1"/>
    <mergeCell ref="T6:U6"/>
    <mergeCell ref="T7:U7"/>
    <mergeCell ref="C1:J1"/>
    <mergeCell ref="K1:R1"/>
    <mergeCell ref="B1:B2"/>
  </mergeCells>
  <conditionalFormatting sqref="A22 D22">
    <cfRule type="expression" dxfId="2" priority="575">
      <formula>AND($AE$8&gt;150,$U$4&lt;=200)</formula>
    </cfRule>
  </conditionalFormatting>
  <conditionalFormatting sqref="A23">
    <cfRule type="expression" dxfId="1" priority="4">
      <formula>$AE$8&gt;200</formula>
    </cfRule>
  </conditionalFormatting>
  <conditionalFormatting sqref="D23">
    <cfRule type="expression" dxfId="0" priority="1">
      <formula>$AE$8&gt;200</formula>
    </cfRule>
  </conditionalFormatting>
  <pageMargins left="0.7" right="0.7" top="0.75" bottom="0.75" header="0.3" footer="0.3"/>
  <pageSetup paperSize="9" orientation="portrait" r:id="rId1"/>
  <headerFooter>
    <oddFooter>&amp;L&amp;1#&amp;"Calibri"&amp;6&amp;K737373BUSINESS DOCUMENT  This document is intended for business use and should be distributed to intended recipients only.</oddFooter>
  </headerFooter>
  <ignoredErrors>
    <ignoredError sqref="F3:F17"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5"/>
  <sheetViews>
    <sheetView topLeftCell="C1" workbookViewId="0">
      <selection activeCell="C17" sqref="C17"/>
    </sheetView>
  </sheetViews>
  <sheetFormatPr defaultColWidth="9.140625" defaultRowHeight="12.75" x14ac:dyDescent="0.2"/>
  <cols>
    <col min="1" max="1" width="19.28515625" style="93" customWidth="1"/>
    <col min="2" max="2" width="26.28515625" style="93" customWidth="1"/>
    <col min="3" max="16384" width="9.140625" style="93"/>
  </cols>
  <sheetData>
    <row r="1" spans="1:14" ht="30" x14ac:dyDescent="0.2">
      <c r="A1" s="87" t="s">
        <v>353</v>
      </c>
      <c r="B1" s="88" t="s">
        <v>354</v>
      </c>
      <c r="C1" s="88" t="s">
        <v>355</v>
      </c>
      <c r="D1" s="88" t="s">
        <v>356</v>
      </c>
      <c r="E1" s="88" t="s">
        <v>357</v>
      </c>
      <c r="F1" s="88" t="s">
        <v>358</v>
      </c>
      <c r="G1" s="89" t="s">
        <v>322</v>
      </c>
      <c r="H1" s="90" t="s">
        <v>323</v>
      </c>
      <c r="I1" s="90" t="s">
        <v>324</v>
      </c>
      <c r="J1" s="90" t="s">
        <v>325</v>
      </c>
      <c r="K1" s="90" t="s">
        <v>326</v>
      </c>
      <c r="L1" s="90" t="s">
        <v>327</v>
      </c>
      <c r="M1" s="91" t="s">
        <v>321</v>
      </c>
      <c r="N1" s="92" t="s">
        <v>359</v>
      </c>
    </row>
    <row r="2" spans="1:14" x14ac:dyDescent="0.2">
      <c r="A2" s="94" t="s">
        <v>360</v>
      </c>
      <c r="B2" s="95" t="s">
        <v>361</v>
      </c>
      <c r="C2" s="96" t="s">
        <v>362</v>
      </c>
      <c r="D2" s="97">
        <v>0.375</v>
      </c>
      <c r="E2" s="97">
        <v>0.875</v>
      </c>
      <c r="F2" s="98" t="s">
        <v>291</v>
      </c>
      <c r="G2" s="99">
        <v>12</v>
      </c>
      <c r="H2" s="100">
        <v>8</v>
      </c>
      <c r="I2" s="100">
        <v>8</v>
      </c>
      <c r="J2" s="100">
        <v>12</v>
      </c>
      <c r="K2" s="100">
        <v>12</v>
      </c>
      <c r="L2" s="100">
        <v>12</v>
      </c>
      <c r="M2" s="101">
        <v>12</v>
      </c>
      <c r="N2" s="102" t="s">
        <v>52</v>
      </c>
    </row>
    <row r="3" spans="1:14" x14ac:dyDescent="0.2">
      <c r="A3" s="94" t="s">
        <v>360</v>
      </c>
      <c r="B3" s="95" t="s">
        <v>363</v>
      </c>
      <c r="C3" s="96" t="s">
        <v>362</v>
      </c>
      <c r="D3" s="97">
        <v>0.375</v>
      </c>
      <c r="E3" s="97">
        <v>0.875</v>
      </c>
      <c r="F3" s="98" t="s">
        <v>291</v>
      </c>
      <c r="G3" s="99">
        <v>4</v>
      </c>
      <c r="H3" s="100">
        <v>4</v>
      </c>
      <c r="I3" s="100">
        <v>4</v>
      </c>
      <c r="J3" s="100">
        <v>4</v>
      </c>
      <c r="K3" s="100">
        <v>4</v>
      </c>
      <c r="L3" s="100">
        <v>4</v>
      </c>
      <c r="M3" s="101">
        <v>4</v>
      </c>
      <c r="N3" s="102" t="s">
        <v>52</v>
      </c>
    </row>
    <row r="4" spans="1:14" x14ac:dyDescent="0.2">
      <c r="A4" s="94" t="s">
        <v>360</v>
      </c>
      <c r="B4" s="95" t="s">
        <v>364</v>
      </c>
      <c r="C4" s="96" t="s">
        <v>362</v>
      </c>
      <c r="D4" s="97">
        <v>0.375</v>
      </c>
      <c r="E4" s="97">
        <v>0.875</v>
      </c>
      <c r="F4" s="98" t="s">
        <v>291</v>
      </c>
      <c r="G4" s="99">
        <v>10</v>
      </c>
      <c r="H4" s="100">
        <v>8</v>
      </c>
      <c r="I4" s="100">
        <v>8</v>
      </c>
      <c r="J4" s="100">
        <v>10</v>
      </c>
      <c r="K4" s="100">
        <v>10</v>
      </c>
      <c r="L4" s="100">
        <v>10</v>
      </c>
      <c r="M4" s="101">
        <v>10</v>
      </c>
      <c r="N4" s="103" t="s">
        <v>52</v>
      </c>
    </row>
    <row r="5" spans="1:14" x14ac:dyDescent="0.2">
      <c r="A5" s="94" t="s">
        <v>360</v>
      </c>
      <c r="B5" s="95" t="s">
        <v>365</v>
      </c>
      <c r="C5" s="96" t="s">
        <v>362</v>
      </c>
      <c r="D5" s="97">
        <v>0.375</v>
      </c>
      <c r="E5" s="97">
        <v>0.875</v>
      </c>
      <c r="F5" s="98" t="s">
        <v>291</v>
      </c>
      <c r="G5" s="99">
        <v>6</v>
      </c>
      <c r="H5" s="100">
        <v>6</v>
      </c>
      <c r="I5" s="100">
        <v>6</v>
      </c>
      <c r="J5" s="100">
        <v>6</v>
      </c>
      <c r="K5" s="100">
        <v>6</v>
      </c>
      <c r="L5" s="100">
        <v>6</v>
      </c>
      <c r="M5" s="101">
        <v>6</v>
      </c>
      <c r="N5" s="103" t="s">
        <v>52</v>
      </c>
    </row>
    <row r="6" spans="1:14" x14ac:dyDescent="0.2">
      <c r="A6" s="94" t="s">
        <v>360</v>
      </c>
      <c r="B6" s="95" t="s">
        <v>366</v>
      </c>
      <c r="C6" s="96" t="s">
        <v>362</v>
      </c>
      <c r="D6" s="97">
        <v>0.375</v>
      </c>
      <c r="E6" s="97">
        <v>0.875</v>
      </c>
      <c r="F6" s="98" t="s">
        <v>291</v>
      </c>
      <c r="G6" s="99">
        <v>2</v>
      </c>
      <c r="H6" s="100">
        <v>2</v>
      </c>
      <c r="I6" s="100">
        <v>2</v>
      </c>
      <c r="J6" s="100">
        <v>2</v>
      </c>
      <c r="K6" s="100">
        <v>2</v>
      </c>
      <c r="L6" s="100">
        <v>2</v>
      </c>
      <c r="M6" s="101">
        <v>2</v>
      </c>
      <c r="N6" s="103" t="s">
        <v>52</v>
      </c>
    </row>
    <row r="7" spans="1:14" x14ac:dyDescent="0.2">
      <c r="A7" s="94" t="s">
        <v>360</v>
      </c>
      <c r="B7" s="95" t="s">
        <v>367</v>
      </c>
      <c r="C7" s="96" t="s">
        <v>362</v>
      </c>
      <c r="D7" s="97">
        <v>0.375</v>
      </c>
      <c r="E7" s="97">
        <v>0.875</v>
      </c>
      <c r="F7" s="98" t="s">
        <v>291</v>
      </c>
      <c r="G7" s="99">
        <v>2</v>
      </c>
      <c r="H7" s="100">
        <v>2</v>
      </c>
      <c r="I7" s="100">
        <v>2</v>
      </c>
      <c r="J7" s="100">
        <v>2</v>
      </c>
      <c r="K7" s="100">
        <v>2</v>
      </c>
      <c r="L7" s="100">
        <v>2</v>
      </c>
      <c r="M7" s="101">
        <v>2</v>
      </c>
      <c r="N7" s="103" t="s">
        <v>52</v>
      </c>
    </row>
    <row r="8" spans="1:14" x14ac:dyDescent="0.2">
      <c r="A8" s="94" t="s">
        <v>360</v>
      </c>
      <c r="B8" s="95" t="s">
        <v>368</v>
      </c>
      <c r="C8" s="96" t="s">
        <v>362</v>
      </c>
      <c r="D8" s="97">
        <v>0.375</v>
      </c>
      <c r="E8" s="97">
        <v>0.875</v>
      </c>
      <c r="F8" s="98" t="s">
        <v>291</v>
      </c>
      <c r="G8" s="99">
        <v>18</v>
      </c>
      <c r="H8" s="100">
        <v>18</v>
      </c>
      <c r="I8" s="100">
        <v>18</v>
      </c>
      <c r="J8" s="100">
        <v>18</v>
      </c>
      <c r="K8" s="100">
        <v>18</v>
      </c>
      <c r="L8" s="100">
        <v>18</v>
      </c>
      <c r="M8" s="101">
        <v>18</v>
      </c>
      <c r="N8" s="103" t="s">
        <v>52</v>
      </c>
    </row>
    <row r="9" spans="1:14" ht="13.5" thickBot="1" x14ac:dyDescent="0.25">
      <c r="A9" s="104" t="s">
        <v>360</v>
      </c>
      <c r="B9" s="105" t="s">
        <v>369</v>
      </c>
      <c r="C9" s="106" t="s">
        <v>362</v>
      </c>
      <c r="D9" s="107">
        <v>0.375</v>
      </c>
      <c r="E9" s="107">
        <v>0.875</v>
      </c>
      <c r="F9" s="108" t="s">
        <v>291</v>
      </c>
      <c r="G9" s="109">
        <v>6</v>
      </c>
      <c r="H9" s="110">
        <v>6</v>
      </c>
      <c r="I9" s="110">
        <v>6</v>
      </c>
      <c r="J9" s="110">
        <v>6</v>
      </c>
      <c r="K9" s="110">
        <v>6</v>
      </c>
      <c r="L9" s="110">
        <v>6</v>
      </c>
      <c r="M9" s="111">
        <v>6</v>
      </c>
      <c r="N9" s="112" t="s">
        <v>53</v>
      </c>
    </row>
    <row r="10" spans="1:14" ht="15.75" thickBot="1" x14ac:dyDescent="0.25">
      <c r="A10" s="113" t="s">
        <v>19</v>
      </c>
      <c r="B10" s="114"/>
      <c r="C10" s="115"/>
      <c r="D10" s="116"/>
      <c r="E10" s="116"/>
      <c r="F10" s="116"/>
      <c r="G10" s="117">
        <f>SUM(G2:G9)</f>
        <v>60</v>
      </c>
      <c r="H10" s="117">
        <f t="shared" ref="H10:M10" si="0">SUM(H2:H9)</f>
        <v>54</v>
      </c>
      <c r="I10" s="117">
        <f t="shared" si="0"/>
        <v>54</v>
      </c>
      <c r="J10" s="117">
        <f t="shared" si="0"/>
        <v>60</v>
      </c>
      <c r="K10" s="117">
        <f t="shared" si="0"/>
        <v>60</v>
      </c>
      <c r="L10" s="117">
        <f t="shared" si="0"/>
        <v>60</v>
      </c>
      <c r="M10" s="117">
        <f t="shared" si="0"/>
        <v>60</v>
      </c>
      <c r="N10" s="118"/>
    </row>
    <row r="11" spans="1:14" ht="13.5" thickBot="1" x14ac:dyDescent="0.25"/>
    <row r="12" spans="1:14" ht="30" x14ac:dyDescent="0.2">
      <c r="A12" s="87" t="s">
        <v>353</v>
      </c>
      <c r="B12" s="88" t="s">
        <v>354</v>
      </c>
      <c r="C12" s="88" t="s">
        <v>355</v>
      </c>
      <c r="D12" s="88" t="s">
        <v>356</v>
      </c>
      <c r="E12" s="88" t="s">
        <v>357</v>
      </c>
      <c r="F12" s="88" t="s">
        <v>358</v>
      </c>
      <c r="G12" s="89" t="s">
        <v>322</v>
      </c>
      <c r="H12" s="90" t="s">
        <v>323</v>
      </c>
      <c r="I12" s="90" t="s">
        <v>324</v>
      </c>
      <c r="J12" s="90" t="s">
        <v>325</v>
      </c>
      <c r="K12" s="90" t="s">
        <v>326</v>
      </c>
      <c r="L12" s="90" t="s">
        <v>327</v>
      </c>
      <c r="M12" s="91" t="s">
        <v>321</v>
      </c>
      <c r="N12" s="92" t="s">
        <v>359</v>
      </c>
    </row>
    <row r="13" spans="1:14" x14ac:dyDescent="0.2">
      <c r="A13" s="94" t="s">
        <v>360</v>
      </c>
      <c r="B13" s="95" t="s">
        <v>361</v>
      </c>
      <c r="C13" s="96" t="s">
        <v>362</v>
      </c>
      <c r="D13" s="97">
        <v>0.875</v>
      </c>
      <c r="E13" s="97">
        <v>0.375</v>
      </c>
      <c r="F13" s="98" t="s">
        <v>298</v>
      </c>
      <c r="G13" s="99">
        <v>12</v>
      </c>
      <c r="H13" s="100">
        <v>10</v>
      </c>
      <c r="I13" s="100">
        <v>10</v>
      </c>
      <c r="J13" s="100">
        <v>12</v>
      </c>
      <c r="K13" s="100">
        <v>12</v>
      </c>
      <c r="L13" s="100">
        <v>12</v>
      </c>
      <c r="M13" s="101">
        <v>12</v>
      </c>
      <c r="N13" s="102" t="s">
        <v>52</v>
      </c>
    </row>
    <row r="14" spans="1:14" x14ac:dyDescent="0.2">
      <c r="A14" s="94" t="s">
        <v>360</v>
      </c>
      <c r="B14" s="95" t="s">
        <v>368</v>
      </c>
      <c r="C14" s="96" t="s">
        <v>362</v>
      </c>
      <c r="D14" s="97">
        <v>0.875</v>
      </c>
      <c r="E14" s="97">
        <v>0.375</v>
      </c>
      <c r="F14" s="98" t="s">
        <v>298</v>
      </c>
      <c r="G14" s="99">
        <v>18</v>
      </c>
      <c r="H14" s="100">
        <v>18</v>
      </c>
      <c r="I14" s="100">
        <v>18</v>
      </c>
      <c r="J14" s="100">
        <v>18</v>
      </c>
      <c r="K14" s="100">
        <v>18</v>
      </c>
      <c r="L14" s="100">
        <v>18</v>
      </c>
      <c r="M14" s="101">
        <v>18</v>
      </c>
      <c r="N14" s="103" t="s">
        <v>52</v>
      </c>
    </row>
    <row r="15" spans="1:14" x14ac:dyDescent="0.2">
      <c r="A15" s="94" t="s">
        <v>360</v>
      </c>
      <c r="B15" s="95" t="s">
        <v>363</v>
      </c>
      <c r="C15" s="96" t="s">
        <v>362</v>
      </c>
      <c r="D15" s="97">
        <v>0.875</v>
      </c>
      <c r="E15" s="97">
        <v>0.375</v>
      </c>
      <c r="F15" s="98" t="s">
        <v>298</v>
      </c>
      <c r="G15" s="99">
        <v>4</v>
      </c>
      <c r="H15" s="100">
        <v>4</v>
      </c>
      <c r="I15" s="100">
        <v>4</v>
      </c>
      <c r="J15" s="100">
        <v>4</v>
      </c>
      <c r="K15" s="100">
        <v>4</v>
      </c>
      <c r="L15" s="100">
        <v>4</v>
      </c>
      <c r="M15" s="101">
        <v>4</v>
      </c>
      <c r="N15" s="103" t="s">
        <v>52</v>
      </c>
    </row>
    <row r="16" spans="1:14" x14ac:dyDescent="0.2">
      <c r="A16" s="94" t="s">
        <v>360</v>
      </c>
      <c r="B16" s="95" t="s">
        <v>364</v>
      </c>
      <c r="C16" s="96" t="s">
        <v>362</v>
      </c>
      <c r="D16" s="97">
        <v>0.91666666666666663</v>
      </c>
      <c r="E16" s="97">
        <v>0.375</v>
      </c>
      <c r="F16" s="98" t="s">
        <v>298</v>
      </c>
      <c r="G16" s="99">
        <v>10</v>
      </c>
      <c r="H16" s="100">
        <v>8</v>
      </c>
      <c r="I16" s="100">
        <v>8</v>
      </c>
      <c r="J16" s="100">
        <v>10</v>
      </c>
      <c r="K16" s="100">
        <v>10</v>
      </c>
      <c r="L16" s="100">
        <v>10</v>
      </c>
      <c r="M16" s="101">
        <v>10</v>
      </c>
      <c r="N16" s="103" t="s">
        <v>52</v>
      </c>
    </row>
    <row r="17" spans="1:14" x14ac:dyDescent="0.2">
      <c r="A17" s="94" t="s">
        <v>360</v>
      </c>
      <c r="B17" s="95" t="s">
        <v>365</v>
      </c>
      <c r="C17" s="96" t="s">
        <v>362</v>
      </c>
      <c r="D17" s="97">
        <v>0.875</v>
      </c>
      <c r="E17" s="97">
        <v>0.375</v>
      </c>
      <c r="F17" s="98" t="s">
        <v>298</v>
      </c>
      <c r="G17" s="99">
        <v>6</v>
      </c>
      <c r="H17" s="100">
        <v>6</v>
      </c>
      <c r="I17" s="100">
        <v>6</v>
      </c>
      <c r="J17" s="100">
        <v>6</v>
      </c>
      <c r="K17" s="100">
        <v>6</v>
      </c>
      <c r="L17" s="100">
        <v>6</v>
      </c>
      <c r="M17" s="101">
        <v>6</v>
      </c>
      <c r="N17" s="103" t="s">
        <v>52</v>
      </c>
    </row>
    <row r="18" spans="1:14" x14ac:dyDescent="0.2">
      <c r="A18" s="94" t="s">
        <v>360</v>
      </c>
      <c r="B18" s="95" t="s">
        <v>366</v>
      </c>
      <c r="C18" s="96" t="s">
        <v>362</v>
      </c>
      <c r="D18" s="97">
        <v>0.875</v>
      </c>
      <c r="E18" s="97">
        <v>0.375</v>
      </c>
      <c r="F18" s="98" t="s">
        <v>298</v>
      </c>
      <c r="G18" s="99">
        <v>2</v>
      </c>
      <c r="H18" s="100">
        <v>2</v>
      </c>
      <c r="I18" s="100">
        <v>2</v>
      </c>
      <c r="J18" s="100">
        <v>2</v>
      </c>
      <c r="K18" s="100">
        <v>2</v>
      </c>
      <c r="L18" s="100">
        <v>2</v>
      </c>
      <c r="M18" s="101">
        <v>2</v>
      </c>
      <c r="N18" s="103" t="s">
        <v>52</v>
      </c>
    </row>
    <row r="19" spans="1:14" x14ac:dyDescent="0.2">
      <c r="A19" s="94" t="s">
        <v>360</v>
      </c>
      <c r="B19" s="95" t="s">
        <v>367</v>
      </c>
      <c r="C19" s="96" t="s">
        <v>362</v>
      </c>
      <c r="D19" s="97">
        <v>0.875</v>
      </c>
      <c r="E19" s="97">
        <v>0.375</v>
      </c>
      <c r="F19" s="98" t="s">
        <v>298</v>
      </c>
      <c r="G19" s="99">
        <v>2</v>
      </c>
      <c r="H19" s="100">
        <v>2</v>
      </c>
      <c r="I19" s="100">
        <v>2</v>
      </c>
      <c r="J19" s="100">
        <v>2</v>
      </c>
      <c r="K19" s="100">
        <v>2</v>
      </c>
      <c r="L19" s="100">
        <v>2</v>
      </c>
      <c r="M19" s="101">
        <v>2</v>
      </c>
      <c r="N19" s="103" t="s">
        <v>52</v>
      </c>
    </row>
    <row r="20" spans="1:14" ht="13.5" thickBot="1" x14ac:dyDescent="0.25">
      <c r="A20" s="104" t="s">
        <v>360</v>
      </c>
      <c r="B20" s="105" t="s">
        <v>369</v>
      </c>
      <c r="C20" s="106" t="s">
        <v>362</v>
      </c>
      <c r="D20" s="107">
        <v>0.875</v>
      </c>
      <c r="E20" s="107">
        <v>0.375</v>
      </c>
      <c r="F20" s="108" t="s">
        <v>298</v>
      </c>
      <c r="G20" s="109">
        <v>6</v>
      </c>
      <c r="H20" s="110">
        <v>6</v>
      </c>
      <c r="I20" s="110">
        <v>6</v>
      </c>
      <c r="J20" s="110">
        <v>6</v>
      </c>
      <c r="K20" s="110">
        <v>6</v>
      </c>
      <c r="L20" s="110">
        <v>6</v>
      </c>
      <c r="M20" s="111">
        <v>6</v>
      </c>
      <c r="N20" s="112" t="s">
        <v>53</v>
      </c>
    </row>
    <row r="21" spans="1:14" ht="15.75" thickBot="1" x14ac:dyDescent="0.25">
      <c r="A21" s="119" t="s">
        <v>19</v>
      </c>
      <c r="B21" s="120"/>
      <c r="C21" s="121"/>
      <c r="D21" s="122"/>
      <c r="E21" s="122"/>
      <c r="F21" s="122"/>
      <c r="G21" s="117">
        <f>SUM(G13:G20)</f>
        <v>60</v>
      </c>
      <c r="H21" s="117">
        <f t="shared" ref="H21:M21" si="1">SUM(H13:H20)</f>
        <v>56</v>
      </c>
      <c r="I21" s="117">
        <f t="shared" si="1"/>
        <v>56</v>
      </c>
      <c r="J21" s="117">
        <f t="shared" si="1"/>
        <v>60</v>
      </c>
      <c r="K21" s="117">
        <f t="shared" si="1"/>
        <v>60</v>
      </c>
      <c r="L21" s="117">
        <f t="shared" si="1"/>
        <v>60</v>
      </c>
      <c r="M21" s="117">
        <f t="shared" si="1"/>
        <v>60</v>
      </c>
      <c r="N21" s="118"/>
    </row>
    <row r="22" spans="1:14" ht="13.5" thickBot="1" x14ac:dyDescent="0.25"/>
    <row r="23" spans="1:14" ht="30.75" thickBot="1" x14ac:dyDescent="0.25">
      <c r="A23" s="123" t="s">
        <v>353</v>
      </c>
      <c r="B23" s="124" t="s">
        <v>354</v>
      </c>
      <c r="C23" s="125" t="s">
        <v>355</v>
      </c>
      <c r="D23" s="125" t="s">
        <v>356</v>
      </c>
      <c r="E23" s="125" t="s">
        <v>357</v>
      </c>
      <c r="F23" s="126" t="s">
        <v>358</v>
      </c>
      <c r="G23" s="125" t="s">
        <v>322</v>
      </c>
      <c r="H23" s="125" t="s">
        <v>323</v>
      </c>
      <c r="I23" s="125" t="s">
        <v>324</v>
      </c>
      <c r="J23" s="125" t="s">
        <v>325</v>
      </c>
      <c r="K23" s="125" t="s">
        <v>326</v>
      </c>
      <c r="L23" s="125" t="s">
        <v>327</v>
      </c>
      <c r="M23" s="125" t="s">
        <v>321</v>
      </c>
      <c r="N23" s="127" t="s">
        <v>359</v>
      </c>
    </row>
    <row r="24" spans="1:14" x14ac:dyDescent="0.2">
      <c r="A24" s="128" t="s">
        <v>360</v>
      </c>
      <c r="B24" s="129" t="s">
        <v>370</v>
      </c>
      <c r="C24" s="130" t="s">
        <v>371</v>
      </c>
      <c r="D24" s="131">
        <v>0.375</v>
      </c>
      <c r="E24" s="131">
        <v>0.875</v>
      </c>
      <c r="F24" s="132" t="s">
        <v>291</v>
      </c>
      <c r="G24" s="133">
        <v>1</v>
      </c>
      <c r="H24" s="133">
        <v>1</v>
      </c>
      <c r="I24" s="133">
        <v>1</v>
      </c>
      <c r="J24" s="133">
        <v>1</v>
      </c>
      <c r="K24" s="133">
        <v>1</v>
      </c>
      <c r="L24" s="133">
        <v>1</v>
      </c>
      <c r="M24" s="134">
        <v>1</v>
      </c>
      <c r="N24" s="135" t="s">
        <v>52</v>
      </c>
    </row>
    <row r="25" spans="1:14" x14ac:dyDescent="0.2">
      <c r="A25" s="128" t="s">
        <v>360</v>
      </c>
      <c r="B25" s="129" t="s">
        <v>372</v>
      </c>
      <c r="C25" s="130" t="s">
        <v>371</v>
      </c>
      <c r="D25" s="131">
        <v>0.375</v>
      </c>
      <c r="E25" s="131">
        <v>0.875</v>
      </c>
      <c r="F25" s="132" t="s">
        <v>291</v>
      </c>
      <c r="G25" s="133">
        <v>5</v>
      </c>
      <c r="H25" s="133">
        <v>5</v>
      </c>
      <c r="I25" s="133">
        <v>5</v>
      </c>
      <c r="J25" s="133">
        <v>5</v>
      </c>
      <c r="K25" s="133">
        <v>5</v>
      </c>
      <c r="L25" s="133">
        <v>7</v>
      </c>
      <c r="M25" s="134">
        <v>6</v>
      </c>
      <c r="N25" s="135" t="s">
        <v>52</v>
      </c>
    </row>
    <row r="26" spans="1:14" x14ac:dyDescent="0.2">
      <c r="A26" s="128" t="s">
        <v>360</v>
      </c>
      <c r="B26" s="129" t="s">
        <v>373</v>
      </c>
      <c r="C26" s="130" t="s">
        <v>371</v>
      </c>
      <c r="D26" s="131">
        <v>0.375</v>
      </c>
      <c r="E26" s="131">
        <v>0.875</v>
      </c>
      <c r="F26" s="132" t="s">
        <v>291</v>
      </c>
      <c r="G26" s="133">
        <v>3</v>
      </c>
      <c r="H26" s="133">
        <v>3</v>
      </c>
      <c r="I26" s="133">
        <v>3</v>
      </c>
      <c r="J26" s="133">
        <v>3</v>
      </c>
      <c r="K26" s="133">
        <v>3</v>
      </c>
      <c r="L26" s="133">
        <v>3</v>
      </c>
      <c r="M26" s="134">
        <v>3</v>
      </c>
      <c r="N26" s="135" t="s">
        <v>52</v>
      </c>
    </row>
    <row r="27" spans="1:14" x14ac:dyDescent="0.2">
      <c r="A27" s="128" t="s">
        <v>360</v>
      </c>
      <c r="B27" s="129" t="s">
        <v>370</v>
      </c>
      <c r="C27" s="130" t="s">
        <v>371</v>
      </c>
      <c r="D27" s="131">
        <v>0.875</v>
      </c>
      <c r="E27" s="131">
        <v>0.375</v>
      </c>
      <c r="F27" s="132" t="s">
        <v>298</v>
      </c>
      <c r="G27" s="133">
        <v>1</v>
      </c>
      <c r="H27" s="133">
        <v>1</v>
      </c>
      <c r="I27" s="133">
        <v>1</v>
      </c>
      <c r="J27" s="133">
        <v>1</v>
      </c>
      <c r="K27" s="133">
        <v>1</v>
      </c>
      <c r="L27" s="133">
        <v>1</v>
      </c>
      <c r="M27" s="134">
        <v>1</v>
      </c>
      <c r="N27" s="135" t="s">
        <v>52</v>
      </c>
    </row>
    <row r="28" spans="1:14" x14ac:dyDescent="0.2">
      <c r="A28" s="128" t="s">
        <v>360</v>
      </c>
      <c r="B28" s="129" t="s">
        <v>373</v>
      </c>
      <c r="C28" s="130" t="s">
        <v>371</v>
      </c>
      <c r="D28" s="131">
        <v>0.875</v>
      </c>
      <c r="E28" s="131">
        <v>0.375</v>
      </c>
      <c r="F28" s="132" t="s">
        <v>298</v>
      </c>
      <c r="G28" s="133">
        <v>3</v>
      </c>
      <c r="H28" s="133">
        <v>3</v>
      </c>
      <c r="I28" s="133">
        <v>3</v>
      </c>
      <c r="J28" s="133">
        <v>3</v>
      </c>
      <c r="K28" s="133">
        <v>3</v>
      </c>
      <c r="L28" s="133">
        <v>3</v>
      </c>
      <c r="M28" s="134">
        <v>3</v>
      </c>
      <c r="N28" s="135" t="s">
        <v>52</v>
      </c>
    </row>
    <row r="29" spans="1:14" x14ac:dyDescent="0.2">
      <c r="A29" s="128" t="s">
        <v>360</v>
      </c>
      <c r="B29" s="129" t="s">
        <v>372</v>
      </c>
      <c r="C29" s="130" t="s">
        <v>371</v>
      </c>
      <c r="D29" s="131">
        <v>0.875</v>
      </c>
      <c r="E29" s="131">
        <v>0.375</v>
      </c>
      <c r="F29" s="132" t="s">
        <v>298</v>
      </c>
      <c r="G29" s="133">
        <v>6</v>
      </c>
      <c r="H29" s="133">
        <v>6</v>
      </c>
      <c r="I29" s="133">
        <v>8</v>
      </c>
      <c r="J29" s="133">
        <v>8</v>
      </c>
      <c r="K29" s="133">
        <v>9</v>
      </c>
      <c r="L29" s="133">
        <v>9</v>
      </c>
      <c r="M29" s="134">
        <v>8</v>
      </c>
      <c r="N29" s="135" t="s">
        <v>52</v>
      </c>
    </row>
    <row r="30" spans="1:14" x14ac:dyDescent="0.2">
      <c r="A30" s="128" t="s">
        <v>360</v>
      </c>
      <c r="B30" s="129" t="s">
        <v>372</v>
      </c>
      <c r="C30" s="130" t="s">
        <v>371</v>
      </c>
      <c r="D30" s="131">
        <v>0.41666666666666669</v>
      </c>
      <c r="E30" s="131">
        <v>0.875</v>
      </c>
      <c r="F30" s="132" t="s">
        <v>291</v>
      </c>
      <c r="G30" s="133">
        <v>5</v>
      </c>
      <c r="H30" s="133">
        <v>5</v>
      </c>
      <c r="I30" s="133">
        <v>5</v>
      </c>
      <c r="J30" s="133">
        <v>5</v>
      </c>
      <c r="K30" s="133">
        <v>5</v>
      </c>
      <c r="L30" s="133">
        <v>5</v>
      </c>
      <c r="M30" s="134">
        <v>5</v>
      </c>
      <c r="N30" s="135" t="s">
        <v>374</v>
      </c>
    </row>
    <row r="31" spans="1:14" x14ac:dyDescent="0.2">
      <c r="A31" s="128" t="s">
        <v>360</v>
      </c>
      <c r="B31" s="129" t="s">
        <v>372</v>
      </c>
      <c r="C31" s="130" t="s">
        <v>371</v>
      </c>
      <c r="D31" s="131">
        <v>0.91666666666666663</v>
      </c>
      <c r="E31" s="131">
        <v>0.375</v>
      </c>
      <c r="F31" s="132" t="s">
        <v>298</v>
      </c>
      <c r="G31" s="133">
        <v>5</v>
      </c>
      <c r="H31" s="133">
        <v>5</v>
      </c>
      <c r="I31" s="133">
        <v>5</v>
      </c>
      <c r="J31" s="133">
        <v>5</v>
      </c>
      <c r="K31" s="133">
        <v>5</v>
      </c>
      <c r="L31" s="133">
        <v>5</v>
      </c>
      <c r="M31" s="134">
        <v>5</v>
      </c>
      <c r="N31" s="135" t="s">
        <v>374</v>
      </c>
    </row>
    <row r="32" spans="1:14" x14ac:dyDescent="0.2">
      <c r="A32" s="128" t="s">
        <v>360</v>
      </c>
      <c r="B32" s="129" t="s">
        <v>375</v>
      </c>
      <c r="C32" s="130" t="s">
        <v>371</v>
      </c>
      <c r="D32" s="131">
        <v>0.75</v>
      </c>
      <c r="E32" s="131">
        <v>0.25</v>
      </c>
      <c r="F32" s="132" t="s">
        <v>298</v>
      </c>
      <c r="G32" s="133">
        <v>1</v>
      </c>
      <c r="H32" s="133">
        <v>1</v>
      </c>
      <c r="I32" s="133">
        <v>1</v>
      </c>
      <c r="J32" s="133">
        <v>1</v>
      </c>
      <c r="K32" s="133">
        <v>1</v>
      </c>
      <c r="L32" s="133">
        <v>1</v>
      </c>
      <c r="M32" s="134">
        <v>1</v>
      </c>
      <c r="N32" s="135" t="s">
        <v>53</v>
      </c>
    </row>
    <row r="33" spans="1:14" x14ac:dyDescent="0.2">
      <c r="A33" s="128" t="s">
        <v>360</v>
      </c>
      <c r="B33" s="129" t="s">
        <v>375</v>
      </c>
      <c r="C33" s="130" t="s">
        <v>371</v>
      </c>
      <c r="D33" s="131">
        <v>0.875</v>
      </c>
      <c r="E33" s="131">
        <v>0.375</v>
      </c>
      <c r="F33" s="132" t="s">
        <v>298</v>
      </c>
      <c r="G33" s="133">
        <v>1</v>
      </c>
      <c r="H33" s="133">
        <v>1</v>
      </c>
      <c r="I33" s="133">
        <v>1</v>
      </c>
      <c r="J33" s="133">
        <v>1</v>
      </c>
      <c r="K33" s="133">
        <v>1</v>
      </c>
      <c r="L33" s="133">
        <v>1</v>
      </c>
      <c r="M33" s="134">
        <v>1</v>
      </c>
      <c r="N33" s="135" t="s">
        <v>53</v>
      </c>
    </row>
    <row r="34" spans="1:14" x14ac:dyDescent="0.2">
      <c r="A34" s="128" t="s">
        <v>376</v>
      </c>
      <c r="B34" s="129" t="s">
        <v>372</v>
      </c>
      <c r="C34" s="130" t="s">
        <v>371</v>
      </c>
      <c r="D34" s="131">
        <v>0.41666666666666669</v>
      </c>
      <c r="E34" s="131">
        <v>0.875</v>
      </c>
      <c r="F34" s="132" t="s">
        <v>291</v>
      </c>
      <c r="G34" s="133">
        <v>1</v>
      </c>
      <c r="H34" s="133">
        <v>2</v>
      </c>
      <c r="I34" s="133">
        <v>2</v>
      </c>
      <c r="J34" s="133">
        <v>2</v>
      </c>
      <c r="K34" s="133">
        <v>1</v>
      </c>
      <c r="L34" s="133">
        <v>1</v>
      </c>
      <c r="M34" s="134">
        <v>1</v>
      </c>
      <c r="N34" s="135" t="s">
        <v>52</v>
      </c>
    </row>
    <row r="35" spans="1:14" ht="13.5" thickBot="1" x14ac:dyDescent="0.25">
      <c r="A35" s="128" t="s">
        <v>376</v>
      </c>
      <c r="B35" s="129" t="s">
        <v>372</v>
      </c>
      <c r="C35" s="130" t="s">
        <v>371</v>
      </c>
      <c r="D35" s="131">
        <v>0.91666666666666663</v>
      </c>
      <c r="E35" s="131">
        <v>0.375</v>
      </c>
      <c r="F35" s="132" t="s">
        <v>298</v>
      </c>
      <c r="G35" s="133">
        <v>3</v>
      </c>
      <c r="H35" s="133">
        <v>5</v>
      </c>
      <c r="I35" s="133">
        <v>5</v>
      </c>
      <c r="J35" s="133">
        <v>4</v>
      </c>
      <c r="K35" s="133">
        <v>3</v>
      </c>
      <c r="L35" s="133">
        <v>3</v>
      </c>
      <c r="M35" s="134">
        <v>3</v>
      </c>
      <c r="N35" s="135" t="s">
        <v>52</v>
      </c>
    </row>
    <row r="36" spans="1:14" ht="15.75" thickBot="1" x14ac:dyDescent="0.25">
      <c r="A36" s="119" t="s">
        <v>19</v>
      </c>
      <c r="B36" s="120"/>
      <c r="C36" s="121"/>
      <c r="D36" s="122"/>
      <c r="E36" s="122"/>
      <c r="F36" s="122"/>
      <c r="G36" s="136">
        <v>35</v>
      </c>
      <c r="H36" s="136">
        <v>38</v>
      </c>
      <c r="I36" s="136">
        <v>40</v>
      </c>
      <c r="J36" s="136">
        <v>39</v>
      </c>
      <c r="K36" s="136">
        <v>38</v>
      </c>
      <c r="L36" s="136">
        <v>40</v>
      </c>
      <c r="M36" s="136">
        <v>38</v>
      </c>
      <c r="N36" s="137"/>
    </row>
    <row r="37" spans="1:14" ht="15.75" thickBot="1" x14ac:dyDescent="0.25">
      <c r="A37" s="138"/>
    </row>
    <row r="38" spans="1:14" ht="30.75" thickBot="1" x14ac:dyDescent="0.25">
      <c r="A38" s="123" t="s">
        <v>353</v>
      </c>
      <c r="B38" s="124" t="s">
        <v>354</v>
      </c>
      <c r="C38" s="125" t="s">
        <v>355</v>
      </c>
      <c r="D38" s="125" t="s">
        <v>356</v>
      </c>
      <c r="E38" s="125" t="s">
        <v>357</v>
      </c>
      <c r="F38" s="125" t="s">
        <v>358</v>
      </c>
      <c r="G38" s="139" t="s">
        <v>322</v>
      </c>
      <c r="H38" s="125" t="s">
        <v>323</v>
      </c>
      <c r="I38" s="125" t="s">
        <v>324</v>
      </c>
      <c r="J38" s="125" t="s">
        <v>325</v>
      </c>
      <c r="K38" s="125" t="s">
        <v>326</v>
      </c>
      <c r="L38" s="125" t="s">
        <v>327</v>
      </c>
      <c r="M38" s="126" t="s">
        <v>321</v>
      </c>
      <c r="N38" s="126" t="s">
        <v>359</v>
      </c>
    </row>
    <row r="39" spans="1:14" x14ac:dyDescent="0.2">
      <c r="A39" s="128" t="s">
        <v>360</v>
      </c>
      <c r="B39" s="129" t="s">
        <v>377</v>
      </c>
      <c r="C39" s="140" t="s">
        <v>378</v>
      </c>
      <c r="D39" s="131">
        <v>0.375</v>
      </c>
      <c r="E39" s="131">
        <v>0.875</v>
      </c>
      <c r="F39" s="140" t="s">
        <v>291</v>
      </c>
      <c r="G39" s="141">
        <v>3</v>
      </c>
      <c r="H39" s="133">
        <v>3</v>
      </c>
      <c r="I39" s="133">
        <v>3</v>
      </c>
      <c r="J39" s="133">
        <v>3</v>
      </c>
      <c r="K39" s="133">
        <v>3</v>
      </c>
      <c r="L39" s="133">
        <v>3</v>
      </c>
      <c r="M39" s="134">
        <v>3</v>
      </c>
      <c r="N39" s="142" t="s">
        <v>379</v>
      </c>
    </row>
    <row r="40" spans="1:14" x14ac:dyDescent="0.2">
      <c r="A40" s="128" t="s">
        <v>360</v>
      </c>
      <c r="B40" s="129" t="s">
        <v>377</v>
      </c>
      <c r="C40" s="140" t="s">
        <v>378</v>
      </c>
      <c r="D40" s="131">
        <v>0.875</v>
      </c>
      <c r="E40" s="131">
        <v>0.375</v>
      </c>
      <c r="F40" s="140" t="s">
        <v>298</v>
      </c>
      <c r="G40" s="141">
        <v>2</v>
      </c>
      <c r="H40" s="133">
        <v>2</v>
      </c>
      <c r="I40" s="133">
        <v>2</v>
      </c>
      <c r="J40" s="133">
        <v>2</v>
      </c>
      <c r="K40" s="133">
        <v>2</v>
      </c>
      <c r="L40" s="133">
        <v>2</v>
      </c>
      <c r="M40" s="134">
        <v>2</v>
      </c>
      <c r="N40" s="142" t="s">
        <v>379</v>
      </c>
    </row>
    <row r="41" spans="1:14" x14ac:dyDescent="0.2">
      <c r="A41" s="128" t="s">
        <v>360</v>
      </c>
      <c r="B41" s="129" t="s">
        <v>377</v>
      </c>
      <c r="C41" s="140" t="s">
        <v>378</v>
      </c>
      <c r="D41" s="131">
        <v>0.99930555555555556</v>
      </c>
      <c r="E41" s="131">
        <v>0.41666666666666669</v>
      </c>
      <c r="F41" s="140" t="s">
        <v>298</v>
      </c>
      <c r="G41" s="141">
        <v>1</v>
      </c>
      <c r="H41" s="133">
        <v>1</v>
      </c>
      <c r="I41" s="133">
        <v>1</v>
      </c>
      <c r="J41" s="133">
        <v>1</v>
      </c>
      <c r="K41" s="133">
        <v>1</v>
      </c>
      <c r="L41" s="133">
        <v>1</v>
      </c>
      <c r="M41" s="134">
        <v>1</v>
      </c>
      <c r="N41" s="142" t="s">
        <v>52</v>
      </c>
    </row>
    <row r="42" spans="1:14" x14ac:dyDescent="0.2">
      <c r="A42" s="128" t="s">
        <v>360</v>
      </c>
      <c r="B42" s="129" t="s">
        <v>377</v>
      </c>
      <c r="C42" s="140" t="s">
        <v>378</v>
      </c>
      <c r="D42" s="131">
        <v>0.875</v>
      </c>
      <c r="E42" s="131">
        <v>0.375</v>
      </c>
      <c r="F42" s="140" t="s">
        <v>298</v>
      </c>
      <c r="G42" s="141">
        <v>1</v>
      </c>
      <c r="H42" s="133">
        <v>1</v>
      </c>
      <c r="I42" s="133">
        <v>1</v>
      </c>
      <c r="J42" s="133">
        <v>1</v>
      </c>
      <c r="K42" s="133">
        <v>1</v>
      </c>
      <c r="L42" s="133">
        <v>1</v>
      </c>
      <c r="M42" s="134">
        <v>1</v>
      </c>
      <c r="N42" s="142" t="s">
        <v>52</v>
      </c>
    </row>
    <row r="43" spans="1:14" x14ac:dyDescent="0.2">
      <c r="A43" s="128" t="s">
        <v>360</v>
      </c>
      <c r="B43" s="129" t="s">
        <v>377</v>
      </c>
      <c r="C43" s="140" t="s">
        <v>378</v>
      </c>
      <c r="D43" s="131">
        <v>0.25</v>
      </c>
      <c r="E43" s="131">
        <v>0.58333333333333337</v>
      </c>
      <c r="F43" s="140" t="s">
        <v>291</v>
      </c>
      <c r="G43" s="141">
        <v>1</v>
      </c>
      <c r="H43" s="133">
        <v>1</v>
      </c>
      <c r="I43" s="133">
        <v>1</v>
      </c>
      <c r="J43" s="133">
        <v>1</v>
      </c>
      <c r="K43" s="133">
        <v>1</v>
      </c>
      <c r="L43" s="133">
        <v>1</v>
      </c>
      <c r="M43" s="134">
        <v>1</v>
      </c>
      <c r="N43" s="142" t="s">
        <v>52</v>
      </c>
    </row>
    <row r="44" spans="1:14" ht="13.5" thickBot="1" x14ac:dyDescent="0.25">
      <c r="A44" s="128" t="s">
        <v>376</v>
      </c>
      <c r="B44" s="129" t="s">
        <v>377</v>
      </c>
      <c r="C44" s="140" t="s">
        <v>378</v>
      </c>
      <c r="D44" s="131">
        <v>0.91666666666666663</v>
      </c>
      <c r="E44" s="131">
        <v>0.375</v>
      </c>
      <c r="F44" s="143" t="s">
        <v>298</v>
      </c>
      <c r="G44" s="133">
        <v>1</v>
      </c>
      <c r="H44" s="133">
        <v>1</v>
      </c>
      <c r="I44" s="133">
        <v>1</v>
      </c>
      <c r="J44" s="133">
        <v>1</v>
      </c>
      <c r="K44" s="133">
        <v>1</v>
      </c>
      <c r="L44" s="133">
        <v>1</v>
      </c>
      <c r="M44" s="134">
        <v>1</v>
      </c>
      <c r="N44" s="135" t="s">
        <v>380</v>
      </c>
    </row>
    <row r="45" spans="1:14" ht="15.75" thickBot="1" x14ac:dyDescent="0.25">
      <c r="A45" s="119" t="s">
        <v>19</v>
      </c>
      <c r="B45" s="120"/>
      <c r="C45" s="121"/>
      <c r="D45" s="121"/>
      <c r="E45" s="121"/>
      <c r="F45" s="122"/>
      <c r="G45" s="136">
        <v>9</v>
      </c>
      <c r="H45" s="136">
        <v>9</v>
      </c>
      <c r="I45" s="136">
        <v>9</v>
      </c>
      <c r="J45" s="136">
        <v>9</v>
      </c>
      <c r="K45" s="136">
        <v>9</v>
      </c>
      <c r="L45" s="136">
        <v>9</v>
      </c>
      <c r="M45" s="136">
        <v>9</v>
      </c>
      <c r="N45" s="137"/>
    </row>
  </sheetData>
  <pageMargins left="0.7" right="0.7" top="0.75" bottom="0.75" header="0.3" footer="0.3"/>
  <pageSetup paperSize="9" orientation="portrait" r:id="rId1"/>
  <headerFooter>
    <oddFooter>&amp;L&amp;1#&amp;"Calibri"&amp;6&amp;K737373BUSINESS DOCUMENT  This document is intended for business use and should be distributed to intended recipients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585BC72DE80824BB9ECA84D675D7F5B" ma:contentTypeVersion="12" ma:contentTypeDescription="Create a new document." ma:contentTypeScope="" ma:versionID="1c074c05d66cdc9a152254ee915a078b">
  <xsd:schema xmlns:xsd="http://www.w3.org/2001/XMLSchema" xmlns:xs="http://www.w3.org/2001/XMLSchema" xmlns:p="http://schemas.microsoft.com/office/2006/metadata/properties" xmlns:ns2="4df5a3ba-1eee-4138-9afc-217fbce5a41a" xmlns:ns3="dc0dbe99-b487-45f8-9281-64c741f262b2" targetNamespace="http://schemas.microsoft.com/office/2006/metadata/properties" ma:root="true" ma:fieldsID="ef36b46677b828fe144cd3af9c60ef2a" ns2:_="" ns3:_="">
    <xsd:import namespace="4df5a3ba-1eee-4138-9afc-217fbce5a41a"/>
    <xsd:import namespace="dc0dbe99-b487-45f8-9281-64c741f262b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f5a3ba-1eee-4138-9afc-217fbce5a4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0dbe99-b487-45f8-9281-64c741f262b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290833-8624-4934-BB64-091C60C6F881}">
  <ds:schemaRefs>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dc0dbe99-b487-45f8-9281-64c741f262b2"/>
    <ds:schemaRef ds:uri="4df5a3ba-1eee-4138-9afc-217fbce5a41a"/>
    <ds:schemaRef ds:uri="http://www.w3.org/XML/1998/namespace"/>
    <ds:schemaRef ds:uri="http://purl.org/dc/dcmitype/"/>
    <ds:schemaRef ds:uri="http://purl.org/dc/terms/"/>
  </ds:schemaRefs>
</ds:datastoreItem>
</file>

<file path=customXml/itemProps2.xml><?xml version="1.0" encoding="utf-8"?>
<ds:datastoreItem xmlns:ds="http://schemas.openxmlformats.org/officeDocument/2006/customXml" ds:itemID="{446D3C3E-6ED8-4858-BB21-6CE8FBDB9CA6}">
  <ds:schemaRefs>
    <ds:schemaRef ds:uri="http://schemas.microsoft.com/sharepoint/v3/contenttype/forms"/>
  </ds:schemaRefs>
</ds:datastoreItem>
</file>

<file path=customXml/itemProps3.xml><?xml version="1.0" encoding="utf-8"?>
<ds:datastoreItem xmlns:ds="http://schemas.openxmlformats.org/officeDocument/2006/customXml" ds:itemID="{25A00FCF-3CBF-4BF5-853D-5C7B1C9D80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f5a3ba-1eee-4138-9afc-217fbce5a41a"/>
    <ds:schemaRef ds:uri="dc0dbe99-b487-45f8-9281-64c741f262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BUP Shift Details Day</vt:lpstr>
      <vt:lpstr>BUP Shift Details Night</vt:lpstr>
      <vt:lpstr>Sheet1</vt:lpstr>
      <vt:lpstr>Early Morning Report</vt:lpstr>
      <vt:lpstr>Adv Report</vt:lpstr>
      <vt:lpstr>Plan vs Advance</vt:lpstr>
      <vt:lpstr>Plan vs Advance Old</vt:lpstr>
      <vt:lpstr> Day Averages</vt:lpstr>
      <vt:lpstr>Night Averages</vt:lpstr>
      <vt:lpstr>BUP Data </vt:lpstr>
      <vt:lpstr>Average efficiency</vt:lpstr>
      <vt:lpstr>FLO - DR &amp; Loaders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Benjamin Fernandes</dc:creator>
  <cp:keywords/>
  <dc:description/>
  <cp:lastModifiedBy>Muhammad Usman Younas</cp:lastModifiedBy>
  <cp:revision/>
  <dcterms:created xsi:type="dcterms:W3CDTF">2021-06-15T11:42:35Z</dcterms:created>
  <dcterms:modified xsi:type="dcterms:W3CDTF">2025-11-27T08:34:31Z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0x0101009585BC72DE80824BB9ECA84D675D7F5B</vt:lpwstr>
  </property>
  <property fmtid="{D5CDD505-2E9C-101B-9397-08002B2CF9AE}" pid="3" name="MSIP_Label_c7962db2-8021-4672-ab50-833f15a1c47a_Enabled">
    <vt:lpwstr>true</vt:lpwstr>
  </property>
  <property fmtid="{D5CDD505-2E9C-101B-9397-08002B2CF9AE}" pid="4" name="MSIP_Label_c7962db2-8021-4672-ab50-833f15a1c47a_SetDate">
    <vt:lpwstr>2023-07-27T04:32:15Z</vt:lpwstr>
  </property>
  <property fmtid="{D5CDD505-2E9C-101B-9397-08002B2CF9AE}" pid="5" name="MSIP_Label_c7962db2-8021-4672-ab50-833f15a1c47a_Method">
    <vt:lpwstr>Standard</vt:lpwstr>
  </property>
  <property fmtid="{D5CDD505-2E9C-101B-9397-08002B2CF9AE}" pid="6" name="MSIP_Label_c7962db2-8021-4672-ab50-833f15a1c47a_Name">
    <vt:lpwstr>c7962db2-8021-4672-ab50-833f15a1c47a</vt:lpwstr>
  </property>
  <property fmtid="{D5CDD505-2E9C-101B-9397-08002B2CF9AE}" pid="7" name="MSIP_Label_c7962db2-8021-4672-ab50-833f15a1c47a_SiteId">
    <vt:lpwstr>e0b26355-1889-40d8-8ef1-e559616befda</vt:lpwstr>
  </property>
  <property fmtid="{D5CDD505-2E9C-101B-9397-08002B2CF9AE}" pid="8" name="MSIP_Label_c7962db2-8021-4672-ab50-833f15a1c47a_ActionId">
    <vt:lpwstr>60cfab47-404a-43e8-a1c8-997546427ec7</vt:lpwstr>
  </property>
  <property fmtid="{D5CDD505-2E9C-101B-9397-08002B2CF9AE}" pid="9" name="MSIP_Label_c7962db2-8021-4672-ab50-833f15a1c47a_ContentBits">
    <vt:lpwstr>2</vt:lpwstr>
  </property>
</Properties>
</file>